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E:\upload amarjeet\"/>
    </mc:Choice>
  </mc:AlternateContent>
  <xr:revisionPtr revIDLastSave="0" documentId="13_ncr:1_{E3A5BAB2-9887-40B3-969E-A282AB437051}" xr6:coauthVersionLast="47" xr6:coauthVersionMax="47" xr10:uidLastSave="{00000000-0000-0000-0000-000000000000}"/>
  <bookViews>
    <workbookView xWindow="-120" yWindow="-120" windowWidth="29040" windowHeight="15840" xr2:uid="{EFF0288F-A00C-4001-B5C8-1C199F4CF304}"/>
  </bookViews>
  <sheets>
    <sheet name="Dashboard" sheetId="3" r:id="rId1"/>
    <sheet name="P" sheetId="2" state="veryHidden" r:id="rId2"/>
    <sheet name="March 2023" sheetId="1" state="veryHidden" r:id="rId3"/>
  </sheets>
  <externalReferences>
    <externalReference r:id="rId4"/>
  </externalReferences>
  <definedNames>
    <definedName name="_xlnm._FilterDatabase" localSheetId="2" hidden="1">'March 2023'!$A$1:$H$1287</definedName>
    <definedName name="MY_FUNCTION1">LAMBDA(IF(ISBLANK('[1]Daily Status(2023)'!$H$2)=TRUE(),"",'[1]Daily Status(2023)'!$H$2/60))</definedName>
    <definedName name="Slicer_Date">#N/A</definedName>
    <definedName name="Slicer_Marketplace">#N/A</definedName>
    <definedName name="Slicer_Month">#N/A</definedName>
    <definedName name="Slicer_Person">#N/A</definedName>
    <definedName name="Slicer_Task_Type">#N/A</definedName>
    <definedName name="Slicer_Tasks_Frequency">#N/A</definedName>
    <definedName name="Slicer_Wk_Start_Date">#N/A</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 r:id="rId8"/>
        <x14:slicerCache r:id="rId9"/>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3" i="1" l="1"/>
  <c r="J4" i="1"/>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642" i="1"/>
  <c r="J643" i="1"/>
  <c r="J644" i="1"/>
  <c r="J645" i="1"/>
  <c r="J646" i="1"/>
  <c r="J647" i="1"/>
  <c r="J648" i="1"/>
  <c r="J649" i="1"/>
  <c r="J650" i="1"/>
  <c r="J651" i="1"/>
  <c r="J652" i="1"/>
  <c r="J653" i="1"/>
  <c r="J654" i="1"/>
  <c r="J655" i="1"/>
  <c r="J656" i="1"/>
  <c r="J657" i="1"/>
  <c r="J658" i="1"/>
  <c r="J659" i="1"/>
  <c r="J660" i="1"/>
  <c r="J661" i="1"/>
  <c r="J662" i="1"/>
  <c r="J663" i="1"/>
  <c r="J664" i="1"/>
  <c r="J665" i="1"/>
  <c r="J666" i="1"/>
  <c r="J667" i="1"/>
  <c r="J668" i="1"/>
  <c r="J669" i="1"/>
  <c r="J670" i="1"/>
  <c r="J671" i="1"/>
  <c r="J672" i="1"/>
  <c r="J673" i="1"/>
  <c r="J674" i="1"/>
  <c r="J675" i="1"/>
  <c r="J676" i="1"/>
  <c r="J677" i="1"/>
  <c r="J678" i="1"/>
  <c r="J679" i="1"/>
  <c r="J680" i="1"/>
  <c r="J681" i="1"/>
  <c r="J682" i="1"/>
  <c r="J683" i="1"/>
  <c r="J684" i="1"/>
  <c r="J685" i="1"/>
  <c r="J686" i="1"/>
  <c r="J687" i="1"/>
  <c r="J688" i="1"/>
  <c r="J689" i="1"/>
  <c r="J690" i="1"/>
  <c r="J691" i="1"/>
  <c r="J692" i="1"/>
  <c r="J693" i="1"/>
  <c r="J694" i="1"/>
  <c r="J695" i="1"/>
  <c r="J696" i="1"/>
  <c r="J697" i="1"/>
  <c r="J698" i="1"/>
  <c r="J699" i="1"/>
  <c r="J700" i="1"/>
  <c r="J701" i="1"/>
  <c r="J702" i="1"/>
  <c r="J703" i="1"/>
  <c r="J704" i="1"/>
  <c r="J705" i="1"/>
  <c r="J706" i="1"/>
  <c r="J707" i="1"/>
  <c r="J708" i="1"/>
  <c r="J709" i="1"/>
  <c r="J710" i="1"/>
  <c r="J711" i="1"/>
  <c r="J712" i="1"/>
  <c r="J713" i="1"/>
  <c r="J714" i="1"/>
  <c r="J715" i="1"/>
  <c r="J716" i="1"/>
  <c r="J717" i="1"/>
  <c r="J718" i="1"/>
  <c r="J719" i="1"/>
  <c r="J720" i="1"/>
  <c r="J721" i="1"/>
  <c r="J722" i="1"/>
  <c r="J723" i="1"/>
  <c r="J724" i="1"/>
  <c r="J725" i="1"/>
  <c r="J726" i="1"/>
  <c r="J727" i="1"/>
  <c r="J728" i="1"/>
  <c r="J729" i="1"/>
  <c r="J730" i="1"/>
  <c r="J731" i="1"/>
  <c r="J732" i="1"/>
  <c r="J733" i="1"/>
  <c r="J734" i="1"/>
  <c r="J735" i="1"/>
  <c r="J736" i="1"/>
  <c r="J737" i="1"/>
  <c r="J738" i="1"/>
  <c r="J739" i="1"/>
  <c r="J740" i="1"/>
  <c r="J741" i="1"/>
  <c r="J742" i="1"/>
  <c r="J743" i="1"/>
  <c r="J744" i="1"/>
  <c r="J745" i="1"/>
  <c r="J746" i="1"/>
  <c r="J747" i="1"/>
  <c r="J748" i="1"/>
  <c r="J749" i="1"/>
  <c r="J750" i="1"/>
  <c r="J751" i="1"/>
  <c r="J752" i="1"/>
  <c r="J753" i="1"/>
  <c r="J754" i="1"/>
  <c r="J755" i="1"/>
  <c r="J756" i="1"/>
  <c r="J757" i="1"/>
  <c r="J758" i="1"/>
  <c r="J759" i="1"/>
  <c r="J760" i="1"/>
  <c r="J761" i="1"/>
  <c r="J762" i="1"/>
  <c r="J763" i="1"/>
  <c r="J764" i="1"/>
  <c r="J765" i="1"/>
  <c r="J766" i="1"/>
  <c r="J767" i="1"/>
  <c r="J768" i="1"/>
  <c r="J769" i="1"/>
  <c r="J770" i="1"/>
  <c r="J771" i="1"/>
  <c r="J772" i="1"/>
  <c r="J773" i="1"/>
  <c r="J774" i="1"/>
  <c r="J775" i="1"/>
  <c r="J776" i="1"/>
  <c r="J777" i="1"/>
  <c r="J778" i="1"/>
  <c r="J779" i="1"/>
  <c r="J780" i="1"/>
  <c r="J781" i="1"/>
  <c r="J782" i="1"/>
  <c r="J783" i="1"/>
  <c r="J784" i="1"/>
  <c r="J785" i="1"/>
  <c r="J786" i="1"/>
  <c r="J787" i="1"/>
  <c r="J788" i="1"/>
  <c r="J789" i="1"/>
  <c r="J790" i="1"/>
  <c r="J791" i="1"/>
  <c r="J792" i="1"/>
  <c r="J793" i="1"/>
  <c r="J794" i="1"/>
  <c r="J795" i="1"/>
  <c r="J796" i="1"/>
  <c r="J797" i="1"/>
  <c r="J798" i="1"/>
  <c r="J799" i="1"/>
  <c r="J800" i="1"/>
  <c r="J801" i="1"/>
  <c r="J802" i="1"/>
  <c r="J803" i="1"/>
  <c r="J804" i="1"/>
  <c r="J805" i="1"/>
  <c r="J806" i="1"/>
  <c r="J807" i="1"/>
  <c r="J808" i="1"/>
  <c r="J809" i="1"/>
  <c r="J810" i="1"/>
  <c r="J811" i="1"/>
  <c r="J812" i="1"/>
  <c r="J813" i="1"/>
  <c r="J814" i="1"/>
  <c r="J815" i="1"/>
  <c r="J816" i="1"/>
  <c r="J817" i="1"/>
  <c r="J818" i="1"/>
  <c r="J819" i="1"/>
  <c r="J820" i="1"/>
  <c r="J821" i="1"/>
  <c r="J822" i="1"/>
  <c r="J823" i="1"/>
  <c r="J824" i="1"/>
  <c r="J825" i="1"/>
  <c r="J826" i="1"/>
  <c r="J827" i="1"/>
  <c r="J828" i="1"/>
  <c r="J829" i="1"/>
  <c r="J830" i="1"/>
  <c r="J831" i="1"/>
  <c r="J832" i="1"/>
  <c r="J833" i="1"/>
  <c r="J834" i="1"/>
  <c r="J835" i="1"/>
  <c r="J836" i="1"/>
  <c r="J837" i="1"/>
  <c r="J838" i="1"/>
  <c r="J839" i="1"/>
  <c r="J840" i="1"/>
  <c r="J841" i="1"/>
  <c r="J842" i="1"/>
  <c r="J843" i="1"/>
  <c r="J844" i="1"/>
  <c r="J845" i="1"/>
  <c r="J846" i="1"/>
  <c r="J847" i="1"/>
  <c r="J848" i="1"/>
  <c r="J849" i="1"/>
  <c r="J850" i="1"/>
  <c r="J851" i="1"/>
  <c r="J852" i="1"/>
  <c r="J853" i="1"/>
  <c r="J854" i="1"/>
  <c r="J855" i="1"/>
  <c r="J856" i="1"/>
  <c r="J857" i="1"/>
  <c r="J858" i="1"/>
  <c r="J859" i="1"/>
  <c r="J860" i="1"/>
  <c r="J861" i="1"/>
  <c r="J862" i="1"/>
  <c r="J863" i="1"/>
  <c r="J864" i="1"/>
  <c r="J865" i="1"/>
  <c r="J866" i="1"/>
  <c r="J867" i="1"/>
  <c r="J868" i="1"/>
  <c r="J869" i="1"/>
  <c r="J870" i="1"/>
  <c r="J871" i="1"/>
  <c r="J872" i="1"/>
  <c r="J873" i="1"/>
  <c r="J874" i="1"/>
  <c r="J875" i="1"/>
  <c r="J876" i="1"/>
  <c r="J877" i="1"/>
  <c r="J878" i="1"/>
  <c r="J879" i="1"/>
  <c r="J880" i="1"/>
  <c r="J881" i="1"/>
  <c r="J882" i="1"/>
  <c r="J883" i="1"/>
  <c r="J884" i="1"/>
  <c r="J885" i="1"/>
  <c r="J886" i="1"/>
  <c r="J887" i="1"/>
  <c r="J888" i="1"/>
  <c r="J889" i="1"/>
  <c r="J890" i="1"/>
  <c r="J891" i="1"/>
  <c r="J892" i="1"/>
  <c r="J893" i="1"/>
  <c r="J894" i="1"/>
  <c r="J895" i="1"/>
  <c r="J896" i="1"/>
  <c r="J897" i="1"/>
  <c r="J898" i="1"/>
  <c r="J899" i="1"/>
  <c r="J900" i="1"/>
  <c r="J901" i="1"/>
  <c r="J902" i="1"/>
  <c r="J903" i="1"/>
  <c r="J904" i="1"/>
  <c r="J905" i="1"/>
  <c r="J906" i="1"/>
  <c r="J907" i="1"/>
  <c r="J908" i="1"/>
  <c r="J909" i="1"/>
  <c r="J910" i="1"/>
  <c r="J911" i="1"/>
  <c r="J912" i="1"/>
  <c r="J913" i="1"/>
  <c r="J914" i="1"/>
  <c r="J915" i="1"/>
  <c r="J916" i="1"/>
  <c r="J917" i="1"/>
  <c r="J918" i="1"/>
  <c r="J919" i="1"/>
  <c r="J920" i="1"/>
  <c r="J921" i="1"/>
  <c r="J922" i="1"/>
  <c r="J923" i="1"/>
  <c r="J924" i="1"/>
  <c r="J925" i="1"/>
  <c r="J926" i="1"/>
  <c r="J927" i="1"/>
  <c r="J928" i="1"/>
  <c r="J929" i="1"/>
  <c r="J930" i="1"/>
  <c r="J931" i="1"/>
  <c r="J932" i="1"/>
  <c r="J933" i="1"/>
  <c r="J934" i="1"/>
  <c r="J935" i="1"/>
  <c r="J936" i="1"/>
  <c r="J937" i="1"/>
  <c r="J938" i="1"/>
  <c r="J939" i="1"/>
  <c r="J940" i="1"/>
  <c r="J941" i="1"/>
  <c r="J942" i="1"/>
  <c r="J943" i="1"/>
  <c r="J944" i="1"/>
  <c r="J945" i="1"/>
  <c r="J946" i="1"/>
  <c r="J947" i="1"/>
  <c r="J948" i="1"/>
  <c r="J949" i="1"/>
  <c r="J950" i="1"/>
  <c r="J951" i="1"/>
  <c r="J952" i="1"/>
  <c r="J953" i="1"/>
  <c r="J954" i="1"/>
  <c r="J955" i="1"/>
  <c r="J956" i="1"/>
  <c r="J957" i="1"/>
  <c r="J958" i="1"/>
  <c r="J959" i="1"/>
  <c r="J960" i="1"/>
  <c r="J961" i="1"/>
  <c r="J962" i="1"/>
  <c r="J963" i="1"/>
  <c r="J964" i="1"/>
  <c r="J965" i="1"/>
  <c r="J966" i="1"/>
  <c r="J967" i="1"/>
  <c r="J968" i="1"/>
  <c r="J969" i="1"/>
  <c r="J970" i="1"/>
  <c r="J971" i="1"/>
  <c r="J972" i="1"/>
  <c r="J973" i="1"/>
  <c r="J974" i="1"/>
  <c r="J975" i="1"/>
  <c r="J976" i="1"/>
  <c r="J977" i="1"/>
  <c r="J978" i="1"/>
  <c r="J979" i="1"/>
  <c r="J980" i="1"/>
  <c r="J981" i="1"/>
  <c r="J982" i="1"/>
  <c r="J983" i="1"/>
  <c r="J984" i="1"/>
  <c r="J985" i="1"/>
  <c r="J986" i="1"/>
  <c r="J987" i="1"/>
  <c r="J988" i="1"/>
  <c r="J989" i="1"/>
  <c r="J990" i="1"/>
  <c r="J991" i="1"/>
  <c r="J992" i="1"/>
  <c r="J993" i="1"/>
  <c r="J994" i="1"/>
  <c r="J995" i="1"/>
  <c r="J996" i="1"/>
  <c r="J997" i="1"/>
  <c r="J998" i="1"/>
  <c r="J999" i="1"/>
  <c r="J1000" i="1"/>
  <c r="J1001" i="1"/>
  <c r="J1002" i="1"/>
  <c r="J1003" i="1"/>
  <c r="J1004" i="1"/>
  <c r="J1005" i="1"/>
  <c r="J1006" i="1"/>
  <c r="J1007" i="1"/>
  <c r="J1008" i="1"/>
  <c r="J1009" i="1"/>
  <c r="J1010" i="1"/>
  <c r="J1011" i="1"/>
  <c r="J1012" i="1"/>
  <c r="J1013" i="1"/>
  <c r="J1014" i="1"/>
  <c r="J1015" i="1"/>
  <c r="J1016" i="1"/>
  <c r="J1017" i="1"/>
  <c r="J1018" i="1"/>
  <c r="J1019" i="1"/>
  <c r="J1020" i="1"/>
  <c r="J1021" i="1"/>
  <c r="J1022" i="1"/>
  <c r="J1023" i="1"/>
  <c r="J1024" i="1"/>
  <c r="J1025" i="1"/>
  <c r="J1026" i="1"/>
  <c r="J1027" i="1"/>
  <c r="J1028" i="1"/>
  <c r="J1029" i="1"/>
  <c r="J1030" i="1"/>
  <c r="J1031" i="1"/>
  <c r="J1032" i="1"/>
  <c r="J1033" i="1"/>
  <c r="J1034" i="1"/>
  <c r="J1035" i="1"/>
  <c r="J1036" i="1"/>
  <c r="J1037" i="1"/>
  <c r="J1038" i="1"/>
  <c r="J1039" i="1"/>
  <c r="J1040" i="1"/>
  <c r="J1041" i="1"/>
  <c r="J1042" i="1"/>
  <c r="J1043" i="1"/>
  <c r="J1044" i="1"/>
  <c r="J1045" i="1"/>
  <c r="J1046" i="1"/>
  <c r="J1047" i="1"/>
  <c r="J1048" i="1"/>
  <c r="J1049" i="1"/>
  <c r="J1050" i="1"/>
  <c r="J1051" i="1"/>
  <c r="J1052" i="1"/>
  <c r="J1053" i="1"/>
  <c r="J1054" i="1"/>
  <c r="J1055" i="1"/>
  <c r="J1056" i="1"/>
  <c r="J1057" i="1"/>
  <c r="J1058" i="1"/>
  <c r="J1059" i="1"/>
  <c r="J1060" i="1"/>
  <c r="J1061" i="1"/>
  <c r="J1062" i="1"/>
  <c r="J1063" i="1"/>
  <c r="J1064" i="1"/>
  <c r="J1065" i="1"/>
  <c r="J1066" i="1"/>
  <c r="J1067" i="1"/>
  <c r="J1068" i="1"/>
  <c r="J1069" i="1"/>
  <c r="J1070" i="1"/>
  <c r="J1071" i="1"/>
  <c r="J1072" i="1"/>
  <c r="J1073" i="1"/>
  <c r="J1074" i="1"/>
  <c r="J1075" i="1"/>
  <c r="J1076" i="1"/>
  <c r="J1077" i="1"/>
  <c r="J1078" i="1"/>
  <c r="J1079" i="1"/>
  <c r="J1080" i="1"/>
  <c r="J1081" i="1"/>
  <c r="J1082" i="1"/>
  <c r="J1083" i="1"/>
  <c r="J1084" i="1"/>
  <c r="J1085" i="1"/>
  <c r="J1086" i="1"/>
  <c r="J1087" i="1"/>
  <c r="J1088" i="1"/>
  <c r="J1089" i="1"/>
  <c r="J1090" i="1"/>
  <c r="J1091" i="1"/>
  <c r="J1092" i="1"/>
  <c r="J1093" i="1"/>
  <c r="J1094" i="1"/>
  <c r="J1095" i="1"/>
  <c r="J1096" i="1"/>
  <c r="J1097" i="1"/>
  <c r="J1098" i="1"/>
  <c r="J1099" i="1"/>
  <c r="J1100" i="1"/>
  <c r="J1101" i="1"/>
  <c r="J1102" i="1"/>
  <c r="J1103" i="1"/>
  <c r="J1104" i="1"/>
  <c r="J1105" i="1"/>
  <c r="J1106" i="1"/>
  <c r="J1107" i="1"/>
  <c r="J1108" i="1"/>
  <c r="J1109" i="1"/>
  <c r="J1110" i="1"/>
  <c r="J1111" i="1"/>
  <c r="J1112" i="1"/>
  <c r="J1113" i="1"/>
  <c r="J1114" i="1"/>
  <c r="J1115" i="1"/>
  <c r="J1116" i="1"/>
  <c r="J1117" i="1"/>
  <c r="J1118" i="1"/>
  <c r="J1119" i="1"/>
  <c r="J1120" i="1"/>
  <c r="J1121" i="1"/>
  <c r="J1122" i="1"/>
  <c r="J1123" i="1"/>
  <c r="J1124" i="1"/>
  <c r="J1125" i="1"/>
  <c r="J1126" i="1"/>
  <c r="J1127" i="1"/>
  <c r="J1128" i="1"/>
  <c r="J1129" i="1"/>
  <c r="J1130" i="1"/>
  <c r="J1131" i="1"/>
  <c r="J1132" i="1"/>
  <c r="J1133" i="1"/>
  <c r="J1134" i="1"/>
  <c r="J1135" i="1"/>
  <c r="J1136" i="1"/>
  <c r="J1137" i="1"/>
  <c r="J1138" i="1"/>
  <c r="J1139" i="1"/>
  <c r="J1140" i="1"/>
  <c r="J1141" i="1"/>
  <c r="J1142" i="1"/>
  <c r="J1143" i="1"/>
  <c r="J1144" i="1"/>
  <c r="J1145" i="1"/>
  <c r="J1146" i="1"/>
  <c r="J1147" i="1"/>
  <c r="J1148" i="1"/>
  <c r="J1149" i="1"/>
  <c r="J1150" i="1"/>
  <c r="J1151" i="1"/>
  <c r="J1152" i="1"/>
  <c r="J1153" i="1"/>
  <c r="J1154" i="1"/>
  <c r="J1155" i="1"/>
  <c r="J1156" i="1"/>
  <c r="J1157" i="1"/>
  <c r="J1158" i="1"/>
  <c r="J1159" i="1"/>
  <c r="J1160" i="1"/>
  <c r="J1161" i="1"/>
  <c r="J1162" i="1"/>
  <c r="J1163" i="1"/>
  <c r="J1164" i="1"/>
  <c r="J1165" i="1"/>
  <c r="J1166" i="1"/>
  <c r="J1167" i="1"/>
  <c r="J1168" i="1"/>
  <c r="J1169" i="1"/>
  <c r="J1170" i="1"/>
  <c r="J1171" i="1"/>
  <c r="J1172" i="1"/>
  <c r="J1173" i="1"/>
  <c r="J1174" i="1"/>
  <c r="J1175" i="1"/>
  <c r="J1176" i="1"/>
  <c r="J1177" i="1"/>
  <c r="J1178" i="1"/>
  <c r="J1179" i="1"/>
  <c r="J1180" i="1"/>
  <c r="J1181" i="1"/>
  <c r="J1182" i="1"/>
  <c r="J1183" i="1"/>
  <c r="J1184" i="1"/>
  <c r="J1185" i="1"/>
  <c r="J1186" i="1"/>
  <c r="J1187" i="1"/>
  <c r="J1188" i="1"/>
  <c r="J1189" i="1"/>
  <c r="J1190" i="1"/>
  <c r="J1191" i="1"/>
  <c r="J1192" i="1"/>
  <c r="J1193" i="1"/>
  <c r="J1194" i="1"/>
  <c r="J1195" i="1"/>
  <c r="J1196" i="1"/>
  <c r="J1197" i="1"/>
  <c r="J1198" i="1"/>
  <c r="J1199" i="1"/>
  <c r="J1200" i="1"/>
  <c r="J1201" i="1"/>
  <c r="J1202" i="1"/>
  <c r="J1203" i="1"/>
  <c r="J1204" i="1"/>
  <c r="J1205" i="1"/>
  <c r="J1206" i="1"/>
  <c r="J1207" i="1"/>
  <c r="J1208" i="1"/>
  <c r="J1209" i="1"/>
  <c r="J1210" i="1"/>
  <c r="J1211" i="1"/>
  <c r="J1212" i="1"/>
  <c r="J1213" i="1"/>
  <c r="J1214" i="1"/>
  <c r="J1215" i="1"/>
  <c r="J1216" i="1"/>
  <c r="J1217" i="1"/>
  <c r="J1218" i="1"/>
  <c r="J1219" i="1"/>
  <c r="J1220" i="1"/>
  <c r="J1221" i="1"/>
  <c r="J1222" i="1"/>
  <c r="J1223" i="1"/>
  <c r="J1224" i="1"/>
  <c r="J1225" i="1"/>
  <c r="J1226" i="1"/>
  <c r="J1227" i="1"/>
  <c r="J1228" i="1"/>
  <c r="J1229" i="1"/>
  <c r="J1230" i="1"/>
  <c r="J1231" i="1"/>
  <c r="J1232" i="1"/>
  <c r="J1233" i="1"/>
  <c r="J1234" i="1"/>
  <c r="J1235" i="1"/>
  <c r="J1236" i="1"/>
  <c r="J1237" i="1"/>
  <c r="J1238" i="1"/>
  <c r="J1239" i="1"/>
  <c r="J1240" i="1"/>
  <c r="J1241" i="1"/>
  <c r="J1242" i="1"/>
  <c r="J1243" i="1"/>
  <c r="J1244" i="1"/>
  <c r="J1245" i="1"/>
  <c r="J1246" i="1"/>
  <c r="J1247" i="1"/>
  <c r="J1248" i="1"/>
  <c r="J1249" i="1"/>
  <c r="J1250" i="1"/>
  <c r="J1251" i="1"/>
  <c r="J1252" i="1"/>
  <c r="J1253" i="1"/>
  <c r="J1254" i="1"/>
  <c r="J1255" i="1"/>
  <c r="J1256" i="1"/>
  <c r="J1257" i="1"/>
  <c r="J1258" i="1"/>
  <c r="J1259" i="1"/>
  <c r="J1260" i="1"/>
  <c r="J1261" i="1"/>
  <c r="J1262" i="1"/>
  <c r="J1263" i="1"/>
  <c r="J1264" i="1"/>
  <c r="J1265" i="1"/>
  <c r="J1266" i="1"/>
  <c r="J1267" i="1"/>
  <c r="J1268" i="1"/>
  <c r="J1269" i="1"/>
  <c r="J1270" i="1"/>
  <c r="J1271" i="1"/>
  <c r="J1272" i="1"/>
  <c r="J1273" i="1"/>
  <c r="J1274" i="1"/>
  <c r="J1275" i="1"/>
  <c r="J1276" i="1"/>
  <c r="J1277" i="1"/>
  <c r="J1278" i="1"/>
  <c r="J1279" i="1"/>
  <c r="J1280" i="1"/>
  <c r="J1281" i="1"/>
  <c r="J1282" i="1"/>
  <c r="J1283" i="1"/>
  <c r="J1284" i="1"/>
  <c r="J1285" i="1"/>
  <c r="J1286" i="1"/>
  <c r="J1287" i="1"/>
  <c r="J2" i="1"/>
  <c r="H2"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H1079" i="1"/>
  <c r="H1080" i="1"/>
  <c r="H1081" i="1"/>
  <c r="H1082" i="1"/>
  <c r="H1083" i="1"/>
  <c r="H1084" i="1"/>
  <c r="H1085" i="1"/>
  <c r="H1086" i="1"/>
  <c r="H1087" i="1"/>
  <c r="H1088" i="1"/>
  <c r="H1089" i="1"/>
  <c r="H1090" i="1"/>
  <c r="H1091" i="1"/>
  <c r="H1092" i="1"/>
  <c r="H1093" i="1"/>
  <c r="H1094" i="1"/>
  <c r="H1095" i="1"/>
  <c r="H1096" i="1"/>
  <c r="H1097" i="1"/>
  <c r="H1098" i="1"/>
  <c r="H1099" i="1"/>
  <c r="H1100" i="1"/>
  <c r="H1101" i="1"/>
  <c r="H1102" i="1"/>
  <c r="H1103" i="1"/>
  <c r="H1104" i="1"/>
  <c r="H1105" i="1"/>
  <c r="H1106" i="1"/>
  <c r="H1107" i="1"/>
  <c r="H1108" i="1"/>
  <c r="H1109" i="1"/>
  <c r="H1110" i="1"/>
  <c r="H1111" i="1"/>
  <c r="H1112" i="1"/>
  <c r="H1113" i="1"/>
  <c r="H1114" i="1"/>
  <c r="H1115" i="1"/>
  <c r="H1116" i="1"/>
  <c r="H1117" i="1"/>
  <c r="H1118" i="1"/>
  <c r="H1119" i="1"/>
  <c r="H1120" i="1"/>
  <c r="H1121" i="1"/>
  <c r="H1122" i="1"/>
  <c r="H1123" i="1"/>
  <c r="H1124" i="1"/>
  <c r="H1125" i="1"/>
  <c r="H1126" i="1"/>
  <c r="H1127" i="1"/>
  <c r="H1128" i="1"/>
  <c r="H1129" i="1"/>
  <c r="H1130" i="1"/>
  <c r="H1131" i="1"/>
  <c r="H1132" i="1"/>
  <c r="H1133" i="1"/>
  <c r="H1134" i="1"/>
  <c r="H1135" i="1"/>
  <c r="H1136" i="1"/>
  <c r="H1137" i="1"/>
  <c r="H1138" i="1"/>
  <c r="H1139" i="1"/>
  <c r="H1140" i="1"/>
  <c r="H1141" i="1"/>
  <c r="H1142" i="1"/>
  <c r="H1143" i="1"/>
  <c r="H1144" i="1"/>
  <c r="H1145" i="1"/>
  <c r="H1146" i="1"/>
  <c r="H1147" i="1"/>
  <c r="H1148" i="1"/>
  <c r="H1149" i="1"/>
  <c r="H1150" i="1"/>
  <c r="H1151" i="1"/>
  <c r="H1152" i="1"/>
  <c r="H1153" i="1"/>
  <c r="H1154" i="1"/>
  <c r="H1155" i="1"/>
  <c r="H1156" i="1"/>
  <c r="H1157" i="1"/>
  <c r="H1158" i="1"/>
  <c r="H1159" i="1"/>
  <c r="H1160" i="1"/>
  <c r="H1161" i="1"/>
  <c r="H1162" i="1"/>
  <c r="H1163" i="1"/>
  <c r="H1164" i="1"/>
  <c r="H1165" i="1"/>
  <c r="H1166" i="1"/>
  <c r="H1167" i="1"/>
  <c r="H1168" i="1"/>
  <c r="H1169" i="1"/>
  <c r="H1170" i="1"/>
  <c r="H1171" i="1"/>
  <c r="H1172" i="1"/>
  <c r="H1173" i="1"/>
  <c r="H1174" i="1"/>
  <c r="H1175" i="1"/>
  <c r="H1176" i="1"/>
  <c r="H1177" i="1"/>
  <c r="H1178" i="1"/>
  <c r="H1179" i="1"/>
  <c r="H1180" i="1"/>
  <c r="H1181" i="1"/>
  <c r="H1182" i="1"/>
  <c r="H1183" i="1"/>
  <c r="H1184" i="1"/>
  <c r="H1185" i="1"/>
  <c r="H1186" i="1"/>
  <c r="H1187" i="1"/>
  <c r="H1188" i="1"/>
  <c r="H1189" i="1"/>
  <c r="H1190" i="1"/>
  <c r="H1191" i="1"/>
  <c r="H1192" i="1"/>
  <c r="H1193" i="1"/>
  <c r="H1194" i="1"/>
  <c r="H1195" i="1"/>
  <c r="H1196" i="1"/>
  <c r="H1197" i="1"/>
  <c r="H1198" i="1"/>
  <c r="H1199" i="1"/>
  <c r="H1200" i="1"/>
  <c r="H1201" i="1"/>
  <c r="H1202" i="1"/>
  <c r="H1203" i="1"/>
  <c r="H1204" i="1"/>
  <c r="H1205" i="1"/>
  <c r="H1206" i="1"/>
  <c r="H1207" i="1"/>
  <c r="H1208" i="1"/>
  <c r="H1209" i="1"/>
  <c r="H1210" i="1"/>
  <c r="H1211" i="1"/>
  <c r="H1212" i="1"/>
  <c r="H1213" i="1"/>
  <c r="H1214" i="1"/>
  <c r="H1215" i="1"/>
  <c r="H1216" i="1"/>
  <c r="H1217" i="1"/>
  <c r="H1218" i="1"/>
  <c r="H1219" i="1"/>
  <c r="H1220" i="1"/>
  <c r="H1221" i="1"/>
  <c r="H1222" i="1"/>
  <c r="H1223" i="1"/>
  <c r="H1224" i="1"/>
  <c r="H1225" i="1"/>
  <c r="H1226" i="1"/>
  <c r="H1227" i="1"/>
  <c r="H1228" i="1"/>
  <c r="H1229" i="1"/>
  <c r="H1230" i="1"/>
  <c r="H1231" i="1"/>
  <c r="H1232" i="1"/>
  <c r="H1233" i="1"/>
  <c r="H1234" i="1"/>
  <c r="H1235" i="1"/>
  <c r="H1236" i="1"/>
  <c r="H1237" i="1"/>
  <c r="H1238" i="1"/>
  <c r="H1239" i="1"/>
  <c r="H1240" i="1"/>
  <c r="H1241" i="1"/>
  <c r="H1242" i="1"/>
  <c r="H1243" i="1"/>
  <c r="H1244" i="1"/>
  <c r="H1245" i="1"/>
  <c r="H1246" i="1"/>
  <c r="H1247" i="1"/>
  <c r="H1248" i="1"/>
  <c r="H1249" i="1"/>
  <c r="H1250" i="1"/>
  <c r="H1251" i="1"/>
  <c r="H1252" i="1"/>
  <c r="H1253" i="1"/>
  <c r="H1254" i="1"/>
  <c r="H1255" i="1"/>
  <c r="H1256" i="1"/>
  <c r="H1257" i="1"/>
  <c r="H1258" i="1"/>
  <c r="H1259" i="1"/>
  <c r="H1260" i="1"/>
  <c r="H1261" i="1"/>
  <c r="H1262" i="1"/>
  <c r="H1263" i="1"/>
  <c r="H1264" i="1"/>
  <c r="H1265" i="1"/>
  <c r="H1266" i="1"/>
  <c r="H1267" i="1"/>
  <c r="H1268" i="1"/>
  <c r="H1269" i="1"/>
  <c r="H1270" i="1"/>
  <c r="H1271" i="1"/>
  <c r="H1272" i="1"/>
  <c r="H1273" i="1"/>
  <c r="H1274" i="1"/>
  <c r="H1275" i="1"/>
  <c r="H1276" i="1"/>
  <c r="H1277" i="1"/>
  <c r="H1278" i="1"/>
  <c r="H1279" i="1"/>
  <c r="H1280" i="1"/>
  <c r="H1281" i="1"/>
  <c r="H1282" i="1"/>
  <c r="H1283" i="1"/>
  <c r="H1284" i="1"/>
  <c r="H1285" i="1"/>
  <c r="H1286" i="1"/>
  <c r="H1287" i="1"/>
  <c r="H1288" i="1"/>
  <c r="I2" i="1"/>
  <c r="I3" i="1"/>
  <c r="I4" i="1"/>
  <c r="I5" i="1"/>
  <c r="I6" i="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377" i="1"/>
  <c r="I378" i="1"/>
  <c r="I379" i="1"/>
  <c r="I380" i="1"/>
  <c r="I381" i="1"/>
  <c r="I382" i="1"/>
  <c r="I383" i="1"/>
  <c r="I384" i="1"/>
  <c r="I385" i="1"/>
  <c r="I386" i="1"/>
  <c r="I387" i="1"/>
  <c r="I388" i="1"/>
  <c r="I389" i="1"/>
  <c r="I390" i="1"/>
  <c r="I391" i="1"/>
  <c r="I392" i="1"/>
  <c r="I393" i="1"/>
  <c r="I394" i="1"/>
  <c r="I395" i="1"/>
  <c r="I396" i="1"/>
  <c r="I397" i="1"/>
  <c r="I398" i="1"/>
  <c r="I399" i="1"/>
  <c r="I400" i="1"/>
  <c r="I401" i="1"/>
  <c r="I402" i="1"/>
  <c r="I403" i="1"/>
  <c r="I404" i="1"/>
  <c r="I405" i="1"/>
  <c r="I406" i="1"/>
  <c r="I407" i="1"/>
  <c r="I408" i="1"/>
  <c r="I409" i="1"/>
  <c r="I410" i="1"/>
  <c r="I411" i="1"/>
  <c r="I412" i="1"/>
  <c r="I413" i="1"/>
  <c r="I414" i="1"/>
  <c r="I415" i="1"/>
  <c r="I416" i="1"/>
  <c r="I417" i="1"/>
  <c r="I418" i="1"/>
  <c r="I419" i="1"/>
  <c r="I420" i="1"/>
  <c r="I421" i="1"/>
  <c r="I422" i="1"/>
  <c r="I423" i="1"/>
  <c r="I424" i="1"/>
  <c r="I425" i="1"/>
  <c r="I426" i="1"/>
  <c r="I427" i="1"/>
  <c r="I428" i="1"/>
  <c r="I429" i="1"/>
  <c r="I430" i="1"/>
  <c r="I431" i="1"/>
  <c r="I432" i="1"/>
  <c r="I433" i="1"/>
  <c r="I434" i="1"/>
  <c r="I435" i="1"/>
  <c r="I436" i="1"/>
  <c r="I437" i="1"/>
  <c r="I438" i="1"/>
  <c r="I439" i="1"/>
  <c r="I440" i="1"/>
  <c r="I441" i="1"/>
  <c r="I442" i="1"/>
  <c r="I443" i="1"/>
  <c r="I444" i="1"/>
  <c r="I445" i="1"/>
  <c r="I446" i="1"/>
  <c r="I447" i="1"/>
  <c r="I448" i="1"/>
  <c r="I449" i="1"/>
  <c r="I450" i="1"/>
  <c r="I451" i="1"/>
  <c r="I452" i="1"/>
  <c r="I453" i="1"/>
  <c r="I454" i="1"/>
  <c r="I455" i="1"/>
  <c r="I456" i="1"/>
  <c r="I457" i="1"/>
  <c r="I458" i="1"/>
  <c r="I459" i="1"/>
  <c r="I460" i="1"/>
  <c r="I461" i="1"/>
  <c r="I462" i="1"/>
  <c r="I463" i="1"/>
  <c r="I464" i="1"/>
  <c r="I465" i="1"/>
  <c r="I466" i="1"/>
  <c r="I467" i="1"/>
  <c r="I468" i="1"/>
  <c r="I469" i="1"/>
  <c r="I470" i="1"/>
  <c r="I471" i="1"/>
  <c r="I472" i="1"/>
  <c r="I473" i="1"/>
  <c r="I474" i="1"/>
  <c r="I475" i="1"/>
  <c r="I476" i="1"/>
  <c r="I477" i="1"/>
  <c r="I478" i="1"/>
  <c r="I479" i="1"/>
  <c r="I480" i="1"/>
  <c r="I481" i="1"/>
  <c r="I482" i="1"/>
  <c r="I483" i="1"/>
  <c r="I484" i="1"/>
  <c r="I485" i="1"/>
  <c r="I486" i="1"/>
  <c r="I487" i="1"/>
  <c r="I488" i="1"/>
  <c r="I489" i="1"/>
  <c r="I490" i="1"/>
  <c r="I491" i="1"/>
  <c r="I492" i="1"/>
  <c r="I493" i="1"/>
  <c r="I494" i="1"/>
  <c r="I495" i="1"/>
  <c r="I496" i="1"/>
  <c r="I497" i="1"/>
  <c r="I498" i="1"/>
  <c r="I499" i="1"/>
  <c r="I500" i="1"/>
  <c r="I501" i="1"/>
  <c r="I502" i="1"/>
  <c r="I503" i="1"/>
  <c r="I504" i="1"/>
  <c r="I505" i="1"/>
  <c r="I506" i="1"/>
  <c r="I507" i="1"/>
  <c r="I508" i="1"/>
  <c r="I509" i="1"/>
  <c r="I510" i="1"/>
  <c r="I511" i="1"/>
  <c r="I512" i="1"/>
  <c r="I513" i="1"/>
  <c r="I514" i="1"/>
  <c r="I515" i="1"/>
  <c r="I516" i="1"/>
  <c r="I517" i="1"/>
  <c r="I518" i="1"/>
  <c r="I519" i="1"/>
  <c r="I520" i="1"/>
  <c r="I521" i="1"/>
  <c r="I522" i="1"/>
  <c r="I523" i="1"/>
  <c r="I524" i="1"/>
  <c r="I525" i="1"/>
  <c r="I526" i="1"/>
  <c r="I527" i="1"/>
  <c r="I528" i="1"/>
  <c r="I529" i="1"/>
  <c r="I530" i="1"/>
  <c r="I531" i="1"/>
  <c r="I532" i="1"/>
  <c r="I533" i="1"/>
  <c r="I534" i="1"/>
  <c r="I535" i="1"/>
  <c r="I536" i="1"/>
  <c r="I537" i="1"/>
  <c r="I538" i="1"/>
  <c r="I539" i="1"/>
  <c r="I540" i="1"/>
  <c r="I541" i="1"/>
  <c r="I542" i="1"/>
  <c r="I543" i="1"/>
  <c r="I544" i="1"/>
  <c r="I545" i="1"/>
  <c r="I546" i="1"/>
  <c r="I547" i="1"/>
  <c r="I548" i="1"/>
  <c r="I549" i="1"/>
  <c r="I550" i="1"/>
  <c r="I551" i="1"/>
  <c r="I552" i="1"/>
  <c r="I553" i="1"/>
  <c r="I554" i="1"/>
  <c r="I555" i="1"/>
  <c r="I556" i="1"/>
  <c r="I557" i="1"/>
  <c r="I558" i="1"/>
  <c r="I559" i="1"/>
  <c r="I560" i="1"/>
  <c r="I561" i="1"/>
  <c r="I562" i="1"/>
  <c r="I563" i="1"/>
  <c r="I564" i="1"/>
  <c r="I565" i="1"/>
  <c r="I566" i="1"/>
  <c r="I567" i="1"/>
  <c r="I568" i="1"/>
  <c r="I569" i="1"/>
  <c r="I570" i="1"/>
  <c r="I571" i="1"/>
  <c r="I572" i="1"/>
  <c r="I573" i="1"/>
  <c r="I574" i="1"/>
  <c r="I575" i="1"/>
  <c r="I576" i="1"/>
  <c r="I577" i="1"/>
  <c r="I578" i="1"/>
  <c r="I579" i="1"/>
  <c r="I580" i="1"/>
  <c r="I581" i="1"/>
  <c r="I582" i="1"/>
  <c r="I583" i="1"/>
  <c r="I584" i="1"/>
  <c r="I585" i="1"/>
  <c r="I586" i="1"/>
  <c r="I587" i="1"/>
  <c r="I588" i="1"/>
  <c r="I589" i="1"/>
  <c r="I590" i="1"/>
  <c r="I591" i="1"/>
  <c r="I592" i="1"/>
  <c r="I593" i="1"/>
  <c r="I594" i="1"/>
  <c r="I595" i="1"/>
  <c r="I596" i="1"/>
  <c r="I597" i="1"/>
  <c r="I598" i="1"/>
  <c r="I599" i="1"/>
  <c r="I600" i="1"/>
  <c r="I601" i="1"/>
  <c r="I602" i="1"/>
  <c r="I603" i="1"/>
  <c r="I604" i="1"/>
  <c r="I605" i="1"/>
  <c r="I606" i="1"/>
  <c r="I607" i="1"/>
  <c r="I608" i="1"/>
  <c r="I609" i="1"/>
  <c r="I610" i="1"/>
  <c r="I611" i="1"/>
  <c r="I612" i="1"/>
  <c r="I613" i="1"/>
  <c r="I614" i="1"/>
  <c r="I615" i="1"/>
  <c r="I616" i="1"/>
  <c r="I617" i="1"/>
  <c r="I618" i="1"/>
  <c r="I619" i="1"/>
  <c r="I620" i="1"/>
  <c r="I621" i="1"/>
  <c r="I622" i="1"/>
  <c r="I623" i="1"/>
  <c r="I624" i="1"/>
  <c r="I625" i="1"/>
  <c r="I626" i="1"/>
  <c r="I627" i="1"/>
  <c r="I628" i="1"/>
  <c r="I629" i="1"/>
  <c r="I630" i="1"/>
  <c r="I631" i="1"/>
  <c r="I632" i="1"/>
  <c r="I633" i="1"/>
  <c r="I634" i="1"/>
  <c r="I635" i="1"/>
  <c r="I636" i="1"/>
  <c r="I637" i="1"/>
  <c r="I638" i="1"/>
  <c r="I639" i="1"/>
  <c r="I640" i="1"/>
  <c r="I641" i="1"/>
  <c r="I642" i="1"/>
  <c r="I643" i="1"/>
  <c r="I644" i="1"/>
  <c r="I645" i="1"/>
  <c r="I646" i="1"/>
  <c r="I647" i="1"/>
  <c r="I648" i="1"/>
  <c r="I649" i="1"/>
  <c r="I650" i="1"/>
  <c r="I651" i="1"/>
  <c r="I652" i="1"/>
  <c r="I653" i="1"/>
  <c r="I654" i="1"/>
  <c r="I655" i="1"/>
  <c r="I656" i="1"/>
  <c r="I657" i="1"/>
  <c r="I658" i="1"/>
  <c r="I659" i="1"/>
  <c r="I660" i="1"/>
  <c r="I661" i="1"/>
  <c r="I662" i="1"/>
  <c r="I663" i="1"/>
  <c r="I664" i="1"/>
  <c r="I665" i="1"/>
  <c r="I666" i="1"/>
  <c r="I667" i="1"/>
  <c r="I668" i="1"/>
  <c r="I669" i="1"/>
  <c r="I670" i="1"/>
  <c r="I671" i="1"/>
  <c r="I672" i="1"/>
  <c r="I673" i="1"/>
  <c r="I674" i="1"/>
  <c r="I675" i="1"/>
  <c r="I676" i="1"/>
  <c r="I677" i="1"/>
  <c r="I678" i="1"/>
  <c r="I679" i="1"/>
  <c r="I680" i="1"/>
  <c r="I681" i="1"/>
  <c r="I682" i="1"/>
  <c r="I683" i="1"/>
  <c r="I684" i="1"/>
  <c r="I685" i="1"/>
  <c r="I686" i="1"/>
  <c r="I687" i="1"/>
  <c r="I688" i="1"/>
  <c r="I689" i="1"/>
  <c r="I690" i="1"/>
  <c r="I691" i="1"/>
  <c r="I692" i="1"/>
  <c r="I693" i="1"/>
  <c r="I694" i="1"/>
  <c r="I695" i="1"/>
  <c r="I696" i="1"/>
  <c r="I697" i="1"/>
  <c r="I698" i="1"/>
  <c r="I699" i="1"/>
  <c r="I700" i="1"/>
  <c r="I701" i="1"/>
  <c r="I702" i="1"/>
  <c r="I703" i="1"/>
  <c r="I704" i="1"/>
  <c r="I705" i="1"/>
  <c r="I706" i="1"/>
  <c r="I707" i="1"/>
  <c r="I708" i="1"/>
  <c r="I709" i="1"/>
  <c r="I710" i="1"/>
  <c r="I711" i="1"/>
  <c r="I712" i="1"/>
  <c r="I713" i="1"/>
  <c r="I714" i="1"/>
  <c r="I715" i="1"/>
  <c r="I716" i="1"/>
  <c r="I717" i="1"/>
  <c r="I718" i="1"/>
  <c r="I719" i="1"/>
  <c r="I720" i="1"/>
  <c r="I721" i="1"/>
  <c r="I722" i="1"/>
  <c r="I723" i="1"/>
  <c r="I724" i="1"/>
  <c r="I725" i="1"/>
  <c r="I726" i="1"/>
  <c r="I727" i="1"/>
  <c r="I728" i="1"/>
  <c r="I729" i="1"/>
  <c r="I730" i="1"/>
  <c r="I731" i="1"/>
  <c r="I732" i="1"/>
  <c r="I733" i="1"/>
  <c r="I734" i="1"/>
  <c r="I735" i="1"/>
  <c r="I736" i="1"/>
  <c r="I737" i="1"/>
  <c r="I738" i="1"/>
  <c r="I739" i="1"/>
  <c r="I740" i="1"/>
  <c r="I741" i="1"/>
  <c r="I742" i="1"/>
  <c r="I743" i="1"/>
  <c r="I744" i="1"/>
  <c r="I745" i="1"/>
  <c r="I746" i="1"/>
  <c r="I747" i="1"/>
  <c r="I748" i="1"/>
  <c r="I749" i="1"/>
  <c r="I750" i="1"/>
  <c r="I751" i="1"/>
  <c r="I752" i="1"/>
  <c r="I753" i="1"/>
  <c r="I754" i="1"/>
  <c r="I755" i="1"/>
  <c r="I756" i="1"/>
  <c r="I757" i="1"/>
  <c r="I758" i="1"/>
  <c r="I759" i="1"/>
  <c r="I760" i="1"/>
  <c r="I761" i="1"/>
  <c r="I762" i="1"/>
  <c r="I763" i="1"/>
  <c r="I764" i="1"/>
  <c r="I765" i="1"/>
  <c r="I766" i="1"/>
  <c r="I767" i="1"/>
  <c r="I768" i="1"/>
  <c r="I769" i="1"/>
  <c r="I770" i="1"/>
  <c r="I771" i="1"/>
  <c r="I772" i="1"/>
  <c r="I773" i="1"/>
  <c r="I774" i="1"/>
  <c r="I775" i="1"/>
  <c r="I776" i="1"/>
  <c r="I777" i="1"/>
  <c r="I778" i="1"/>
  <c r="I779" i="1"/>
  <c r="I780" i="1"/>
  <c r="I781" i="1"/>
  <c r="I782" i="1"/>
  <c r="I783" i="1"/>
  <c r="I784" i="1"/>
  <c r="I785" i="1"/>
  <c r="I786" i="1"/>
  <c r="I787" i="1"/>
  <c r="I788" i="1"/>
  <c r="I789" i="1"/>
  <c r="I790" i="1"/>
  <c r="I791" i="1"/>
  <c r="I792" i="1"/>
  <c r="I793" i="1"/>
  <c r="I794" i="1"/>
  <c r="I795" i="1"/>
  <c r="I796" i="1"/>
  <c r="I797" i="1"/>
  <c r="I798" i="1"/>
  <c r="I799" i="1"/>
  <c r="I800" i="1"/>
  <c r="I801" i="1"/>
  <c r="I802" i="1"/>
  <c r="I803" i="1"/>
  <c r="I804" i="1"/>
  <c r="I805" i="1"/>
  <c r="I806" i="1"/>
  <c r="I807" i="1"/>
  <c r="I808" i="1"/>
  <c r="I809" i="1"/>
  <c r="I810" i="1"/>
  <c r="I811" i="1"/>
  <c r="I812" i="1"/>
  <c r="I813" i="1"/>
  <c r="I814" i="1"/>
  <c r="I815" i="1"/>
  <c r="I816" i="1"/>
  <c r="I817" i="1"/>
  <c r="I818" i="1"/>
  <c r="I819" i="1"/>
  <c r="I820" i="1"/>
  <c r="I821" i="1"/>
  <c r="I822" i="1"/>
  <c r="I823" i="1"/>
  <c r="I824" i="1"/>
  <c r="I825" i="1"/>
  <c r="I826" i="1"/>
  <c r="I827" i="1"/>
  <c r="I828" i="1"/>
  <c r="I829" i="1"/>
  <c r="I830" i="1"/>
  <c r="I831" i="1"/>
  <c r="I832" i="1"/>
  <c r="I833" i="1"/>
  <c r="I834" i="1"/>
  <c r="I835" i="1"/>
  <c r="I836" i="1"/>
  <c r="I837" i="1"/>
  <c r="I838" i="1"/>
  <c r="I839" i="1"/>
  <c r="I840" i="1"/>
  <c r="I841" i="1"/>
  <c r="I842" i="1"/>
  <c r="I843" i="1"/>
  <c r="I844" i="1"/>
  <c r="I845" i="1"/>
  <c r="I846" i="1"/>
  <c r="I847" i="1"/>
  <c r="I848" i="1"/>
  <c r="I849" i="1"/>
  <c r="I850" i="1"/>
  <c r="I851" i="1"/>
  <c r="I852" i="1"/>
  <c r="I853" i="1"/>
  <c r="I854" i="1"/>
  <c r="I855" i="1"/>
  <c r="I856" i="1"/>
  <c r="I857" i="1"/>
  <c r="I858" i="1"/>
  <c r="I859" i="1"/>
  <c r="I860" i="1"/>
  <c r="I861" i="1"/>
  <c r="I862" i="1"/>
  <c r="I863" i="1"/>
  <c r="I864" i="1"/>
  <c r="I865" i="1"/>
  <c r="I866" i="1"/>
  <c r="I867" i="1"/>
  <c r="I868" i="1"/>
  <c r="I869" i="1"/>
  <c r="I870" i="1"/>
  <c r="I871" i="1"/>
  <c r="I872" i="1"/>
  <c r="I873" i="1"/>
  <c r="I874" i="1"/>
  <c r="I875" i="1"/>
  <c r="I876" i="1"/>
  <c r="I877" i="1"/>
  <c r="I878" i="1"/>
  <c r="I879" i="1"/>
  <c r="I880" i="1"/>
  <c r="I881" i="1"/>
  <c r="I882" i="1"/>
  <c r="I883" i="1"/>
  <c r="I884" i="1"/>
  <c r="I885" i="1"/>
  <c r="I886" i="1"/>
  <c r="I887" i="1"/>
  <c r="I888" i="1"/>
  <c r="I889" i="1"/>
  <c r="I890" i="1"/>
  <c r="I891" i="1"/>
  <c r="I892" i="1"/>
  <c r="I893" i="1"/>
  <c r="I894" i="1"/>
  <c r="I895" i="1"/>
  <c r="I896" i="1"/>
  <c r="I897" i="1"/>
  <c r="I898" i="1"/>
  <c r="I899" i="1"/>
  <c r="I900" i="1"/>
  <c r="I901" i="1"/>
  <c r="I902" i="1"/>
  <c r="I903" i="1"/>
  <c r="I904" i="1"/>
  <c r="I905" i="1"/>
  <c r="I906" i="1"/>
  <c r="I907" i="1"/>
  <c r="I908" i="1"/>
  <c r="I909" i="1"/>
  <c r="I910" i="1"/>
  <c r="I911" i="1"/>
  <c r="I912" i="1"/>
  <c r="I913" i="1"/>
  <c r="I914" i="1"/>
  <c r="I915" i="1"/>
  <c r="I916" i="1"/>
  <c r="I917" i="1"/>
  <c r="I918" i="1"/>
  <c r="I919" i="1"/>
  <c r="I920" i="1"/>
  <c r="I921" i="1"/>
  <c r="I922" i="1"/>
  <c r="I923" i="1"/>
  <c r="I924" i="1"/>
  <c r="I925" i="1"/>
  <c r="I926" i="1"/>
  <c r="I927" i="1"/>
  <c r="I928" i="1"/>
  <c r="I929" i="1"/>
  <c r="I930" i="1"/>
  <c r="I931" i="1"/>
  <c r="I932" i="1"/>
  <c r="I933" i="1"/>
  <c r="I934" i="1"/>
  <c r="I935" i="1"/>
  <c r="I936" i="1"/>
  <c r="I937" i="1"/>
  <c r="I938" i="1"/>
  <c r="I939" i="1"/>
  <c r="I940" i="1"/>
  <c r="I941" i="1"/>
  <c r="I942" i="1"/>
  <c r="I943" i="1"/>
  <c r="I944" i="1"/>
  <c r="I945" i="1"/>
  <c r="I946" i="1"/>
  <c r="I947" i="1"/>
  <c r="I948" i="1"/>
  <c r="I949" i="1"/>
  <c r="I950" i="1"/>
  <c r="I951" i="1"/>
  <c r="I952" i="1"/>
  <c r="I953" i="1"/>
  <c r="I954" i="1"/>
  <c r="I955" i="1"/>
  <c r="I956" i="1"/>
  <c r="I957" i="1"/>
  <c r="I958" i="1"/>
  <c r="I959" i="1"/>
  <c r="I960" i="1"/>
  <c r="I961" i="1"/>
  <c r="I962" i="1"/>
  <c r="I963" i="1"/>
  <c r="I964" i="1"/>
  <c r="I965" i="1"/>
  <c r="I966" i="1"/>
  <c r="I967" i="1"/>
  <c r="I968" i="1"/>
  <c r="I969" i="1"/>
  <c r="I970" i="1"/>
  <c r="I971" i="1"/>
  <c r="I972" i="1"/>
  <c r="I973" i="1"/>
  <c r="I974" i="1"/>
  <c r="I975" i="1"/>
  <c r="I976" i="1"/>
  <c r="I977" i="1"/>
  <c r="I978" i="1"/>
  <c r="I979" i="1"/>
  <c r="I980" i="1"/>
  <c r="I981" i="1"/>
  <c r="I982" i="1"/>
  <c r="I983" i="1"/>
  <c r="I984" i="1"/>
  <c r="I985" i="1"/>
  <c r="I986" i="1"/>
  <c r="I987" i="1"/>
  <c r="I988" i="1"/>
  <c r="I989" i="1"/>
  <c r="I990" i="1"/>
  <c r="I991" i="1"/>
  <c r="I992" i="1"/>
  <c r="I993" i="1"/>
  <c r="I994" i="1"/>
  <c r="I995" i="1"/>
  <c r="I996" i="1"/>
  <c r="I997" i="1"/>
  <c r="I998" i="1"/>
  <c r="I999" i="1"/>
  <c r="I1000" i="1"/>
  <c r="I1001" i="1"/>
  <c r="I1002" i="1"/>
  <c r="I1003" i="1"/>
  <c r="I1004" i="1"/>
  <c r="I1005" i="1"/>
  <c r="I1006" i="1"/>
  <c r="I1007" i="1"/>
  <c r="I1008" i="1"/>
  <c r="I1009" i="1"/>
  <c r="I1010" i="1"/>
  <c r="I1011" i="1"/>
  <c r="I1012" i="1"/>
  <c r="I1013" i="1"/>
  <c r="I1014" i="1"/>
  <c r="I1015" i="1"/>
  <c r="I1016" i="1"/>
  <c r="I1017" i="1"/>
  <c r="I1018" i="1"/>
  <c r="I1019" i="1"/>
  <c r="I1020" i="1"/>
  <c r="I1021" i="1"/>
  <c r="I1022" i="1"/>
  <c r="I1023" i="1"/>
  <c r="I1024" i="1"/>
  <c r="I1025" i="1"/>
  <c r="I1026" i="1"/>
  <c r="I1027" i="1"/>
  <c r="I1028" i="1"/>
  <c r="I1029" i="1"/>
  <c r="I1030" i="1"/>
  <c r="I1031" i="1"/>
  <c r="I1032" i="1"/>
  <c r="I1033" i="1"/>
  <c r="I1034" i="1"/>
  <c r="I1035" i="1"/>
  <c r="I1036" i="1"/>
  <c r="I1037" i="1"/>
  <c r="I1038" i="1"/>
  <c r="I1039" i="1"/>
  <c r="I1040" i="1"/>
  <c r="I1041" i="1"/>
  <c r="I1042" i="1"/>
  <c r="I1043" i="1"/>
  <c r="I1044" i="1"/>
  <c r="I1045" i="1"/>
  <c r="I1046" i="1"/>
  <c r="I1047" i="1"/>
  <c r="I1048" i="1"/>
  <c r="I1049" i="1"/>
  <c r="I1050" i="1"/>
  <c r="I1051" i="1"/>
  <c r="I1052" i="1"/>
  <c r="I1053" i="1"/>
  <c r="I1054" i="1"/>
  <c r="I1055" i="1"/>
  <c r="I1056" i="1"/>
  <c r="I1057" i="1"/>
  <c r="I1058" i="1"/>
  <c r="I1059" i="1"/>
  <c r="I1060" i="1"/>
  <c r="I1061" i="1"/>
  <c r="I1062" i="1"/>
  <c r="I1063" i="1"/>
  <c r="I1064" i="1"/>
  <c r="I1065" i="1"/>
  <c r="I1066" i="1"/>
  <c r="I1067" i="1"/>
  <c r="I1068" i="1"/>
  <c r="I1069" i="1"/>
  <c r="I1070" i="1"/>
  <c r="I1071" i="1"/>
  <c r="I1072" i="1"/>
  <c r="I1073" i="1"/>
  <c r="I1074" i="1"/>
  <c r="I1075" i="1"/>
  <c r="I1076" i="1"/>
  <c r="I1077" i="1"/>
  <c r="I1078" i="1"/>
  <c r="I1079" i="1"/>
  <c r="I1080" i="1"/>
  <c r="I1081" i="1"/>
  <c r="I1082" i="1"/>
  <c r="I1083" i="1"/>
  <c r="I1084" i="1"/>
  <c r="I1085" i="1"/>
  <c r="I1086" i="1"/>
  <c r="I1087" i="1"/>
  <c r="I1088" i="1"/>
  <c r="I1089" i="1"/>
  <c r="I1090" i="1"/>
  <c r="I1091" i="1"/>
  <c r="I1092" i="1"/>
  <c r="I1093" i="1"/>
  <c r="I1094" i="1"/>
  <c r="I1095" i="1"/>
  <c r="I1096" i="1"/>
  <c r="I1097" i="1"/>
  <c r="I1098" i="1"/>
  <c r="I1099" i="1"/>
  <c r="I1100" i="1"/>
  <c r="I1101" i="1"/>
  <c r="I1102" i="1"/>
  <c r="I1103" i="1"/>
  <c r="I1104" i="1"/>
  <c r="I1105" i="1"/>
  <c r="I1106" i="1"/>
  <c r="I1107" i="1"/>
  <c r="I1108" i="1"/>
  <c r="I1109" i="1"/>
  <c r="I1110" i="1"/>
  <c r="I1111" i="1"/>
  <c r="I1112" i="1"/>
  <c r="I1113" i="1"/>
  <c r="I1114" i="1"/>
  <c r="I1115" i="1"/>
  <c r="I1116" i="1"/>
  <c r="I1117" i="1"/>
  <c r="I1118" i="1"/>
  <c r="I1119" i="1"/>
  <c r="I1120" i="1"/>
  <c r="I1121" i="1"/>
  <c r="I1122" i="1"/>
  <c r="I1123" i="1"/>
  <c r="I1124" i="1"/>
  <c r="I1125" i="1"/>
  <c r="I1126" i="1"/>
  <c r="I1127" i="1"/>
  <c r="I1128" i="1"/>
  <c r="I1129" i="1"/>
  <c r="I1130" i="1"/>
  <c r="I1131" i="1"/>
  <c r="I1132" i="1"/>
  <c r="I1133" i="1"/>
  <c r="I1134" i="1"/>
  <c r="I1135" i="1"/>
  <c r="I1136" i="1"/>
  <c r="I1137" i="1"/>
  <c r="I1138" i="1"/>
  <c r="I1139" i="1"/>
  <c r="I1140" i="1"/>
  <c r="I1141" i="1"/>
  <c r="I1142" i="1"/>
  <c r="I1143" i="1"/>
  <c r="I1144" i="1"/>
  <c r="I1145" i="1"/>
  <c r="I1146" i="1"/>
  <c r="I1147" i="1"/>
  <c r="I1148" i="1"/>
  <c r="I1149" i="1"/>
  <c r="I1150" i="1"/>
  <c r="I1151" i="1"/>
  <c r="I1152" i="1"/>
  <c r="I1153" i="1"/>
  <c r="I1154" i="1"/>
  <c r="I1155" i="1"/>
  <c r="I1156" i="1"/>
  <c r="I1157" i="1"/>
  <c r="I1158" i="1"/>
  <c r="I1159" i="1"/>
  <c r="I1160" i="1"/>
  <c r="I1161" i="1"/>
  <c r="I1162" i="1"/>
  <c r="I1163" i="1"/>
  <c r="I1164" i="1"/>
  <c r="I1165" i="1"/>
  <c r="I1166" i="1"/>
  <c r="I1167" i="1"/>
  <c r="I1168" i="1"/>
  <c r="I1169" i="1"/>
  <c r="I1170" i="1"/>
  <c r="I1171" i="1"/>
  <c r="I1172" i="1"/>
  <c r="I1173" i="1"/>
  <c r="I1174" i="1"/>
  <c r="I1175" i="1"/>
  <c r="I1176" i="1"/>
  <c r="I1177" i="1"/>
  <c r="I1178" i="1"/>
  <c r="I1179" i="1"/>
  <c r="I1180" i="1"/>
  <c r="I1181" i="1"/>
  <c r="I1182" i="1"/>
  <c r="I1183" i="1"/>
  <c r="I1184" i="1"/>
  <c r="I1185" i="1"/>
  <c r="I1186" i="1"/>
  <c r="I1187" i="1"/>
  <c r="I1188" i="1"/>
  <c r="I1189" i="1"/>
  <c r="I1190" i="1"/>
  <c r="I1191" i="1"/>
  <c r="I1192" i="1"/>
  <c r="I1193" i="1"/>
  <c r="I1194" i="1"/>
  <c r="I1195" i="1"/>
  <c r="I1196" i="1"/>
  <c r="I1197" i="1"/>
  <c r="I1198" i="1"/>
  <c r="I1199" i="1"/>
  <c r="I1200" i="1"/>
  <c r="I1201" i="1"/>
  <c r="I1202" i="1"/>
  <c r="I1203" i="1"/>
  <c r="I1204" i="1"/>
  <c r="I1205" i="1"/>
  <c r="I1206" i="1"/>
  <c r="I1207" i="1"/>
  <c r="I1208" i="1"/>
  <c r="I1209" i="1"/>
  <c r="I1210" i="1"/>
  <c r="I1211" i="1"/>
  <c r="I1212" i="1"/>
  <c r="I1213" i="1"/>
  <c r="I1214" i="1"/>
  <c r="I1215" i="1"/>
  <c r="I1216" i="1"/>
  <c r="I1217" i="1"/>
  <c r="I1218" i="1"/>
  <c r="I1219" i="1"/>
  <c r="I1220" i="1"/>
  <c r="I1221" i="1"/>
  <c r="I1222" i="1"/>
  <c r="I1223" i="1"/>
  <c r="I1224" i="1"/>
  <c r="I1225" i="1"/>
  <c r="I1226" i="1"/>
  <c r="I1227" i="1"/>
  <c r="I1228" i="1"/>
  <c r="I1229" i="1"/>
  <c r="I1230" i="1"/>
  <c r="I1231" i="1"/>
  <c r="I1232" i="1"/>
  <c r="I1233" i="1"/>
  <c r="I1234" i="1"/>
  <c r="I1235" i="1"/>
  <c r="I1236" i="1"/>
  <c r="I1237" i="1"/>
  <c r="I1238" i="1"/>
  <c r="I1239" i="1"/>
  <c r="I1240" i="1"/>
  <c r="I1241" i="1"/>
  <c r="I1242" i="1"/>
  <c r="I1243" i="1"/>
  <c r="I1244" i="1"/>
  <c r="I1245" i="1"/>
  <c r="I1246" i="1"/>
  <c r="I1247" i="1"/>
  <c r="I1248" i="1"/>
  <c r="I1249" i="1"/>
  <c r="I1250" i="1"/>
  <c r="I1251" i="1"/>
  <c r="I1252" i="1"/>
  <c r="I1253" i="1"/>
  <c r="I1254" i="1"/>
  <c r="I1255" i="1"/>
  <c r="I1256" i="1"/>
  <c r="I1257" i="1"/>
  <c r="I1258" i="1"/>
  <c r="I1259" i="1"/>
  <c r="I1260" i="1"/>
  <c r="I1261" i="1"/>
  <c r="I1262" i="1"/>
  <c r="I1263" i="1"/>
  <c r="I1264" i="1"/>
  <c r="I1265" i="1"/>
  <c r="I1266" i="1"/>
  <c r="I1267" i="1"/>
  <c r="I1268" i="1"/>
  <c r="I1269" i="1"/>
  <c r="I1270" i="1"/>
  <c r="I1271" i="1"/>
  <c r="I1272" i="1"/>
  <c r="I1273" i="1"/>
  <c r="I1274" i="1"/>
  <c r="I1275" i="1"/>
  <c r="I1276" i="1"/>
  <c r="I1277" i="1"/>
  <c r="I1278" i="1"/>
  <c r="I1279" i="1"/>
  <c r="I1280" i="1"/>
  <c r="I1281" i="1"/>
  <c r="I1282" i="1"/>
  <c r="I1283" i="1"/>
  <c r="I1284" i="1"/>
  <c r="I1285" i="1"/>
  <c r="I1286" i="1"/>
  <c r="I1287" i="1"/>
</calcChain>
</file>

<file path=xl/sharedStrings.xml><?xml version="1.0" encoding="utf-8"?>
<sst xmlns="http://schemas.openxmlformats.org/spreadsheetml/2006/main" count="6708" uniqueCount="212">
  <si>
    <t>Person</t>
  </si>
  <si>
    <t>Marketplace</t>
  </si>
  <si>
    <t>Tasks Frequency</t>
  </si>
  <si>
    <t>Task Type</t>
  </si>
  <si>
    <t>Time in Min</t>
  </si>
  <si>
    <t>Date</t>
  </si>
  <si>
    <t>Account Management</t>
  </si>
  <si>
    <t>Getflow Update</t>
  </si>
  <si>
    <t>Daily</t>
  </si>
  <si>
    <t>QC</t>
  </si>
  <si>
    <t>Team Meeting</t>
  </si>
  <si>
    <t>One - Time</t>
  </si>
  <si>
    <t>Stock</t>
  </si>
  <si>
    <t>Weekly</t>
  </si>
  <si>
    <t>Listing Synchronization</t>
  </si>
  <si>
    <t>Stock Review</t>
  </si>
  <si>
    <t>Mapped Listing buy box and Automated pricing</t>
  </si>
  <si>
    <t>Listing Optimization</t>
  </si>
  <si>
    <t>Bi-Weekly</t>
  </si>
  <si>
    <t>Weekly Feedback on SC and AHS</t>
  </si>
  <si>
    <t>Client Meeting</t>
  </si>
  <si>
    <t xml:space="preserve">Hours
</t>
  </si>
  <si>
    <t>FBA Reconciliation Sheet</t>
  </si>
  <si>
    <t>MFN Reconciliation Sheet</t>
  </si>
  <si>
    <t>Row Labels</t>
  </si>
  <si>
    <t>Grand Total</t>
  </si>
  <si>
    <t>Sum of Time in Min</t>
  </si>
  <si>
    <t xml:space="preserve">Sum of Hours
</t>
  </si>
  <si>
    <t>Column Labels</t>
  </si>
  <si>
    <t>Wk Start Date</t>
  </si>
  <si>
    <t>FBA Stock Review</t>
  </si>
  <si>
    <t>Campaign Optimization</t>
  </si>
  <si>
    <t>(All)</t>
  </si>
  <si>
    <t>Task Types</t>
  </si>
  <si>
    <t xml:space="preserve">Total Hours
</t>
  </si>
  <si>
    <t>Price Monitoring</t>
  </si>
  <si>
    <t>AHS</t>
  </si>
  <si>
    <t>AHS Sheet Update</t>
  </si>
  <si>
    <t>New Listing</t>
  </si>
  <si>
    <t>All Markets</t>
  </si>
  <si>
    <t>Internal Meeting</t>
  </si>
  <si>
    <t>FBA Seller Flex Accounts Reconciliation</t>
  </si>
  <si>
    <t>All Market</t>
  </si>
  <si>
    <t>Getflow Task Update</t>
  </si>
  <si>
    <t>Daily Stock Update</t>
  </si>
  <si>
    <t>Amazon Chime Meeting</t>
  </si>
  <si>
    <t>Amazon MFN Accounts Reconciliation</t>
  </si>
  <si>
    <t>Getflow</t>
  </si>
  <si>
    <t>Account Health Review</t>
  </si>
  <si>
    <t>FBA Seller Flex Amount Dispute</t>
  </si>
  <si>
    <t>Price Review</t>
  </si>
  <si>
    <t>Weekly Feedback on SC &amp; AHS</t>
  </si>
  <si>
    <t>Internal Price Match</t>
  </si>
  <si>
    <t>FBA Reconciliation update- Mail Priority</t>
  </si>
  <si>
    <t>FBA Orders -Return Process</t>
  </si>
  <si>
    <t>Task Priority Sheet</t>
  </si>
  <si>
    <t>Case Raise</t>
  </si>
  <si>
    <t>Compatitor Analysis</t>
  </si>
  <si>
    <t>Category Sorting</t>
  </si>
  <si>
    <t>Stock Sheet Update</t>
  </si>
  <si>
    <t>Flash deal Sale</t>
  </si>
  <si>
    <t>Tool Orientation - Helium 10</t>
  </si>
  <si>
    <t>Weekly Confirmation</t>
  </si>
  <si>
    <t>Coupon List Fall Sales</t>
  </si>
  <si>
    <t>Catalog Sheet</t>
  </si>
  <si>
    <t>Report creation</t>
  </si>
  <si>
    <t>Weekly Confirmation Sheet</t>
  </si>
  <si>
    <t>FBA Return Process</t>
  </si>
  <si>
    <t>Ecommerce Stock Sheet and ERP Sheet</t>
  </si>
  <si>
    <t>Monthly</t>
  </si>
  <si>
    <t>Ecommerce Price List Mapping - Compare Special Price with Retail Marked Price</t>
  </si>
  <si>
    <t>Competitor Analysis</t>
  </si>
  <si>
    <t>FBA Orders - Returns Process- Mail Priority</t>
  </si>
  <si>
    <t>Automation Merchandising</t>
  </si>
  <si>
    <t>Task Priority Sheet Update</t>
  </si>
  <si>
    <t>ABC Report</t>
  </si>
  <si>
    <t>Weekly Feedback on AHS &amp; SC</t>
  </si>
  <si>
    <t>FBA Stock Update</t>
  </si>
  <si>
    <t>A+ Content</t>
  </si>
  <si>
    <t>FBA Reconciliation Sheet- Mail/Call</t>
  </si>
  <si>
    <t>FBA Reconciliation Sheet weekly Update</t>
  </si>
  <si>
    <t>CostAnalysis</t>
  </si>
  <si>
    <t>MFN Reconciliation Sheet weekly Update</t>
  </si>
  <si>
    <t>White Friday/Single Day Deal Sheet- Mail Priority</t>
  </si>
  <si>
    <t>VC Discount Coupons</t>
  </si>
  <si>
    <t>Merchandising SOP &amp; Automation Opportunity</t>
  </si>
  <si>
    <t>Meeting- Danica</t>
  </si>
  <si>
    <t>Sale</t>
  </si>
  <si>
    <t>Account Health</t>
  </si>
  <si>
    <t>Product and Customer ABC Reports</t>
  </si>
  <si>
    <t>Avdertisement</t>
  </si>
  <si>
    <t>Stock Update</t>
  </si>
  <si>
    <t>Cost Sheet Review</t>
  </si>
  <si>
    <t>Free Assembly &amp; Paid Assembly</t>
  </si>
  <si>
    <t>Weekly Check of Feedback - SC and AHS</t>
  </si>
  <si>
    <t>Listing Synchronization - Check Seller Central Price with Retail Marked Price</t>
  </si>
  <si>
    <t>Meeting</t>
  </si>
  <si>
    <t>Weekly Task Priority Sheet</t>
  </si>
  <si>
    <t>Review not meeting guidelines AE &amp; SA</t>
  </si>
  <si>
    <t>Amazon Seller Flex (AE)</t>
  </si>
  <si>
    <t>Listing Synchronization - Compare Unit Costs with Wholesale Last Prices</t>
  </si>
  <si>
    <t>Arrival Notice</t>
  </si>
  <si>
    <t>FBA Reconciliation Weekly Update</t>
  </si>
  <si>
    <t>External Price Match</t>
  </si>
  <si>
    <t>Stock Reivew</t>
  </si>
  <si>
    <t>Amazon Selection Expansion</t>
  </si>
  <si>
    <t>Updated client's instruction sheet</t>
  </si>
  <si>
    <t>Remap</t>
  </si>
  <si>
    <t>External Price Match Sheet Review</t>
  </si>
  <si>
    <t>Mail Priority - Lead Time Configuration for Reception Desk</t>
  </si>
  <si>
    <t>Product Fulfillment Weight</t>
  </si>
  <si>
    <t>Gaming Week Promotion</t>
  </si>
  <si>
    <t>Escalation Management</t>
  </si>
  <si>
    <t>AHS Sheet - Review Mail priority</t>
  </si>
  <si>
    <t>AHS Sheet</t>
  </si>
  <si>
    <t>Weekly Confirmation Report</t>
  </si>
  <si>
    <t>Bi-weekly</t>
  </si>
  <si>
    <t>VC Master Sheet</t>
  </si>
  <si>
    <t>Price Review- E-commerce</t>
  </si>
  <si>
    <t>Cost Review Sheet</t>
  </si>
  <si>
    <t>Free Assembly/Paid Assembly</t>
  </si>
  <si>
    <t>VC Price Master</t>
  </si>
  <si>
    <t>VC Inventory Review</t>
  </si>
  <si>
    <t>VC Coupon Created</t>
  </si>
  <si>
    <t>Coupon</t>
  </si>
  <si>
    <t>Category Sorting Sheet</t>
  </si>
  <si>
    <t>FBA Sellerflex amount dispute</t>
  </si>
  <si>
    <t>Price Match</t>
  </si>
  <si>
    <t>FBA reconciliation Update</t>
  </si>
  <si>
    <t>ALL OTHER MARKETPLACE SYNCHING STATUS</t>
  </si>
  <si>
    <t>Monday</t>
  </si>
  <si>
    <t>FBA Reconciliation update</t>
  </si>
  <si>
    <t>Customer Product Reviews Policy Violations</t>
  </si>
  <si>
    <t>Fall 'n' Autumn Sale Sheet Update</t>
  </si>
  <si>
    <t>MFN Reconciliation update</t>
  </si>
  <si>
    <t>05-Jun-22 - to - 11-Jun-22</t>
  </si>
  <si>
    <t xml:space="preserve"> Flow Task Name</t>
  </si>
  <si>
    <t>Invoice Price Monitor</t>
  </si>
  <si>
    <t>Urgent</t>
  </si>
  <si>
    <t>Category and Sub-category Sorting</t>
  </si>
  <si>
    <t>Jennifer</t>
  </si>
  <si>
    <t>David</t>
  </si>
  <si>
    <t>MACY’S</t>
  </si>
  <si>
    <t>Lowe’s</t>
  </si>
  <si>
    <t>Kroger</t>
  </si>
  <si>
    <t>Target.USA</t>
  </si>
  <si>
    <t>BestBuy.CA</t>
  </si>
  <si>
    <t>Wayfair.USA</t>
  </si>
  <si>
    <t>Wayfair Meeting</t>
  </si>
  <si>
    <t>BestBuy.CA Meeting</t>
  </si>
  <si>
    <t>Newegg.CA</t>
  </si>
  <si>
    <t>Macy's</t>
  </si>
  <si>
    <t>Canada Store</t>
  </si>
  <si>
    <t>Canada Store Stock Sheet</t>
  </si>
  <si>
    <t>Amazon.CA (VC)</t>
  </si>
  <si>
    <t>VC CA Shortage Claim</t>
  </si>
  <si>
    <t>CA-VC Result of Shortage Claims Dispute</t>
  </si>
  <si>
    <t>Amazon.USA (SC)</t>
  </si>
  <si>
    <t>Amazon.USA (VC)</t>
  </si>
  <si>
    <t>Amazon.CA (SC)</t>
  </si>
  <si>
    <t>Canadiantire.CA</t>
  </si>
  <si>
    <t xml:space="preserve"> CA Remap</t>
  </si>
  <si>
    <t>USA-Reviews not meeting Amazon guidelines</t>
  </si>
  <si>
    <t>CA-Reviews not meeting Amazon guidelines</t>
  </si>
  <si>
    <t>Amazon Wayfair (USA)</t>
  </si>
  <si>
    <t>Amazon Wayfair(USA)</t>
  </si>
  <si>
    <t>CA Open, Confirmed But not yet Invoice</t>
  </si>
  <si>
    <t xml:space="preserve"> Kroger Listing</t>
  </si>
  <si>
    <t>Kroger Price Review</t>
  </si>
  <si>
    <t>MACY’S Product Attribution</t>
  </si>
  <si>
    <t>MACY’S UPC in products</t>
  </si>
  <si>
    <t>Canada Inbounding - 500 Items should be on offer</t>
  </si>
  <si>
    <t>BestBuy.CA New Products</t>
  </si>
  <si>
    <t>Newegg Support</t>
  </si>
  <si>
    <t>BestBuy.CA  Stock update sheet and report on No. of active SKUs</t>
  </si>
  <si>
    <t>Canada Remap</t>
  </si>
  <si>
    <t>FBA Canada Amount Dispute</t>
  </si>
  <si>
    <t xml:space="preserve">Month </t>
  </si>
  <si>
    <t>Jun</t>
  </si>
  <si>
    <t>Jan</t>
  </si>
  <si>
    <t>Feb</t>
  </si>
  <si>
    <t>Mar</t>
  </si>
  <si>
    <t>Apr</t>
  </si>
  <si>
    <t>May</t>
  </si>
  <si>
    <t>Jul</t>
  </si>
  <si>
    <t>Aug</t>
  </si>
  <si>
    <t>Sep</t>
  </si>
  <si>
    <t>Oct</t>
  </si>
  <si>
    <t>Nov</t>
  </si>
  <si>
    <t>Dec</t>
  </si>
  <si>
    <t>09-Jan-22 - to - 15-Jan-22</t>
  </si>
  <si>
    <t>06-Feb-22 - to - 12-Feb-22</t>
  </si>
  <si>
    <t>06-Mar-22 - to - 12-Mar-22</t>
  </si>
  <si>
    <t>10-Apr-22 - to - 16-Apr-22</t>
  </si>
  <si>
    <t>08-May-22 - to - 14-May-22</t>
  </si>
  <si>
    <t>03-Jul-22 - to - 09-Jul-22</t>
  </si>
  <si>
    <t>10-Jul-22 - to - 16-Jul-22</t>
  </si>
  <si>
    <t>07-Aug-22 - to - 13-Aug-22</t>
  </si>
  <si>
    <t>04-Sep-22 - to - 10-Sep-22</t>
  </si>
  <si>
    <t>11-Sep-22 - to - 17-Sep-22</t>
  </si>
  <si>
    <t>02-Oct-22 - to - 08-Oct-22</t>
  </si>
  <si>
    <t>09-Oct-22 - to - 15-Oct-22</t>
  </si>
  <si>
    <t>06-Nov-22 - to - 12-Nov-22</t>
  </si>
  <si>
    <t>04-Dec-22 - to - 10-Dec-22</t>
  </si>
  <si>
    <t>11-Dec-22 - to - 17-Dec-22</t>
  </si>
  <si>
    <t>13-Nov-22 - to - 19-Nov-22</t>
  </si>
  <si>
    <t>16-Oct-22 - to - 22-Oct-22</t>
  </si>
  <si>
    <t>18-Sep-22 - to - 24-Sep-22</t>
  </si>
  <si>
    <t>20-Nov-22 - to - 26-Nov-22</t>
  </si>
  <si>
    <t>23-Oct-22 - to - 29-Oct-22</t>
  </si>
  <si>
    <t>25-Sep-22 - to - 01-Oct-22</t>
  </si>
  <si>
    <t>30-Oct-22 - to - 05-Nov-22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</si>
</sst>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409]d/mmm/yy;@"/>
    <numFmt numFmtId="165" formatCode="mmm"/>
  </numFmts>
  <fonts count="14">
    <font>
      <sz val="10"/>
      <color rgb="FF000000"/>
      <name val="Calibri"/>
      <scheme val="minor"/>
    </font>
    <font>
      <b/>
      <sz val="13"/>
      <color rgb="FF000000"/>
      <name val="&quot;Times New Roman&quot;"/>
    </font>
    <font>
      <b/>
      <sz val="13"/>
      <color rgb="FFFFFFFF"/>
      <name val="Times New Roman"/>
      <family val="1"/>
    </font>
    <font>
      <b/>
      <sz val="13"/>
      <color theme="1"/>
      <name val="Times New Roman"/>
      <family val="1"/>
    </font>
    <font>
      <sz val="13"/>
      <color rgb="FF000000"/>
      <name val="&quot;Times New Roman&quot;"/>
    </font>
    <font>
      <sz val="13"/>
      <color theme="1"/>
      <name val="&quot;Times New Roman&quot;"/>
    </font>
    <font>
      <b/>
      <sz val="10"/>
      <color rgb="FF000000"/>
      <name val="Calibri"/>
      <family val="2"/>
      <scheme val="minor"/>
    </font>
    <font>
      <sz val="8"/>
      <name val="Calibri"/>
      <family val="2"/>
      <scheme val="minor"/>
    </font>
    <font>
      <sz val="11"/>
      <color theme="1"/>
      <name val="Calibri"/>
      <family val="2"/>
    </font>
    <font>
      <b/>
      <sz val="22"/>
      <color rgb="FF000000"/>
      <name val="Calibri"/>
      <family val="2"/>
    </font>
    <font>
      <sz val="10"/>
      <color rgb="FF000000"/>
      <name val="Calibri"/>
      <family val="2"/>
    </font>
    <font>
      <sz val="10"/>
      <color rgb="FF000000"/>
      <name val="Calibri"/>
      <family val="2"/>
      <scheme val="minor"/>
    </font>
    <font>
      <b/>
      <sz val="10"/>
      <color theme="1"/>
      <name val="Calibri"/>
      <family val="2"/>
      <scheme val="minor"/>
    </font>
    <font>
      <sz val="10"/>
      <color theme="1"/>
      <name val="Calibri"/>
      <family val="2"/>
      <scheme val="minor"/>
    </font>
  </fonts>
  <fills count="8">
    <fill>
      <patternFill patternType="none"/>
    </fill>
    <fill>
      <patternFill patternType="gray125"/>
    </fill>
    <fill>
      <patternFill patternType="solid">
        <fgColor rgb="FFB6D7A8"/>
        <bgColor rgb="FFB6D7A8"/>
      </patternFill>
    </fill>
    <fill>
      <patternFill patternType="solid">
        <fgColor rgb="FFEA4335"/>
        <bgColor rgb="FFEA4335"/>
      </patternFill>
    </fill>
    <fill>
      <patternFill patternType="solid">
        <fgColor theme="0"/>
        <bgColor theme="0"/>
      </patternFill>
    </fill>
    <fill>
      <patternFill patternType="solid">
        <fgColor rgb="FFFFFF00"/>
        <bgColor indexed="64"/>
      </patternFill>
    </fill>
    <fill>
      <patternFill patternType="solid">
        <fgColor theme="0"/>
        <bgColor indexed="64"/>
      </patternFill>
    </fill>
    <fill>
      <patternFill patternType="solid">
        <fgColor theme="4" tint="-0.499984740745262"/>
        <bgColor indexed="64"/>
      </patternFill>
    </fill>
  </fills>
  <borders count="5">
    <border>
      <left/>
      <right/>
      <top/>
      <bottom/>
      <diagonal/>
    </border>
    <border>
      <left style="thin">
        <color rgb="FF000000"/>
      </left>
      <right style="thin">
        <color rgb="FF000000"/>
      </right>
      <top/>
      <bottom/>
      <diagonal/>
    </border>
    <border>
      <left/>
      <right style="thin">
        <color rgb="FF000000"/>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11" fillId="0" borderId="0"/>
  </cellStyleXfs>
  <cellXfs count="27">
    <xf numFmtId="0" fontId="0" fillId="0" borderId="0" xfId="0"/>
    <xf numFmtId="0" fontId="0" fillId="0" borderId="0" xfId="0" applyAlignment="1"/>
    <xf numFmtId="0" fontId="1" fillId="2" borderId="2" xfId="0" applyFont="1" applyFill="1" applyBorder="1" applyAlignment="1">
      <alignment horizontal="center" vertical="center"/>
    </xf>
    <xf numFmtId="0" fontId="2" fillId="3" borderId="1" xfId="0" applyFont="1" applyFill="1" applyBorder="1" applyAlignment="1">
      <alignment horizontal="center" vertical="center"/>
    </xf>
    <xf numFmtId="0" fontId="3" fillId="5" borderId="1" xfId="0" applyFont="1" applyFill="1" applyBorder="1" applyAlignment="1">
      <alignment horizontal="center" vertical="center"/>
    </xf>
    <xf numFmtId="0" fontId="1" fillId="2" borderId="1" xfId="0" applyFont="1" applyFill="1" applyBorder="1" applyAlignment="1">
      <alignment horizontal="center" vertical="center"/>
    </xf>
    <xf numFmtId="164" fontId="5" fillId="4" borderId="3" xfId="0" applyNumberFormat="1" applyFont="1" applyFill="1" applyBorder="1" applyAlignment="1">
      <alignment horizontal="center" vertical="center"/>
    </xf>
    <xf numFmtId="2" fontId="8" fillId="0" borderId="3" xfId="0" applyNumberFormat="1" applyFont="1" applyBorder="1" applyAlignment="1">
      <alignment horizontal="center" vertical="center"/>
    </xf>
    <xf numFmtId="0" fontId="5" fillId="4" borderId="4" xfId="0" applyFont="1" applyFill="1" applyBorder="1" applyAlignment="1">
      <alignment horizontal="center" vertical="center"/>
    </xf>
    <xf numFmtId="0" fontId="4" fillId="4" borderId="4" xfId="0" applyFont="1" applyFill="1" applyBorder="1" applyAlignment="1">
      <alignment horizontal="center" vertical="center"/>
    </xf>
    <xf numFmtId="164" fontId="5" fillId="4" borderId="4" xfId="0" applyNumberFormat="1" applyFont="1" applyFill="1" applyBorder="1" applyAlignment="1">
      <alignment horizontal="center" vertical="center"/>
    </xf>
    <xf numFmtId="2" fontId="8" fillId="0" borderId="4" xfId="0" applyNumberFormat="1" applyFont="1" applyBorder="1" applyAlignment="1">
      <alignment horizontal="center" vertical="center"/>
    </xf>
    <xf numFmtId="0" fontId="0" fillId="7" borderId="0" xfId="0" applyFill="1"/>
    <xf numFmtId="0" fontId="6" fillId="7" borderId="0" xfId="0" applyFont="1" applyFill="1"/>
    <xf numFmtId="0" fontId="5" fillId="4" borderId="3" xfId="1" applyFont="1" applyFill="1" applyBorder="1" applyAlignment="1">
      <alignment horizontal="center" vertical="center"/>
    </xf>
    <xf numFmtId="0" fontId="4" fillId="4" borderId="3" xfId="1" applyFont="1" applyFill="1" applyBorder="1" applyAlignment="1">
      <alignment horizontal="center" vertical="center"/>
    </xf>
    <xf numFmtId="164" fontId="5" fillId="4" borderId="3" xfId="1" applyNumberFormat="1" applyFont="1" applyFill="1" applyBorder="1" applyAlignment="1">
      <alignment horizontal="center" vertical="center"/>
    </xf>
    <xf numFmtId="2" fontId="13" fillId="6" borderId="0" xfId="0" applyNumberFormat="1" applyFont="1" applyFill="1"/>
    <xf numFmtId="0" fontId="13" fillId="0" borderId="0" xfId="0" applyFont="1"/>
    <xf numFmtId="2" fontId="13" fillId="6" borderId="0" xfId="0" applyNumberFormat="1" applyFont="1" applyFill="1" applyBorder="1"/>
    <xf numFmtId="2" fontId="12" fillId="6" borderId="3" xfId="0" applyNumberFormat="1" applyFont="1" applyFill="1" applyBorder="1"/>
    <xf numFmtId="2" fontId="12" fillId="6" borderId="3" xfId="0" applyNumberFormat="1" applyFont="1" applyFill="1" applyBorder="1" applyAlignment="1">
      <alignment horizontal="left"/>
    </xf>
    <xf numFmtId="2" fontId="13" fillId="6" borderId="3" xfId="0" applyNumberFormat="1" applyFont="1" applyFill="1" applyBorder="1"/>
    <xf numFmtId="2" fontId="13" fillId="6" borderId="3" xfId="0" applyNumberFormat="1" applyFont="1" applyFill="1" applyBorder="1" applyAlignment="1">
      <alignment horizontal="left"/>
    </xf>
    <xf numFmtId="165" fontId="0" fillId="0" borderId="3" xfId="0" applyNumberFormat="1" applyBorder="1" applyAlignment="1">
      <alignment horizontal="center"/>
    </xf>
    <xf numFmtId="14" fontId="12" fillId="6" borderId="3" xfId="0" applyNumberFormat="1" applyFont="1" applyFill="1" applyBorder="1"/>
    <xf numFmtId="14" fontId="12" fillId="6" borderId="3" xfId="0" applyNumberFormat="1" applyFont="1" applyFill="1" applyBorder="1" applyAlignment="1">
      <alignment horizontal="left"/>
    </xf>
  </cellXfs>
  <cellStyles count="2">
    <cellStyle name="Normal" xfId="0" builtinId="0"/>
    <cellStyle name="Normal 2" xfId="1" xr:uid="{1A6AA1BA-4A08-48E4-A8E4-B3BF3F976747}"/>
  </cellStyles>
  <dxfs count="595">
    <dxf>
      <numFmt numFmtId="165" formatCode="mmm"/>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strike val="0"/>
        <outline val="0"/>
        <shadow val="0"/>
        <u val="none"/>
        <vertAlign val="baseline"/>
        <sz val="13"/>
        <color theme="1"/>
        <name val="&quot;Times New Roman&quot;"/>
        <scheme val="none"/>
      </font>
      <numFmt numFmtId="164" formatCode="[$-409]d/mmm/yy;@"/>
      <fill>
        <patternFill patternType="solid">
          <fgColor theme="0"/>
          <bgColor theme="0"/>
        </patternFill>
      </fill>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scheme val="none"/>
      </font>
      <numFmt numFmtId="2" formatCode="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3"/>
        <color theme="1"/>
        <name val="&quot;Times New Roman&quot;"/>
        <scheme val="none"/>
      </font>
      <numFmt numFmtId="164" formatCode="[$-409]d/mmm/yy;@"/>
      <fill>
        <patternFill patternType="solid">
          <fgColor theme="0"/>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3"/>
        <color theme="1"/>
        <name val="&quot;Times New Roman&quot;"/>
        <scheme val="none"/>
      </font>
      <fill>
        <patternFill patternType="solid">
          <fgColor theme="0"/>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3"/>
        <color rgb="FF000000"/>
        <name val="&quot;Times New Roman&quot;"/>
        <scheme val="none"/>
      </font>
      <fill>
        <patternFill patternType="solid">
          <fgColor theme="0"/>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3"/>
        <color rgb="FF000000"/>
        <name val="&quot;Times New Roman&quot;"/>
        <scheme val="none"/>
      </font>
      <fill>
        <patternFill patternType="solid">
          <fgColor theme="0"/>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3"/>
        <color rgb="FF000000"/>
        <name val="&quot;Times New Roman&quot;"/>
        <scheme val="none"/>
      </font>
      <fill>
        <patternFill patternType="solid">
          <fgColor theme="0"/>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3"/>
        <color rgb="FF000000"/>
        <name val="&quot;Times New Roman&quot;"/>
        <scheme val="none"/>
      </font>
      <fill>
        <patternFill patternType="solid">
          <fgColor theme="0"/>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3"/>
        <color theme="1"/>
        <name val="&quot;Times New Roman&quot;"/>
        <scheme val="none"/>
      </font>
      <fill>
        <patternFill patternType="solid">
          <fgColor theme="0"/>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left style="thin">
          <color rgb="FF000000"/>
        </left>
        <top style="thin">
          <color rgb="FF000000"/>
        </top>
      </border>
    </dxf>
    <dxf>
      <border outline="0">
        <bottom style="thin">
          <color rgb="FF000000"/>
        </bottom>
      </border>
    </dxf>
    <dxf>
      <font>
        <b/>
        <i val="0"/>
        <strike val="0"/>
        <condense val="0"/>
        <extend val="0"/>
        <outline val="0"/>
        <shadow val="0"/>
        <u val="none"/>
        <vertAlign val="baseline"/>
        <sz val="13"/>
        <color rgb="FF000000"/>
        <name val="&quot;Times New Roman&quot;"/>
        <scheme val="none"/>
      </font>
      <fill>
        <patternFill patternType="solid">
          <fgColor rgb="FFB6D7A8"/>
          <bgColor rgb="FFB6D7A8"/>
        </patternFill>
      </fill>
      <alignment horizontal="center" vertical="center" textRotation="0" wrapText="0" indent="0" justifyLastLine="0" shrinkToFit="0" readingOrder="0"/>
      <border diagonalUp="0" diagonalDown="0" outline="0">
        <left style="thin">
          <color rgb="FF000000"/>
        </left>
        <right style="thin">
          <color rgb="FF000000"/>
        </right>
        <top/>
        <bottom/>
      </border>
    </dxf>
    <dxf>
      <numFmt numFmtId="19" formatCode="dd/mm/yy"/>
    </dxf>
    <dxf>
      <numFmt numFmtId="19" formatCode="dd/mm/yy"/>
    </dxf>
    <dxf>
      <font>
        <color theme="1"/>
      </font>
    </dxf>
    <dxf>
      <font>
        <color theme="1"/>
      </font>
    </dxf>
    <dxf>
      <font>
        <color theme="1"/>
      </font>
    </dxf>
    <dxf>
      <font>
        <color theme="1"/>
      </font>
    </dxf>
    <dxf>
      <font>
        <color theme="1"/>
      </font>
    </dxf>
    <dxf>
      <numFmt numFmtId="2" formatCode="0.00"/>
    </dxf>
    <dxf>
      <numFmt numFmtId="2" formatCode="0.00"/>
    </dxf>
    <dxf>
      <numFmt numFmtId="2" formatCode="0.00"/>
    </dxf>
    <dxf>
      <numFmt numFmtId="2" formatCode="0.0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ont>
        <color theme="0"/>
      </font>
    </dxf>
    <dxf>
      <font>
        <color theme="0"/>
      </font>
    </dxf>
    <dxf>
      <font>
        <color theme="0"/>
      </font>
    </dxf>
    <dxf>
      <font>
        <color theme="0"/>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6" formatCode=";;;"/>
    </dxf>
    <dxf>
      <numFmt numFmtId="166" formatCode=";;;"/>
    </dxf>
    <dxf>
      <numFmt numFmtId="166" formatCode=";;;"/>
    </dxf>
    <dxf>
      <numFmt numFmtId="166" formatCode=";;;"/>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amily val="2"/>
      </font>
    </dxf>
    <dxf>
      <font>
        <b/>
        <family val="2"/>
      </font>
    </dxf>
    <dxf>
      <font>
        <b/>
        <family val="2"/>
      </font>
    </dxf>
    <dxf>
      <font>
        <color theme="1"/>
      </font>
    </dxf>
    <dxf>
      <font>
        <color theme="1"/>
      </font>
    </dxf>
    <dxf>
      <font>
        <color theme="1"/>
      </font>
    </dxf>
    <dxf>
      <font>
        <color theme="1"/>
      </font>
    </dxf>
    <dxf>
      <font>
        <color theme="1"/>
      </font>
    </dxf>
    <dxf>
      <numFmt numFmtId="2" formatCode="0.00"/>
    </dxf>
    <dxf>
      <numFmt numFmtId="2" formatCode="0.00"/>
    </dxf>
    <dxf>
      <numFmt numFmtId="2" formatCode="0.00"/>
    </dxf>
    <dxf>
      <numFmt numFmtId="2" formatCode="0.00"/>
    </dxf>
    <dxf>
      <numFmt numFmtId="2" formatCode="0.0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ont>
        <color theme="0"/>
      </font>
    </dxf>
    <dxf>
      <font>
        <color theme="0"/>
      </font>
    </dxf>
    <dxf>
      <font>
        <color theme="0"/>
      </font>
    </dxf>
    <dxf>
      <font>
        <color theme="0"/>
      </font>
    </dxf>
    <dxf>
      <font>
        <color theme="0"/>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6" formatCode=";;;"/>
    </dxf>
    <dxf>
      <numFmt numFmtId="166" formatCode=";;;"/>
    </dxf>
    <dxf>
      <numFmt numFmtId="166" formatCode=";;;"/>
    </dxf>
    <dxf>
      <numFmt numFmtId="166" formatCode=";;;"/>
    </dxf>
    <dxf>
      <numFmt numFmtId="166" formatCode=";;;"/>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amily val="2"/>
      </font>
    </dxf>
    <dxf>
      <font>
        <b/>
        <family val="2"/>
      </font>
    </dxf>
    <dxf>
      <font>
        <b/>
        <family val="2"/>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theme="1"/>
      </font>
    </dxf>
    <dxf>
      <font>
        <color theme="1"/>
      </font>
    </dxf>
    <dxf>
      <font>
        <color theme="1"/>
      </font>
    </dxf>
    <dxf>
      <font>
        <color theme="1"/>
      </font>
    </dxf>
    <dxf>
      <numFmt numFmtId="2" formatCode="0.00"/>
    </dxf>
    <dxf>
      <numFmt numFmtId="2" formatCode="0.00"/>
    </dxf>
    <dxf>
      <numFmt numFmtId="2" formatCode="0.00"/>
    </dxf>
    <dxf>
      <numFmt numFmtId="2" formatCode="0.0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ont>
        <color theme="0"/>
      </font>
    </dxf>
    <dxf>
      <font>
        <color theme="0"/>
      </font>
    </dxf>
    <dxf>
      <font>
        <color theme="0"/>
      </font>
    </dxf>
    <dxf>
      <font>
        <color theme="0"/>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6" formatCode=";;;"/>
    </dxf>
    <dxf>
      <numFmt numFmtId="166" formatCode=";;;"/>
    </dxf>
    <dxf>
      <numFmt numFmtId="166" formatCode=";;;"/>
    </dxf>
    <dxf>
      <numFmt numFmtId="166" formatCode=";;;"/>
    </dxf>
    <dxf>
      <font>
        <b/>
        <family val="2"/>
      </font>
    </dxf>
    <dxf>
      <font>
        <b/>
        <family val="2"/>
      </font>
    </dxf>
    <dxf>
      <font>
        <b/>
        <family val="2"/>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theme="1"/>
      </font>
    </dxf>
    <dxf>
      <font>
        <color theme="1"/>
      </font>
    </dxf>
    <dxf>
      <font>
        <color theme="1"/>
      </font>
    </dxf>
    <dxf>
      <font>
        <color theme="1"/>
      </font>
    </dxf>
    <dxf>
      <numFmt numFmtId="2" formatCode="0.00"/>
    </dxf>
    <dxf>
      <numFmt numFmtId="2" formatCode="0.00"/>
    </dxf>
    <dxf>
      <numFmt numFmtId="2" formatCode="0.00"/>
    </dxf>
    <dxf>
      <numFmt numFmtId="2" formatCode="0.0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ont>
        <color theme="0"/>
      </font>
    </dxf>
    <dxf>
      <font>
        <color theme="0"/>
      </font>
    </dxf>
    <dxf>
      <font>
        <color theme="0"/>
      </font>
    </dxf>
    <dxf>
      <font>
        <color theme="0"/>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6" formatCode=";;;"/>
    </dxf>
    <dxf>
      <numFmt numFmtId="166" formatCode=";;;"/>
    </dxf>
    <dxf>
      <numFmt numFmtId="166" formatCode=";;;"/>
    </dxf>
    <dxf>
      <numFmt numFmtId="166" formatCode=";;;"/>
    </dxf>
    <dxf>
      <font>
        <color theme="1"/>
      </font>
    </dxf>
    <dxf>
      <font>
        <color theme="1"/>
      </font>
    </dxf>
    <dxf>
      <font>
        <color theme="1"/>
      </font>
    </dxf>
    <dxf>
      <font>
        <color theme="1"/>
      </font>
    </dxf>
    <dxf>
      <font>
        <color theme="1"/>
      </font>
    </dxf>
    <dxf>
      <numFmt numFmtId="2" formatCode="0.00"/>
    </dxf>
    <dxf>
      <numFmt numFmtId="2" formatCode="0.00"/>
    </dxf>
    <dxf>
      <numFmt numFmtId="2" formatCode="0.00"/>
    </dxf>
    <dxf>
      <numFmt numFmtId="2" formatCode="0.00"/>
    </dxf>
    <dxf>
      <numFmt numFmtId="2" formatCode="0.0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ont>
        <color theme="0"/>
      </font>
    </dxf>
    <dxf>
      <font>
        <color theme="0"/>
      </font>
    </dxf>
    <dxf>
      <font>
        <color theme="0"/>
      </font>
    </dxf>
    <dxf>
      <font>
        <color theme="0"/>
      </font>
    </dxf>
    <dxf>
      <font>
        <color theme="0"/>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6" formatCode=";;;"/>
    </dxf>
    <dxf>
      <numFmt numFmtId="166" formatCode=";;;"/>
    </dxf>
    <dxf>
      <numFmt numFmtId="166" formatCode=";;;"/>
    </dxf>
    <dxf>
      <numFmt numFmtId="166" formatCode=";;;"/>
    </dxf>
    <dxf>
      <numFmt numFmtId="166" formatCode=";;;"/>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amily val="2"/>
      </font>
    </dxf>
    <dxf>
      <font>
        <b/>
        <family val="2"/>
      </font>
    </dxf>
    <dxf>
      <font>
        <b/>
        <family val="2"/>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theme="1"/>
      </font>
    </dxf>
    <dxf>
      <font>
        <color theme="1"/>
      </font>
    </dxf>
    <dxf>
      <font>
        <color theme="1"/>
      </font>
    </dxf>
    <dxf>
      <font>
        <color theme="1"/>
      </font>
    </dxf>
    <dxf>
      <font>
        <color theme="1"/>
      </font>
    </dxf>
    <dxf>
      <font>
        <color theme="1"/>
      </font>
    </dxf>
    <dxf>
      <font>
        <color theme="1"/>
      </font>
    </dxf>
    <dxf>
      <numFmt numFmtId="2" formatCode="0.00"/>
    </dxf>
    <dxf>
      <numFmt numFmtId="2" formatCode="0.00"/>
    </dxf>
    <dxf>
      <numFmt numFmtId="2" formatCode="0.00"/>
    </dxf>
    <dxf>
      <numFmt numFmtId="2" formatCode="0.00"/>
    </dxf>
    <dxf>
      <numFmt numFmtId="2" formatCode="0.00"/>
    </dxf>
    <dxf>
      <numFmt numFmtId="2" formatCode="0.0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ont>
        <color theme="0"/>
      </font>
    </dxf>
    <dxf>
      <font>
        <color theme="0"/>
      </font>
    </dxf>
    <dxf>
      <font>
        <color theme="0"/>
      </font>
    </dxf>
    <dxf>
      <font>
        <color theme="0"/>
      </font>
    </dxf>
    <dxf>
      <font>
        <color theme="0"/>
      </font>
    </dxf>
    <dxf>
      <font>
        <color theme="0"/>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6" formatCode=";;;"/>
    </dxf>
    <dxf>
      <numFmt numFmtId="166" formatCode=";;;"/>
    </dxf>
    <dxf>
      <numFmt numFmtId="166" formatCode=";;;"/>
    </dxf>
    <dxf>
      <numFmt numFmtId="166" formatCode=";;;"/>
    </dxf>
    <dxf>
      <numFmt numFmtId="166" formatCode=";;;"/>
    </dxf>
    <dxf>
      <numFmt numFmtId="166" formatCode=";;;"/>
    </dxf>
    <dxf>
      <font>
        <b/>
        <family val="2"/>
      </font>
    </dxf>
    <dxf>
      <font>
        <b/>
        <family val="2"/>
      </font>
    </dxf>
    <dxf>
      <font>
        <b/>
        <family val="2"/>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6" formatCode=";;;"/>
    </dxf>
    <dxf>
      <numFmt numFmtId="166" formatCode=";;;"/>
    </dxf>
    <dxf>
      <numFmt numFmtId="166" formatCode=";;;"/>
    </dxf>
    <dxf>
      <numFmt numFmtId="166" formatCode=";;;"/>
    </dxf>
    <dxf>
      <numFmt numFmtId="166" formatCode=";;;"/>
    </dxf>
    <dxf>
      <numFmt numFmtId="166" formatCode=";;;"/>
    </dxf>
    <dxf>
      <numFmt numFmtId="166" formatCode=";;;"/>
    </dxf>
    <dxf>
      <numFmt numFmtId="166" formatCode=";;;"/>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amily val="2"/>
      </font>
    </dxf>
    <dxf>
      <font>
        <b/>
        <family val="2"/>
      </font>
    </dxf>
    <dxf>
      <font>
        <b/>
        <family val="2"/>
      </font>
    </dxf>
    <dxf>
      <numFmt numFmtId="19" formatCode="dd/mm/yy"/>
    </dxf>
    <dxf>
      <numFmt numFmtId="19" formatCode="dd/mm/yy"/>
    </dxf>
    <dxf>
      <font>
        <color theme="1"/>
      </font>
    </dxf>
    <dxf>
      <font>
        <color theme="1"/>
      </font>
    </dxf>
    <dxf>
      <font>
        <color theme="1"/>
      </font>
    </dxf>
    <dxf>
      <font>
        <color theme="1"/>
      </font>
    </dxf>
    <dxf>
      <font>
        <color theme="1"/>
      </font>
    </dxf>
    <dxf>
      <font>
        <color theme="1"/>
      </font>
    </dxf>
    <dxf>
      <font>
        <color theme="1"/>
      </font>
    </dxf>
    <dxf>
      <font>
        <color theme="1"/>
      </font>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ont>
        <color theme="0"/>
      </font>
    </dxf>
    <dxf>
      <font>
        <color theme="0"/>
      </font>
    </dxf>
    <dxf>
      <font>
        <color theme="0"/>
      </font>
    </dxf>
    <dxf>
      <font>
        <color theme="0"/>
      </font>
    </dxf>
    <dxf>
      <font>
        <color theme="0"/>
      </font>
    </dxf>
    <dxf>
      <font>
        <color theme="0"/>
      </font>
    </dxf>
    <dxf>
      <font>
        <color theme="0"/>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6" formatCode=";;;"/>
    </dxf>
    <dxf>
      <numFmt numFmtId="166" formatCode=";;;"/>
    </dxf>
    <dxf>
      <numFmt numFmtId="166" formatCode=";;;"/>
    </dxf>
    <dxf>
      <numFmt numFmtId="166" formatCode=";;;"/>
    </dxf>
    <dxf>
      <numFmt numFmtId="166" formatCode=";;;"/>
    </dxf>
    <dxf>
      <numFmt numFmtId="166" formatCode=";;;"/>
    </dxf>
    <dxf>
      <numFmt numFmtId="166" formatCode=";;;"/>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numFmt numFmtId="2"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amily val="2"/>
      </font>
    </dxf>
    <dxf>
      <font>
        <b/>
        <family val="2"/>
      </font>
    </dxf>
    <dxf>
      <font>
        <b/>
        <family val="2"/>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6" formatCode=";;;"/>
    </dxf>
    <dxf>
      <numFmt numFmtId="166" formatCode=";;;"/>
    </dxf>
    <dxf>
      <numFmt numFmtId="166" formatCode=";;;"/>
    </dxf>
    <dxf>
      <numFmt numFmtId="166" formatCode=";;;"/>
    </dxf>
    <dxf>
      <numFmt numFmtId="166" formatCode=";;;"/>
    </dxf>
    <dxf>
      <numFmt numFmtId="166" formatCode=";;;"/>
    </dxf>
    <dxf>
      <numFmt numFmtId="166" formatCode=";;;"/>
    </dxf>
    <dxf>
      <numFmt numFmtId="166" formatCode=";;;"/>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numFmt numFmtId="2"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amily val="2"/>
      </font>
    </dxf>
    <dxf>
      <font>
        <b/>
        <family val="2"/>
      </font>
    </dxf>
    <dxf>
      <font>
        <b/>
        <family val="2"/>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theme="1"/>
      </font>
    </dxf>
    <dxf>
      <font>
        <color theme="1"/>
      </font>
    </dxf>
    <dxf>
      <font>
        <color theme="1"/>
      </font>
    </dxf>
    <dxf>
      <numFmt numFmtId="2" formatCode="0.00"/>
    </dxf>
    <dxf>
      <numFmt numFmtId="2" formatCode="0.00"/>
    </dxf>
    <dxf>
      <numFmt numFmtId="2" formatCode="0.00"/>
    </dxf>
    <dxf>
      <fill>
        <patternFill patternType="solid">
          <bgColor theme="0"/>
        </patternFill>
      </fill>
    </dxf>
    <dxf>
      <fill>
        <patternFill patternType="solid">
          <bgColor theme="0"/>
        </patternFill>
      </fill>
    </dxf>
    <dxf>
      <fill>
        <patternFill patternType="solid">
          <bgColor theme="0"/>
        </patternFill>
      </fill>
    </dxf>
    <dxf>
      <font>
        <color theme="0"/>
      </font>
    </dxf>
    <dxf>
      <font>
        <color theme="0"/>
      </font>
    </dxf>
    <dxf>
      <font>
        <color theme="0"/>
      </font>
    </dxf>
    <dxf>
      <fill>
        <patternFill patternType="none">
          <bgColor auto="1"/>
        </patternFill>
      </fill>
    </dxf>
    <dxf>
      <fill>
        <patternFill patternType="none">
          <bgColor auto="1"/>
        </patternFill>
      </fill>
    </dxf>
    <dxf>
      <fill>
        <patternFill patternType="none">
          <bgColor auto="1"/>
        </patternFill>
      </fill>
    </dxf>
    <dxf>
      <numFmt numFmtId="166" formatCode=";;;"/>
    </dxf>
    <dxf>
      <numFmt numFmtId="166" formatCode=";;;"/>
    </dxf>
    <dxf>
      <numFmt numFmtId="166" formatCode=";;;"/>
    </dxf>
    <dxf>
      <font>
        <b/>
        <family val="2"/>
      </font>
    </dxf>
    <dxf>
      <font>
        <b/>
        <family val="2"/>
      </font>
    </dxf>
    <dxf>
      <font>
        <b/>
        <family val="2"/>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theme="1"/>
      </font>
    </dxf>
    <dxf>
      <font>
        <color theme="1"/>
      </font>
    </dxf>
    <dxf>
      <font>
        <color theme="1"/>
      </font>
    </dxf>
    <dxf>
      <numFmt numFmtId="2" formatCode="0.00"/>
    </dxf>
    <dxf>
      <numFmt numFmtId="2" formatCode="0.00"/>
    </dxf>
    <dxf>
      <numFmt numFmtId="2" formatCode="0.00"/>
    </dxf>
    <dxf>
      <fill>
        <patternFill patternType="solid">
          <bgColor theme="0"/>
        </patternFill>
      </fill>
    </dxf>
    <dxf>
      <fill>
        <patternFill patternType="solid">
          <bgColor theme="0"/>
        </patternFill>
      </fill>
    </dxf>
    <dxf>
      <fill>
        <patternFill patternType="solid">
          <bgColor theme="0"/>
        </patternFill>
      </fill>
    </dxf>
    <dxf>
      <font>
        <color theme="0"/>
      </font>
    </dxf>
    <dxf>
      <font>
        <color theme="0"/>
      </font>
    </dxf>
    <dxf>
      <font>
        <color theme="0"/>
      </font>
    </dxf>
    <dxf>
      <fill>
        <patternFill patternType="none">
          <bgColor auto="1"/>
        </patternFill>
      </fill>
    </dxf>
    <dxf>
      <fill>
        <patternFill patternType="none">
          <bgColor auto="1"/>
        </patternFill>
      </fill>
    </dxf>
    <dxf>
      <fill>
        <patternFill patternType="none">
          <bgColor auto="1"/>
        </patternFill>
      </fill>
    </dxf>
    <dxf>
      <numFmt numFmtId="166" formatCode=";;;"/>
    </dxf>
    <dxf>
      <numFmt numFmtId="166" formatCode=";;;"/>
    </dxf>
    <dxf>
      <numFmt numFmtId="166" formatCode=";;;"/>
    </dxf>
    <dxf>
      <font>
        <b/>
        <family val="2"/>
      </font>
    </dxf>
    <dxf>
      <font>
        <b/>
        <family val="2"/>
      </font>
    </dxf>
    <dxf>
      <font>
        <b/>
        <family val="2"/>
      </font>
    </dxf>
    <dxf>
      <numFmt numFmtId="19" formatCode="dd/mm/yy"/>
    </dxf>
    <dxf>
      <numFmt numFmtId="19" formatCode="dd/mm/yy"/>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6" formatCode=";;;"/>
    </dxf>
    <dxf>
      <numFmt numFmtId="166" formatCode=";;;"/>
    </dxf>
    <dxf>
      <numFmt numFmtId="166" formatCode=";;;"/>
    </dxf>
    <dxf>
      <numFmt numFmtId="166" formatCode=";;;"/>
    </dxf>
    <dxf>
      <numFmt numFmtId="166" formatCode=";;;"/>
    </dxf>
    <dxf>
      <numFmt numFmtId="166" formatCode=";;;"/>
    </dxf>
    <dxf>
      <numFmt numFmtId="166" formatCode=";;;"/>
    </dxf>
    <dxf>
      <numFmt numFmtId="166" formatCode=";;;"/>
    </dxf>
    <dxf>
      <numFmt numFmtId="166" formatCode=";;;"/>
    </dxf>
    <dxf>
      <numFmt numFmtId="166" formatCode=";;;"/>
    </dxf>
    <dxf>
      <numFmt numFmtId="166" formatCode=";;;"/>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amily val="2"/>
      </font>
    </dxf>
    <dxf>
      <font>
        <b/>
        <family val="2"/>
      </font>
    </dxf>
    <dxf>
      <font>
        <b/>
        <family val="2"/>
      </font>
    </dxf>
    <dxf>
      <border diagonalUp="0" diagonalDown="0">
        <left/>
        <right/>
        <top/>
        <bottom/>
        <vertical/>
        <horizontal/>
      </border>
    </dxf>
  </dxfs>
  <tableStyles count="1" defaultTableStyle="TableStyleMedium2" defaultPivotStyle="PivotStyleLight16">
    <tableStyle name="PivotTable Style 1" table="0" count="1" xr9:uid="{CA09C73C-5490-4444-91D2-3557DC6CCEA8}">
      <tableStyleElement type="wholeTable" dxfId="59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2.xml"/><Relationship Id="rId12" Type="http://schemas.microsoft.com/office/2007/relationships/slicerCache" Target="slicerCaches/slicerCache7.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07/relationships/slicerCache" Target="slicerCaches/slicerCache6.xml"/><Relationship Id="rId5" Type="http://schemas.openxmlformats.org/officeDocument/2006/relationships/pivotCacheDefinition" Target="pivotCache/pivotCacheDefinition1.xml"/><Relationship Id="rId15" Type="http://schemas.openxmlformats.org/officeDocument/2006/relationships/sharedStrings" Target="sharedStrings.xml"/><Relationship Id="rId10" Type="http://schemas.microsoft.com/office/2007/relationships/slicerCache" Target="slicerCaches/slicerCache5.xml"/><Relationship Id="rId4" Type="http://schemas.openxmlformats.org/officeDocument/2006/relationships/externalLink" Target="externalLinks/externalLink1.xml"/><Relationship Id="rId9" Type="http://schemas.microsoft.com/office/2007/relationships/slicerCache" Target="slicerCaches/slicerCache4.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[Daily Utilization Report.xlsm]P!PivotTable7</c:name>
    <c:fmtId val="1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0">
              <a:spAutoFit/>
            </a:bodyPr>
            <a:lstStyle/>
            <a:p>
              <a:pPr algn="ctr">
                <a:defRPr lang="en-US" sz="900" b="1" i="0" u="none" strike="noStrike" kern="1200" baseline="0">
                  <a:ln>
                    <a:noFill/>
                  </a:ln>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pivotFmt>
      <c:pivotFmt>
        <c:idx val="34"/>
        <c:spPr>
          <a:solidFill>
            <a:schemeClr val="accent1">
              <a:lumMod val="60000"/>
            </a:schemeClr>
          </a:solidFill>
          <a:ln>
            <a:noFill/>
          </a:ln>
          <a:effectLst/>
        </c:spPr>
      </c:pivotFmt>
      <c:pivotFmt>
        <c:idx val="35"/>
      </c:pivotFmt>
      <c:pivotFmt>
        <c:idx val="36"/>
      </c:pivotFmt>
      <c:pivotFmt>
        <c:idx val="37"/>
      </c:pivotFmt>
      <c:pivotFmt>
        <c:idx val="38"/>
      </c:pivotFmt>
      <c:pivotFmt>
        <c:idx val="39"/>
      </c:pivotFmt>
      <c:pivotFmt>
        <c:idx val="40"/>
      </c:pivotFmt>
      <c:pivotFmt>
        <c:idx val="41"/>
      </c:pivotFmt>
      <c:pivotFmt>
        <c:idx val="42"/>
      </c:pivotFmt>
      <c:pivotFmt>
        <c:idx val="43"/>
      </c:pivotFmt>
      <c:pivotFmt>
        <c:idx val="44"/>
      </c:pivotFmt>
      <c:pivotFmt>
        <c:idx val="45"/>
      </c:pivotFmt>
      <c:pivotFmt>
        <c:idx val="46"/>
      </c:pivotFmt>
      <c:pivotFmt>
        <c:idx val="47"/>
      </c:pivotFmt>
      <c:pivotFmt>
        <c:idx val="48"/>
      </c:pivotFmt>
      <c:pivotFmt>
        <c:idx val="49"/>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0434383642645998E-2"/>
          <c:y val="9.6152530876594269E-2"/>
          <c:w val="0.92365456101038201"/>
          <c:h val="0.80596727536717483"/>
        </c:manualLayout>
      </c:layout>
      <c:barChart>
        <c:barDir val="col"/>
        <c:grouping val="clustered"/>
        <c:varyColors val="0"/>
        <c:ser>
          <c:idx val="0"/>
          <c:order val="0"/>
          <c:tx>
            <c:strRef>
              <c:f>P!$C$4:$C$5</c:f>
              <c:strCache>
                <c:ptCount val="1"/>
                <c:pt idx="0">
                  <c:v>09-01-22</c:v>
                </c:pt>
              </c:strCache>
            </c:strRef>
          </c:tx>
          <c:spPr>
            <a:solidFill>
              <a:schemeClr val="accent1"/>
            </a:solidFill>
            <a:ln>
              <a:noFill/>
            </a:ln>
            <a:effectLst/>
          </c:spPr>
          <c:invertIfNegative val="0"/>
          <c:dLbls>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0">
                <a:spAutoFit/>
              </a:bodyPr>
              <a:lstStyle/>
              <a:p>
                <a:pPr algn="ctr">
                  <a:defRPr lang="en-US" sz="900" b="1" i="0" u="none" strike="noStrike" kern="1200" baseline="0">
                    <a:ln>
                      <a:noFill/>
                    </a:ln>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P!$B$6:$B$30</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P!$C$6:$C$30</c:f>
              <c:numCache>
                <c:formatCode>0.00</c:formatCode>
                <c:ptCount val="25"/>
                <c:pt idx="3">
                  <c:v>0.33333333333333331</c:v>
                </c:pt>
                <c:pt idx="4">
                  <c:v>1.75</c:v>
                </c:pt>
                <c:pt idx="8">
                  <c:v>1.75</c:v>
                </c:pt>
                <c:pt idx="9">
                  <c:v>2.8333333333333335</c:v>
                </c:pt>
                <c:pt idx="10">
                  <c:v>4.916666666666667</c:v>
                </c:pt>
                <c:pt idx="11">
                  <c:v>1.6666666666666665</c:v>
                </c:pt>
              </c:numCache>
            </c:numRef>
          </c:val>
          <c:extLst>
            <c:ext xmlns:c16="http://schemas.microsoft.com/office/drawing/2014/chart" uri="{C3380CC4-5D6E-409C-BE32-E72D297353CC}">
              <c16:uniqueId val="{000003C0-AC29-4E5D-A10D-0DCE11DF3C1C}"/>
            </c:ext>
          </c:extLst>
        </c:ser>
        <c:ser>
          <c:idx val="1"/>
          <c:order val="1"/>
          <c:tx>
            <c:strRef>
              <c:f>P!$D$4:$D$5</c:f>
              <c:strCache>
                <c:ptCount val="1"/>
                <c:pt idx="0">
                  <c:v>10-01-22</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P!$B$6:$B$30</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P!$D$6:$D$30</c:f>
              <c:numCache>
                <c:formatCode>0.00</c:formatCode>
                <c:ptCount val="25"/>
                <c:pt idx="2">
                  <c:v>0.75</c:v>
                </c:pt>
                <c:pt idx="5">
                  <c:v>0.75</c:v>
                </c:pt>
                <c:pt idx="8">
                  <c:v>1.8333333333333333</c:v>
                </c:pt>
                <c:pt idx="9">
                  <c:v>5.5</c:v>
                </c:pt>
                <c:pt idx="10">
                  <c:v>7</c:v>
                </c:pt>
                <c:pt idx="11">
                  <c:v>0.5</c:v>
                </c:pt>
                <c:pt idx="12">
                  <c:v>0.5</c:v>
                </c:pt>
                <c:pt idx="13">
                  <c:v>0.58333333333333337</c:v>
                </c:pt>
              </c:numCache>
            </c:numRef>
          </c:val>
          <c:extLst>
            <c:ext xmlns:c16="http://schemas.microsoft.com/office/drawing/2014/chart" uri="{C3380CC4-5D6E-409C-BE32-E72D297353CC}">
              <c16:uniqueId val="{000003C1-AC29-4E5D-A10D-0DCE11DF3C1C}"/>
            </c:ext>
          </c:extLst>
        </c:ser>
        <c:ser>
          <c:idx val="2"/>
          <c:order val="2"/>
          <c:tx>
            <c:strRef>
              <c:f>P!$E$4:$E$5</c:f>
              <c:strCache>
                <c:ptCount val="1"/>
                <c:pt idx="0">
                  <c:v>11-01-22</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P!$B$6:$B$30</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P!$E$6:$E$30</c:f>
              <c:numCache>
                <c:formatCode>0.00</c:formatCode>
                <c:ptCount val="25"/>
                <c:pt idx="0">
                  <c:v>0.33333333333333331</c:v>
                </c:pt>
                <c:pt idx="2">
                  <c:v>0.66666666666666663</c:v>
                </c:pt>
                <c:pt idx="5">
                  <c:v>1</c:v>
                </c:pt>
                <c:pt idx="8">
                  <c:v>2.1666666666666665</c:v>
                </c:pt>
                <c:pt idx="9">
                  <c:v>3.3333333333333335</c:v>
                </c:pt>
                <c:pt idx="10">
                  <c:v>6.416666666666667</c:v>
                </c:pt>
                <c:pt idx="11">
                  <c:v>0.58333333333333337</c:v>
                </c:pt>
                <c:pt idx="12">
                  <c:v>0.5</c:v>
                </c:pt>
                <c:pt idx="13">
                  <c:v>0.41666666666666669</c:v>
                </c:pt>
                <c:pt idx="14">
                  <c:v>0.66666666666666663</c:v>
                </c:pt>
                <c:pt idx="15">
                  <c:v>0.66666666666666663</c:v>
                </c:pt>
              </c:numCache>
            </c:numRef>
          </c:val>
          <c:extLst>
            <c:ext xmlns:c16="http://schemas.microsoft.com/office/drawing/2014/chart" uri="{C3380CC4-5D6E-409C-BE32-E72D297353CC}">
              <c16:uniqueId val="{00000001-3783-4D8A-894C-6411DADC2F73}"/>
            </c:ext>
          </c:extLst>
        </c:ser>
        <c:ser>
          <c:idx val="3"/>
          <c:order val="3"/>
          <c:tx>
            <c:strRef>
              <c:f>P!$F$4:$F$5</c:f>
              <c:strCache>
                <c:ptCount val="1"/>
                <c:pt idx="0">
                  <c:v>09-02-22</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P!$B$6:$B$30</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P!$F$6:$F$30</c:f>
              <c:numCache>
                <c:formatCode>0.00</c:formatCode>
                <c:ptCount val="25"/>
                <c:pt idx="3">
                  <c:v>2.3333333333333335</c:v>
                </c:pt>
                <c:pt idx="4">
                  <c:v>3</c:v>
                </c:pt>
                <c:pt idx="5">
                  <c:v>0.66666666666666663</c:v>
                </c:pt>
                <c:pt idx="8">
                  <c:v>1.75</c:v>
                </c:pt>
                <c:pt idx="9">
                  <c:v>3.25</c:v>
                </c:pt>
                <c:pt idx="10">
                  <c:v>3.833333333333333</c:v>
                </c:pt>
                <c:pt idx="11">
                  <c:v>1.9166666666666665</c:v>
                </c:pt>
              </c:numCache>
            </c:numRef>
          </c:val>
          <c:extLst>
            <c:ext xmlns:c16="http://schemas.microsoft.com/office/drawing/2014/chart" uri="{C3380CC4-5D6E-409C-BE32-E72D297353CC}">
              <c16:uniqueId val="{00000002-3783-4D8A-894C-6411DADC2F73}"/>
            </c:ext>
          </c:extLst>
        </c:ser>
        <c:ser>
          <c:idx val="4"/>
          <c:order val="4"/>
          <c:tx>
            <c:strRef>
              <c:f>P!$G$4:$G$5</c:f>
              <c:strCache>
                <c:ptCount val="1"/>
                <c:pt idx="0">
                  <c:v>11-02-22</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P!$B$6:$B$30</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P!$G$6:$G$30</c:f>
              <c:numCache>
                <c:formatCode>0.00</c:formatCode>
                <c:ptCount val="25"/>
                <c:pt idx="0">
                  <c:v>0.66666666666666663</c:v>
                </c:pt>
                <c:pt idx="2">
                  <c:v>3</c:v>
                </c:pt>
                <c:pt idx="5">
                  <c:v>2.166666666666667</c:v>
                </c:pt>
                <c:pt idx="8">
                  <c:v>1.5</c:v>
                </c:pt>
                <c:pt idx="9">
                  <c:v>3.3333333333333335</c:v>
                </c:pt>
                <c:pt idx="10">
                  <c:v>13.416666666666666</c:v>
                </c:pt>
                <c:pt idx="12">
                  <c:v>0.5</c:v>
                </c:pt>
                <c:pt idx="13">
                  <c:v>0.83333333333333337</c:v>
                </c:pt>
              </c:numCache>
            </c:numRef>
          </c:val>
          <c:extLst>
            <c:ext xmlns:c16="http://schemas.microsoft.com/office/drawing/2014/chart" uri="{C3380CC4-5D6E-409C-BE32-E72D297353CC}">
              <c16:uniqueId val="{00000003-3783-4D8A-894C-6411DADC2F73}"/>
            </c:ext>
          </c:extLst>
        </c:ser>
        <c:ser>
          <c:idx val="5"/>
          <c:order val="5"/>
          <c:tx>
            <c:strRef>
              <c:f>P!$H$4:$H$5</c:f>
              <c:strCache>
                <c:ptCount val="1"/>
                <c:pt idx="0">
                  <c:v>09-03-22</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P!$B$6:$B$30</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P!$H$6:$H$30</c:f>
              <c:numCache>
                <c:formatCode>0.00</c:formatCode>
                <c:ptCount val="25"/>
                <c:pt idx="3">
                  <c:v>0.33333333333333331</c:v>
                </c:pt>
                <c:pt idx="4">
                  <c:v>1.0833333333333333</c:v>
                </c:pt>
                <c:pt idx="5">
                  <c:v>0.66666666666666663</c:v>
                </c:pt>
                <c:pt idx="8">
                  <c:v>3.5833333333333335</c:v>
                </c:pt>
                <c:pt idx="9">
                  <c:v>3.0833333333333335</c:v>
                </c:pt>
                <c:pt idx="10">
                  <c:v>2.583333333333333</c:v>
                </c:pt>
                <c:pt idx="11">
                  <c:v>4</c:v>
                </c:pt>
                <c:pt idx="14">
                  <c:v>0.33333333333333331</c:v>
                </c:pt>
              </c:numCache>
            </c:numRef>
          </c:val>
          <c:extLst>
            <c:ext xmlns:c16="http://schemas.microsoft.com/office/drawing/2014/chart" uri="{C3380CC4-5D6E-409C-BE32-E72D297353CC}">
              <c16:uniqueId val="{00000004-3783-4D8A-894C-6411DADC2F73}"/>
            </c:ext>
          </c:extLst>
        </c:ser>
        <c:ser>
          <c:idx val="6"/>
          <c:order val="6"/>
          <c:tx>
            <c:strRef>
              <c:f>P!$I$4:$I$5</c:f>
              <c:strCache>
                <c:ptCount val="1"/>
                <c:pt idx="0">
                  <c:v>10-03-22</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P!$B$6:$B$30</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P!$I$6:$I$30</c:f>
              <c:numCache>
                <c:formatCode>0.00</c:formatCode>
                <c:ptCount val="25"/>
                <c:pt idx="2">
                  <c:v>0.33333333333333331</c:v>
                </c:pt>
                <c:pt idx="5">
                  <c:v>0.66666666666666663</c:v>
                </c:pt>
                <c:pt idx="8">
                  <c:v>1.8333333333333333</c:v>
                </c:pt>
                <c:pt idx="9">
                  <c:v>5.666666666666667</c:v>
                </c:pt>
              </c:numCache>
            </c:numRef>
          </c:val>
          <c:extLst>
            <c:ext xmlns:c16="http://schemas.microsoft.com/office/drawing/2014/chart" uri="{C3380CC4-5D6E-409C-BE32-E72D297353CC}">
              <c16:uniqueId val="{00000005-3783-4D8A-894C-6411DADC2F73}"/>
            </c:ext>
          </c:extLst>
        </c:ser>
        <c:ser>
          <c:idx val="7"/>
          <c:order val="7"/>
          <c:tx>
            <c:strRef>
              <c:f>P!$J$4:$J$5</c:f>
              <c:strCache>
                <c:ptCount val="1"/>
                <c:pt idx="0">
                  <c:v>11-03-22</c:v>
                </c:pt>
              </c:strCache>
            </c:strRef>
          </c:tx>
          <c:spPr>
            <a:solidFill>
              <a:schemeClr val="accent2">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P!$B$6:$B$30</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P!$J$6:$J$30</c:f>
              <c:numCache>
                <c:formatCode>0.00</c:formatCode>
                <c:ptCount val="25"/>
                <c:pt idx="0">
                  <c:v>0.33333333333333331</c:v>
                </c:pt>
                <c:pt idx="2">
                  <c:v>1.3333333333333333</c:v>
                </c:pt>
                <c:pt idx="5">
                  <c:v>1</c:v>
                </c:pt>
                <c:pt idx="8">
                  <c:v>3.8333333333333335</c:v>
                </c:pt>
                <c:pt idx="9">
                  <c:v>2.5</c:v>
                </c:pt>
                <c:pt idx="10">
                  <c:v>7.333333333333333</c:v>
                </c:pt>
                <c:pt idx="11">
                  <c:v>0.33333333333333331</c:v>
                </c:pt>
                <c:pt idx="13">
                  <c:v>0.41666666666666669</c:v>
                </c:pt>
              </c:numCache>
            </c:numRef>
          </c:val>
          <c:extLst>
            <c:ext xmlns:c16="http://schemas.microsoft.com/office/drawing/2014/chart" uri="{C3380CC4-5D6E-409C-BE32-E72D297353CC}">
              <c16:uniqueId val="{00000006-3783-4D8A-894C-6411DADC2F73}"/>
            </c:ext>
          </c:extLst>
        </c:ser>
        <c:ser>
          <c:idx val="8"/>
          <c:order val="8"/>
          <c:tx>
            <c:strRef>
              <c:f>P!$K$4:$K$5</c:f>
              <c:strCache>
                <c:ptCount val="1"/>
                <c:pt idx="0">
                  <c:v>10-04-22</c:v>
                </c:pt>
              </c:strCache>
            </c:strRef>
          </c:tx>
          <c:spPr>
            <a:solidFill>
              <a:schemeClr val="accent3">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P!$B$6:$B$30</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P!$K$6:$K$30</c:f>
              <c:numCache>
                <c:formatCode>0.00</c:formatCode>
                <c:ptCount val="25"/>
                <c:pt idx="2">
                  <c:v>0.75</c:v>
                </c:pt>
                <c:pt idx="5">
                  <c:v>0.83333333333333337</c:v>
                </c:pt>
                <c:pt idx="8">
                  <c:v>2</c:v>
                </c:pt>
                <c:pt idx="9">
                  <c:v>5.1666666666666661</c:v>
                </c:pt>
                <c:pt idx="10">
                  <c:v>5.5833333333333339</c:v>
                </c:pt>
                <c:pt idx="11">
                  <c:v>1.75</c:v>
                </c:pt>
                <c:pt idx="12">
                  <c:v>0.83333333333333337</c:v>
                </c:pt>
                <c:pt idx="13">
                  <c:v>0.75</c:v>
                </c:pt>
              </c:numCache>
            </c:numRef>
          </c:val>
          <c:extLst>
            <c:ext xmlns:c16="http://schemas.microsoft.com/office/drawing/2014/chart" uri="{C3380CC4-5D6E-409C-BE32-E72D297353CC}">
              <c16:uniqueId val="{00000007-3783-4D8A-894C-6411DADC2F73}"/>
            </c:ext>
          </c:extLst>
        </c:ser>
        <c:ser>
          <c:idx val="9"/>
          <c:order val="9"/>
          <c:tx>
            <c:strRef>
              <c:f>P!$L$4:$L$5</c:f>
              <c:strCache>
                <c:ptCount val="1"/>
                <c:pt idx="0">
                  <c:v>11-04-22</c:v>
                </c:pt>
              </c:strCache>
            </c:strRef>
          </c:tx>
          <c:spPr>
            <a:solidFill>
              <a:schemeClr val="accent4">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P!$B$6:$B$30</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P!$L$6:$L$30</c:f>
              <c:numCache>
                <c:formatCode>0.00</c:formatCode>
                <c:ptCount val="25"/>
                <c:pt idx="0">
                  <c:v>0.33333333333333331</c:v>
                </c:pt>
                <c:pt idx="2">
                  <c:v>0.66666666666666663</c:v>
                </c:pt>
                <c:pt idx="5">
                  <c:v>1</c:v>
                </c:pt>
                <c:pt idx="8">
                  <c:v>4.333333333333333</c:v>
                </c:pt>
                <c:pt idx="9">
                  <c:v>2</c:v>
                </c:pt>
                <c:pt idx="10">
                  <c:v>5.7499999999999991</c:v>
                </c:pt>
                <c:pt idx="11">
                  <c:v>1.5</c:v>
                </c:pt>
                <c:pt idx="13">
                  <c:v>0.41666666666666669</c:v>
                </c:pt>
                <c:pt idx="15">
                  <c:v>1</c:v>
                </c:pt>
              </c:numCache>
            </c:numRef>
          </c:val>
          <c:extLst>
            <c:ext xmlns:c16="http://schemas.microsoft.com/office/drawing/2014/chart" uri="{C3380CC4-5D6E-409C-BE32-E72D297353CC}">
              <c16:uniqueId val="{00000008-3783-4D8A-894C-6411DADC2F73}"/>
            </c:ext>
          </c:extLst>
        </c:ser>
        <c:ser>
          <c:idx val="10"/>
          <c:order val="10"/>
          <c:tx>
            <c:strRef>
              <c:f>P!$M$4:$M$5</c:f>
              <c:strCache>
                <c:ptCount val="1"/>
                <c:pt idx="0">
                  <c:v>09-05-22</c:v>
                </c:pt>
              </c:strCache>
            </c:strRef>
          </c:tx>
          <c:spPr>
            <a:solidFill>
              <a:schemeClr val="accent5">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P!$B$6:$B$30</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P!$M$6:$M$30</c:f>
              <c:numCache>
                <c:formatCode>0.00</c:formatCode>
                <c:ptCount val="25"/>
                <c:pt idx="4">
                  <c:v>0.91666666666666674</c:v>
                </c:pt>
                <c:pt idx="5">
                  <c:v>0.5</c:v>
                </c:pt>
                <c:pt idx="8">
                  <c:v>1.1666666666666667</c:v>
                </c:pt>
                <c:pt idx="9">
                  <c:v>2.5</c:v>
                </c:pt>
                <c:pt idx="10">
                  <c:v>5.666666666666667</c:v>
                </c:pt>
                <c:pt idx="11">
                  <c:v>1.5</c:v>
                </c:pt>
                <c:pt idx="12">
                  <c:v>0.75</c:v>
                </c:pt>
                <c:pt idx="16">
                  <c:v>0.83333333333333337</c:v>
                </c:pt>
              </c:numCache>
            </c:numRef>
          </c:val>
          <c:extLst>
            <c:ext xmlns:c16="http://schemas.microsoft.com/office/drawing/2014/chart" uri="{C3380CC4-5D6E-409C-BE32-E72D297353CC}">
              <c16:uniqueId val="{00000009-3783-4D8A-894C-6411DADC2F73}"/>
            </c:ext>
          </c:extLst>
        </c:ser>
        <c:ser>
          <c:idx val="11"/>
          <c:order val="11"/>
          <c:tx>
            <c:strRef>
              <c:f>P!$N$4:$N$5</c:f>
              <c:strCache>
                <c:ptCount val="1"/>
                <c:pt idx="0">
                  <c:v>11-05-22</c:v>
                </c:pt>
              </c:strCache>
            </c:strRef>
          </c:tx>
          <c:spPr>
            <a:solidFill>
              <a:schemeClr val="accent6">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P!$B$6:$B$30</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P!$N$6:$N$30</c:f>
              <c:numCache>
                <c:formatCode>0.00</c:formatCode>
                <c:ptCount val="25"/>
                <c:pt idx="0">
                  <c:v>0.75</c:v>
                </c:pt>
                <c:pt idx="2">
                  <c:v>1.8333333333333333</c:v>
                </c:pt>
                <c:pt idx="5">
                  <c:v>0.75</c:v>
                </c:pt>
                <c:pt idx="8">
                  <c:v>5.833333333333333</c:v>
                </c:pt>
                <c:pt idx="9">
                  <c:v>1.5</c:v>
                </c:pt>
                <c:pt idx="10">
                  <c:v>5.25</c:v>
                </c:pt>
                <c:pt idx="11">
                  <c:v>0.58333333333333337</c:v>
                </c:pt>
                <c:pt idx="13">
                  <c:v>0.41666666666666669</c:v>
                </c:pt>
              </c:numCache>
            </c:numRef>
          </c:val>
          <c:extLst>
            <c:ext xmlns:c16="http://schemas.microsoft.com/office/drawing/2014/chart" uri="{C3380CC4-5D6E-409C-BE32-E72D297353CC}">
              <c16:uniqueId val="{0000000A-3783-4D8A-894C-6411DADC2F73}"/>
            </c:ext>
          </c:extLst>
        </c:ser>
        <c:ser>
          <c:idx val="12"/>
          <c:order val="12"/>
          <c:tx>
            <c:strRef>
              <c:f>P!$O$4:$O$5</c:f>
              <c:strCache>
                <c:ptCount val="1"/>
                <c:pt idx="0">
                  <c:v>09-06-22</c:v>
                </c:pt>
              </c:strCache>
            </c:strRef>
          </c:tx>
          <c:spPr>
            <a:solidFill>
              <a:schemeClr val="accent1">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P!$B$6:$B$30</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P!$O$6:$O$30</c:f>
              <c:numCache>
                <c:formatCode>0.00</c:formatCode>
                <c:ptCount val="25"/>
                <c:pt idx="4">
                  <c:v>1.0833333333333333</c:v>
                </c:pt>
                <c:pt idx="5">
                  <c:v>0.5</c:v>
                </c:pt>
                <c:pt idx="8">
                  <c:v>1.1666666666666667</c:v>
                </c:pt>
                <c:pt idx="9">
                  <c:v>2.5</c:v>
                </c:pt>
                <c:pt idx="10">
                  <c:v>3.916666666666667</c:v>
                </c:pt>
                <c:pt idx="11">
                  <c:v>0.75</c:v>
                </c:pt>
                <c:pt idx="12">
                  <c:v>5.5</c:v>
                </c:pt>
                <c:pt idx="15">
                  <c:v>0.58333333333333337</c:v>
                </c:pt>
              </c:numCache>
            </c:numRef>
          </c:val>
          <c:extLst>
            <c:ext xmlns:c16="http://schemas.microsoft.com/office/drawing/2014/chart" uri="{C3380CC4-5D6E-409C-BE32-E72D297353CC}">
              <c16:uniqueId val="{0000000B-3783-4D8A-894C-6411DADC2F73}"/>
            </c:ext>
          </c:extLst>
        </c:ser>
        <c:ser>
          <c:idx val="13"/>
          <c:order val="13"/>
          <c:tx>
            <c:strRef>
              <c:f>P!$P$4:$P$5</c:f>
              <c:strCache>
                <c:ptCount val="1"/>
                <c:pt idx="0">
                  <c:v>10-06-22</c:v>
                </c:pt>
              </c:strCache>
            </c:strRef>
          </c:tx>
          <c:spPr>
            <a:solidFill>
              <a:schemeClr val="accent2">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P!$B$6:$B$30</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P!$P$6:$P$30</c:f>
              <c:numCache>
                <c:formatCode>0.00</c:formatCode>
                <c:ptCount val="25"/>
                <c:pt idx="2">
                  <c:v>0.75</c:v>
                </c:pt>
                <c:pt idx="5">
                  <c:v>1</c:v>
                </c:pt>
                <c:pt idx="8">
                  <c:v>1</c:v>
                </c:pt>
                <c:pt idx="9">
                  <c:v>5.6666666666666661</c:v>
                </c:pt>
                <c:pt idx="10">
                  <c:v>5.5000000000000009</c:v>
                </c:pt>
                <c:pt idx="11">
                  <c:v>1.75</c:v>
                </c:pt>
                <c:pt idx="13">
                  <c:v>0.75</c:v>
                </c:pt>
              </c:numCache>
            </c:numRef>
          </c:val>
          <c:extLst>
            <c:ext xmlns:c16="http://schemas.microsoft.com/office/drawing/2014/chart" uri="{C3380CC4-5D6E-409C-BE32-E72D297353CC}">
              <c16:uniqueId val="{0000000C-3783-4D8A-894C-6411DADC2F73}"/>
            </c:ext>
          </c:extLst>
        </c:ser>
        <c:ser>
          <c:idx val="14"/>
          <c:order val="14"/>
          <c:tx>
            <c:strRef>
              <c:f>P!$Q$4:$Q$5</c:f>
              <c:strCache>
                <c:ptCount val="1"/>
                <c:pt idx="0">
                  <c:v>09-07-22</c:v>
                </c:pt>
              </c:strCache>
            </c:strRef>
          </c:tx>
          <c:spPr>
            <a:solidFill>
              <a:schemeClr val="accent3">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P!$B$6:$B$30</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P!$Q$6:$Q$30</c:f>
              <c:numCache>
                <c:formatCode>0.00</c:formatCode>
                <c:ptCount val="25"/>
                <c:pt idx="3">
                  <c:v>0.33333333333333331</c:v>
                </c:pt>
                <c:pt idx="4">
                  <c:v>0.91666666666666674</c:v>
                </c:pt>
                <c:pt idx="5">
                  <c:v>0.75</c:v>
                </c:pt>
                <c:pt idx="8">
                  <c:v>1.0833333333333335</c:v>
                </c:pt>
                <c:pt idx="10">
                  <c:v>3.7500000000000004</c:v>
                </c:pt>
                <c:pt idx="11">
                  <c:v>0.75</c:v>
                </c:pt>
                <c:pt idx="12">
                  <c:v>8.8333333333333321</c:v>
                </c:pt>
              </c:numCache>
            </c:numRef>
          </c:val>
          <c:extLst>
            <c:ext xmlns:c16="http://schemas.microsoft.com/office/drawing/2014/chart" uri="{C3380CC4-5D6E-409C-BE32-E72D297353CC}">
              <c16:uniqueId val="{0000000D-3783-4D8A-894C-6411DADC2F73}"/>
            </c:ext>
          </c:extLst>
        </c:ser>
        <c:ser>
          <c:idx val="15"/>
          <c:order val="15"/>
          <c:tx>
            <c:strRef>
              <c:f>P!$R$4:$R$5</c:f>
              <c:strCache>
                <c:ptCount val="1"/>
                <c:pt idx="0">
                  <c:v>10-07-22</c:v>
                </c:pt>
              </c:strCache>
            </c:strRef>
          </c:tx>
          <c:spPr>
            <a:solidFill>
              <a:schemeClr val="accent4">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P!$B$6:$B$30</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P!$R$6:$R$30</c:f>
              <c:numCache>
                <c:formatCode>0.00</c:formatCode>
                <c:ptCount val="25"/>
                <c:pt idx="2">
                  <c:v>0.83333333333333337</c:v>
                </c:pt>
                <c:pt idx="5">
                  <c:v>0.75</c:v>
                </c:pt>
                <c:pt idx="8">
                  <c:v>1.8333333333333333</c:v>
                </c:pt>
                <c:pt idx="9">
                  <c:v>5.5</c:v>
                </c:pt>
                <c:pt idx="10">
                  <c:v>4.916666666666667</c:v>
                </c:pt>
                <c:pt idx="11">
                  <c:v>1.916666666666667</c:v>
                </c:pt>
                <c:pt idx="13">
                  <c:v>0.75</c:v>
                </c:pt>
                <c:pt idx="15">
                  <c:v>0.41666666666666669</c:v>
                </c:pt>
              </c:numCache>
            </c:numRef>
          </c:val>
          <c:extLst>
            <c:ext xmlns:c16="http://schemas.microsoft.com/office/drawing/2014/chart" uri="{C3380CC4-5D6E-409C-BE32-E72D297353CC}">
              <c16:uniqueId val="{0000000E-3783-4D8A-894C-6411DADC2F73}"/>
            </c:ext>
          </c:extLst>
        </c:ser>
        <c:ser>
          <c:idx val="16"/>
          <c:order val="16"/>
          <c:tx>
            <c:strRef>
              <c:f>P!$S$4:$S$5</c:f>
              <c:strCache>
                <c:ptCount val="1"/>
                <c:pt idx="0">
                  <c:v>11-07-22</c:v>
                </c:pt>
              </c:strCache>
            </c:strRef>
          </c:tx>
          <c:spPr>
            <a:solidFill>
              <a:schemeClr val="accent5">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P!$B$6:$B$30</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P!$S$6:$S$30</c:f>
              <c:numCache>
                <c:formatCode>0.00</c:formatCode>
                <c:ptCount val="25"/>
                <c:pt idx="0">
                  <c:v>0.33333333333333331</c:v>
                </c:pt>
                <c:pt idx="1">
                  <c:v>0.58333333333333337</c:v>
                </c:pt>
                <c:pt idx="2">
                  <c:v>0.66666666666666663</c:v>
                </c:pt>
                <c:pt idx="5">
                  <c:v>0.75</c:v>
                </c:pt>
                <c:pt idx="8">
                  <c:v>1.8333333333333333</c:v>
                </c:pt>
                <c:pt idx="9">
                  <c:v>5.666666666666667</c:v>
                </c:pt>
                <c:pt idx="10">
                  <c:v>6.583333333333333</c:v>
                </c:pt>
                <c:pt idx="13">
                  <c:v>0.41666666666666669</c:v>
                </c:pt>
              </c:numCache>
            </c:numRef>
          </c:val>
          <c:extLst>
            <c:ext xmlns:c16="http://schemas.microsoft.com/office/drawing/2014/chart" uri="{C3380CC4-5D6E-409C-BE32-E72D297353CC}">
              <c16:uniqueId val="{0000000F-3783-4D8A-894C-6411DADC2F73}"/>
            </c:ext>
          </c:extLst>
        </c:ser>
        <c:ser>
          <c:idx val="17"/>
          <c:order val="17"/>
          <c:tx>
            <c:strRef>
              <c:f>P!$T$4:$T$5</c:f>
              <c:strCache>
                <c:ptCount val="1"/>
                <c:pt idx="0">
                  <c:v>09-08-22</c:v>
                </c:pt>
              </c:strCache>
            </c:strRef>
          </c:tx>
          <c:spPr>
            <a:solidFill>
              <a:schemeClr val="accent6">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P!$B$6:$B$30</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P!$T$6:$T$30</c:f>
              <c:numCache>
                <c:formatCode>0.00</c:formatCode>
                <c:ptCount val="25"/>
                <c:pt idx="3">
                  <c:v>0.75</c:v>
                </c:pt>
                <c:pt idx="4">
                  <c:v>1.0833333333333333</c:v>
                </c:pt>
                <c:pt idx="5">
                  <c:v>1</c:v>
                </c:pt>
                <c:pt idx="8">
                  <c:v>2</c:v>
                </c:pt>
                <c:pt idx="9">
                  <c:v>4.25</c:v>
                </c:pt>
                <c:pt idx="10">
                  <c:v>5.75</c:v>
                </c:pt>
                <c:pt idx="11">
                  <c:v>0.75</c:v>
                </c:pt>
                <c:pt idx="15">
                  <c:v>0.58333333333333337</c:v>
                </c:pt>
              </c:numCache>
            </c:numRef>
          </c:val>
          <c:extLst>
            <c:ext xmlns:c16="http://schemas.microsoft.com/office/drawing/2014/chart" uri="{C3380CC4-5D6E-409C-BE32-E72D297353CC}">
              <c16:uniqueId val="{00000010-3783-4D8A-894C-6411DADC2F73}"/>
            </c:ext>
          </c:extLst>
        </c:ser>
        <c:ser>
          <c:idx val="18"/>
          <c:order val="18"/>
          <c:tx>
            <c:strRef>
              <c:f>P!$U$4:$U$5</c:f>
              <c:strCache>
                <c:ptCount val="1"/>
                <c:pt idx="0">
                  <c:v>10-08-22</c:v>
                </c:pt>
              </c:strCache>
            </c:strRef>
          </c:tx>
          <c:spPr>
            <a:solidFill>
              <a:schemeClr val="accent1">
                <a:lumMod val="8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P!$B$6:$B$30</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P!$U$6:$U$30</c:f>
              <c:numCache>
                <c:formatCode>0.00</c:formatCode>
                <c:ptCount val="25"/>
                <c:pt idx="2">
                  <c:v>0.75</c:v>
                </c:pt>
                <c:pt idx="5">
                  <c:v>1</c:v>
                </c:pt>
                <c:pt idx="8">
                  <c:v>2</c:v>
                </c:pt>
                <c:pt idx="9">
                  <c:v>5</c:v>
                </c:pt>
                <c:pt idx="10">
                  <c:v>4.416666666666667</c:v>
                </c:pt>
                <c:pt idx="11">
                  <c:v>2.6666666666666665</c:v>
                </c:pt>
                <c:pt idx="12">
                  <c:v>0.41666666666666669</c:v>
                </c:pt>
                <c:pt idx="13">
                  <c:v>0.58333333333333337</c:v>
                </c:pt>
                <c:pt idx="15">
                  <c:v>0.41666666666666669</c:v>
                </c:pt>
              </c:numCache>
            </c:numRef>
          </c:val>
          <c:extLst>
            <c:ext xmlns:c16="http://schemas.microsoft.com/office/drawing/2014/chart" uri="{C3380CC4-5D6E-409C-BE32-E72D297353CC}">
              <c16:uniqueId val="{00000011-3783-4D8A-894C-6411DADC2F73}"/>
            </c:ext>
          </c:extLst>
        </c:ser>
        <c:ser>
          <c:idx val="19"/>
          <c:order val="19"/>
          <c:tx>
            <c:strRef>
              <c:f>P!$V$4:$V$5</c:f>
              <c:strCache>
                <c:ptCount val="1"/>
                <c:pt idx="0">
                  <c:v>11-08-22</c:v>
                </c:pt>
              </c:strCache>
            </c:strRef>
          </c:tx>
          <c:spPr>
            <a:solidFill>
              <a:schemeClr val="accent2">
                <a:lumMod val="8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P!$B$6:$B$30</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P!$V$6:$V$30</c:f>
              <c:numCache>
                <c:formatCode>0.00</c:formatCode>
                <c:ptCount val="25"/>
                <c:pt idx="0">
                  <c:v>0.33333333333333331</c:v>
                </c:pt>
                <c:pt idx="1">
                  <c:v>1</c:v>
                </c:pt>
                <c:pt idx="2">
                  <c:v>1</c:v>
                </c:pt>
                <c:pt idx="5">
                  <c:v>0.75</c:v>
                </c:pt>
                <c:pt idx="8">
                  <c:v>1.75</c:v>
                </c:pt>
                <c:pt idx="9">
                  <c:v>4.8333333333333339</c:v>
                </c:pt>
                <c:pt idx="10">
                  <c:v>5.9999999999999991</c:v>
                </c:pt>
                <c:pt idx="11">
                  <c:v>0.33333333333333331</c:v>
                </c:pt>
                <c:pt idx="13">
                  <c:v>0.41666666666666669</c:v>
                </c:pt>
                <c:pt idx="14">
                  <c:v>0.41666666666666669</c:v>
                </c:pt>
              </c:numCache>
            </c:numRef>
          </c:val>
          <c:extLst>
            <c:ext xmlns:c16="http://schemas.microsoft.com/office/drawing/2014/chart" uri="{C3380CC4-5D6E-409C-BE32-E72D297353CC}">
              <c16:uniqueId val="{00000012-3783-4D8A-894C-6411DADC2F73}"/>
            </c:ext>
          </c:extLst>
        </c:ser>
        <c:ser>
          <c:idx val="20"/>
          <c:order val="20"/>
          <c:tx>
            <c:strRef>
              <c:f>P!$W$4:$W$5</c:f>
              <c:strCache>
                <c:ptCount val="1"/>
                <c:pt idx="0">
                  <c:v>09-09-22</c:v>
                </c:pt>
              </c:strCache>
            </c:strRef>
          </c:tx>
          <c:spPr>
            <a:solidFill>
              <a:schemeClr val="accent3">
                <a:lumMod val="8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P!$B$6:$B$30</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P!$W$6:$W$30</c:f>
              <c:numCache>
                <c:formatCode>0.00</c:formatCode>
                <c:ptCount val="25"/>
                <c:pt idx="3">
                  <c:v>0.33333333333333331</c:v>
                </c:pt>
                <c:pt idx="4">
                  <c:v>0.91666666666666674</c:v>
                </c:pt>
                <c:pt idx="5">
                  <c:v>1</c:v>
                </c:pt>
                <c:pt idx="8">
                  <c:v>3.916666666666667</c:v>
                </c:pt>
                <c:pt idx="9">
                  <c:v>2.75</c:v>
                </c:pt>
                <c:pt idx="10">
                  <c:v>6.833333333333333</c:v>
                </c:pt>
                <c:pt idx="11">
                  <c:v>0.75</c:v>
                </c:pt>
              </c:numCache>
            </c:numRef>
          </c:val>
          <c:extLst>
            <c:ext xmlns:c16="http://schemas.microsoft.com/office/drawing/2014/chart" uri="{C3380CC4-5D6E-409C-BE32-E72D297353CC}">
              <c16:uniqueId val="{00000013-3783-4D8A-894C-6411DADC2F73}"/>
            </c:ext>
          </c:extLst>
        </c:ser>
        <c:ser>
          <c:idx val="21"/>
          <c:order val="21"/>
          <c:tx>
            <c:strRef>
              <c:f>P!$X$4:$X$5</c:f>
              <c:strCache>
                <c:ptCount val="1"/>
                <c:pt idx="0">
                  <c:v>11-09-22</c:v>
                </c:pt>
              </c:strCache>
            </c:strRef>
          </c:tx>
          <c:spPr>
            <a:solidFill>
              <a:schemeClr val="accent4">
                <a:lumMod val="8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P!$B$6:$B$30</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P!$X$6:$X$30</c:f>
              <c:numCache>
                <c:formatCode>0.00</c:formatCode>
                <c:ptCount val="25"/>
                <c:pt idx="0">
                  <c:v>2.25</c:v>
                </c:pt>
                <c:pt idx="1">
                  <c:v>0.41666666666666669</c:v>
                </c:pt>
                <c:pt idx="2">
                  <c:v>0.66666666666666663</c:v>
                </c:pt>
                <c:pt idx="5">
                  <c:v>0.75</c:v>
                </c:pt>
                <c:pt idx="8">
                  <c:v>1.75</c:v>
                </c:pt>
                <c:pt idx="9">
                  <c:v>5.1666666666666661</c:v>
                </c:pt>
                <c:pt idx="10">
                  <c:v>4.333333333333333</c:v>
                </c:pt>
                <c:pt idx="11">
                  <c:v>0.33333333333333331</c:v>
                </c:pt>
                <c:pt idx="13">
                  <c:v>0.33333333333333331</c:v>
                </c:pt>
              </c:numCache>
            </c:numRef>
          </c:val>
          <c:extLst>
            <c:ext xmlns:c16="http://schemas.microsoft.com/office/drawing/2014/chart" uri="{C3380CC4-5D6E-409C-BE32-E72D297353CC}">
              <c16:uniqueId val="{00000014-3783-4D8A-894C-6411DADC2F73}"/>
            </c:ext>
          </c:extLst>
        </c:ser>
        <c:ser>
          <c:idx val="22"/>
          <c:order val="22"/>
          <c:tx>
            <c:strRef>
              <c:f>P!$Y$4:$Y$5</c:f>
              <c:strCache>
                <c:ptCount val="1"/>
                <c:pt idx="0">
                  <c:v>08-10-22</c:v>
                </c:pt>
              </c:strCache>
            </c:strRef>
          </c:tx>
          <c:spPr>
            <a:solidFill>
              <a:schemeClr val="accent5">
                <a:lumMod val="8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P!$B$6:$B$30</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P!$Y$6:$Y$30</c:f>
              <c:numCache>
                <c:formatCode>0.00</c:formatCode>
                <c:ptCount val="25"/>
                <c:pt idx="3">
                  <c:v>4.166666666666667</c:v>
                </c:pt>
                <c:pt idx="5">
                  <c:v>1</c:v>
                </c:pt>
                <c:pt idx="8">
                  <c:v>2</c:v>
                </c:pt>
                <c:pt idx="9">
                  <c:v>2.5</c:v>
                </c:pt>
              </c:numCache>
            </c:numRef>
          </c:val>
          <c:extLst>
            <c:ext xmlns:c16="http://schemas.microsoft.com/office/drawing/2014/chart" uri="{C3380CC4-5D6E-409C-BE32-E72D297353CC}">
              <c16:uniqueId val="{00000015-3783-4D8A-894C-6411DADC2F73}"/>
            </c:ext>
          </c:extLst>
        </c:ser>
        <c:ser>
          <c:idx val="23"/>
          <c:order val="23"/>
          <c:tx>
            <c:strRef>
              <c:f>P!$Z$4:$Z$5</c:f>
              <c:strCache>
                <c:ptCount val="1"/>
                <c:pt idx="0">
                  <c:v>09-10-22</c:v>
                </c:pt>
              </c:strCache>
            </c:strRef>
          </c:tx>
          <c:spPr>
            <a:solidFill>
              <a:schemeClr val="accent6">
                <a:lumMod val="8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P!$B$6:$B$30</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P!$Z$6:$Z$30</c:f>
              <c:numCache>
                <c:formatCode>0.00</c:formatCode>
                <c:ptCount val="25"/>
                <c:pt idx="4">
                  <c:v>0.91666666666666674</c:v>
                </c:pt>
                <c:pt idx="10">
                  <c:v>6.4166666666666661</c:v>
                </c:pt>
                <c:pt idx="11">
                  <c:v>0.75</c:v>
                </c:pt>
              </c:numCache>
            </c:numRef>
          </c:val>
          <c:extLst>
            <c:ext xmlns:c16="http://schemas.microsoft.com/office/drawing/2014/chart" uri="{C3380CC4-5D6E-409C-BE32-E72D297353CC}">
              <c16:uniqueId val="{00000016-3783-4D8A-894C-6411DADC2F73}"/>
            </c:ext>
          </c:extLst>
        </c:ser>
        <c:ser>
          <c:idx val="24"/>
          <c:order val="24"/>
          <c:tx>
            <c:strRef>
              <c:f>P!$AA$4:$AA$5</c:f>
              <c:strCache>
                <c:ptCount val="1"/>
                <c:pt idx="0">
                  <c:v>10-10-22</c:v>
                </c:pt>
              </c:strCache>
            </c:strRef>
          </c:tx>
          <c:spPr>
            <a:solidFill>
              <a:schemeClr val="accent1">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P!$B$6:$B$30</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P!$AA$6:$AA$30</c:f>
              <c:numCache>
                <c:formatCode>0.00</c:formatCode>
                <c:ptCount val="25"/>
                <c:pt idx="1">
                  <c:v>0.5</c:v>
                </c:pt>
                <c:pt idx="2">
                  <c:v>0.75</c:v>
                </c:pt>
                <c:pt idx="5">
                  <c:v>1</c:v>
                </c:pt>
                <c:pt idx="8">
                  <c:v>2.1666666666666665</c:v>
                </c:pt>
                <c:pt idx="9">
                  <c:v>3</c:v>
                </c:pt>
                <c:pt idx="10">
                  <c:v>5.5</c:v>
                </c:pt>
                <c:pt idx="11">
                  <c:v>0.58333333333333337</c:v>
                </c:pt>
                <c:pt idx="12">
                  <c:v>0.41666666666666669</c:v>
                </c:pt>
                <c:pt idx="13">
                  <c:v>0.75</c:v>
                </c:pt>
                <c:pt idx="15">
                  <c:v>2.25</c:v>
                </c:pt>
              </c:numCache>
            </c:numRef>
          </c:val>
          <c:extLst>
            <c:ext xmlns:c16="http://schemas.microsoft.com/office/drawing/2014/chart" uri="{C3380CC4-5D6E-409C-BE32-E72D297353CC}">
              <c16:uniqueId val="{00000017-3783-4D8A-894C-6411DADC2F73}"/>
            </c:ext>
          </c:extLst>
        </c:ser>
        <c:ser>
          <c:idx val="25"/>
          <c:order val="25"/>
          <c:tx>
            <c:strRef>
              <c:f>P!$AB$4:$AB$5</c:f>
              <c:strCache>
                <c:ptCount val="1"/>
                <c:pt idx="0">
                  <c:v>11-10-22</c:v>
                </c:pt>
              </c:strCache>
            </c:strRef>
          </c:tx>
          <c:spPr>
            <a:solidFill>
              <a:schemeClr val="accent2">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P!$B$6:$B$30</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P!$AB$6:$AB$30</c:f>
              <c:numCache>
                <c:formatCode>0.00</c:formatCode>
                <c:ptCount val="25"/>
                <c:pt idx="0">
                  <c:v>2.25</c:v>
                </c:pt>
                <c:pt idx="1">
                  <c:v>0.75</c:v>
                </c:pt>
                <c:pt idx="2">
                  <c:v>1.3333333333333333</c:v>
                </c:pt>
                <c:pt idx="5">
                  <c:v>1</c:v>
                </c:pt>
                <c:pt idx="8">
                  <c:v>2</c:v>
                </c:pt>
                <c:pt idx="9">
                  <c:v>4.666666666666667</c:v>
                </c:pt>
                <c:pt idx="10">
                  <c:v>11.083333333333334</c:v>
                </c:pt>
                <c:pt idx="11">
                  <c:v>1.1666666666666665</c:v>
                </c:pt>
                <c:pt idx="13">
                  <c:v>0.83333333333333337</c:v>
                </c:pt>
              </c:numCache>
            </c:numRef>
          </c:val>
          <c:extLst>
            <c:ext xmlns:c16="http://schemas.microsoft.com/office/drawing/2014/chart" uri="{C3380CC4-5D6E-409C-BE32-E72D297353CC}">
              <c16:uniqueId val="{00000018-3783-4D8A-894C-6411DADC2F73}"/>
            </c:ext>
          </c:extLst>
        </c:ser>
        <c:ser>
          <c:idx val="26"/>
          <c:order val="26"/>
          <c:tx>
            <c:strRef>
              <c:f>P!$AC$4:$AC$5</c:f>
              <c:strCache>
                <c:ptCount val="1"/>
                <c:pt idx="0">
                  <c:v>10-11-22</c:v>
                </c:pt>
              </c:strCache>
            </c:strRef>
          </c:tx>
          <c:spPr>
            <a:solidFill>
              <a:schemeClr val="accent3">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P!$B$6:$B$30</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P!$AC$6:$AC$30</c:f>
              <c:numCache>
                <c:formatCode>0.00</c:formatCode>
                <c:ptCount val="25"/>
                <c:pt idx="2">
                  <c:v>0.75</c:v>
                </c:pt>
                <c:pt idx="5">
                  <c:v>0.83333333333333337</c:v>
                </c:pt>
                <c:pt idx="8">
                  <c:v>1.1666666666666665</c:v>
                </c:pt>
                <c:pt idx="9">
                  <c:v>6</c:v>
                </c:pt>
                <c:pt idx="10">
                  <c:v>5.9166666666666679</c:v>
                </c:pt>
                <c:pt idx="12">
                  <c:v>1.5</c:v>
                </c:pt>
                <c:pt idx="13">
                  <c:v>0.58333333333333337</c:v>
                </c:pt>
                <c:pt idx="15">
                  <c:v>0.41666666666666669</c:v>
                </c:pt>
              </c:numCache>
            </c:numRef>
          </c:val>
          <c:extLst>
            <c:ext xmlns:c16="http://schemas.microsoft.com/office/drawing/2014/chart" uri="{C3380CC4-5D6E-409C-BE32-E72D297353CC}">
              <c16:uniqueId val="{00000019-3783-4D8A-894C-6411DADC2F73}"/>
            </c:ext>
          </c:extLst>
        </c:ser>
        <c:ser>
          <c:idx val="27"/>
          <c:order val="27"/>
          <c:tx>
            <c:strRef>
              <c:f>P!$AD$4:$AD$5</c:f>
              <c:strCache>
                <c:ptCount val="1"/>
                <c:pt idx="0">
                  <c:v>11-11-22</c:v>
                </c:pt>
              </c:strCache>
            </c:strRef>
          </c:tx>
          <c:spPr>
            <a:solidFill>
              <a:schemeClr val="accent4">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P!$B$6:$B$30</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P!$AD$6:$AD$30</c:f>
              <c:numCache>
                <c:formatCode>0.00</c:formatCode>
                <c:ptCount val="25"/>
                <c:pt idx="0">
                  <c:v>0.33333333333333331</c:v>
                </c:pt>
                <c:pt idx="2">
                  <c:v>1.8333333333333335</c:v>
                </c:pt>
                <c:pt idx="5">
                  <c:v>1</c:v>
                </c:pt>
                <c:pt idx="8">
                  <c:v>2.8333333333333335</c:v>
                </c:pt>
                <c:pt idx="9">
                  <c:v>4.333333333333333</c:v>
                </c:pt>
                <c:pt idx="10">
                  <c:v>5.083333333333333</c:v>
                </c:pt>
                <c:pt idx="11">
                  <c:v>0.33333333333333331</c:v>
                </c:pt>
                <c:pt idx="13">
                  <c:v>0.41666666666666669</c:v>
                </c:pt>
                <c:pt idx="17">
                  <c:v>0.75</c:v>
                </c:pt>
              </c:numCache>
            </c:numRef>
          </c:val>
          <c:extLst>
            <c:ext xmlns:c16="http://schemas.microsoft.com/office/drawing/2014/chart" uri="{C3380CC4-5D6E-409C-BE32-E72D297353CC}">
              <c16:uniqueId val="{0000001A-3783-4D8A-894C-6411DADC2F73}"/>
            </c:ext>
          </c:extLst>
        </c:ser>
        <c:ser>
          <c:idx val="28"/>
          <c:order val="28"/>
          <c:tx>
            <c:strRef>
              <c:f>P!$AE$4:$AE$5</c:f>
              <c:strCache>
                <c:ptCount val="1"/>
                <c:pt idx="0">
                  <c:v>09-12-22</c:v>
                </c:pt>
              </c:strCache>
            </c:strRef>
          </c:tx>
          <c:spPr>
            <a:solidFill>
              <a:schemeClr val="accent5">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P!$B$6:$B$30</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P!$AE$6:$AE$30</c:f>
              <c:numCache>
                <c:formatCode>0.00</c:formatCode>
                <c:ptCount val="25"/>
                <c:pt idx="3">
                  <c:v>2.5</c:v>
                </c:pt>
                <c:pt idx="4">
                  <c:v>2.8333333333333335</c:v>
                </c:pt>
                <c:pt idx="5">
                  <c:v>1</c:v>
                </c:pt>
                <c:pt idx="8">
                  <c:v>2.1666666666666665</c:v>
                </c:pt>
                <c:pt idx="9">
                  <c:v>2.5</c:v>
                </c:pt>
                <c:pt idx="10">
                  <c:v>4.25</c:v>
                </c:pt>
                <c:pt idx="11">
                  <c:v>0.91666666666666663</c:v>
                </c:pt>
              </c:numCache>
            </c:numRef>
          </c:val>
          <c:extLst>
            <c:ext xmlns:c16="http://schemas.microsoft.com/office/drawing/2014/chart" uri="{C3380CC4-5D6E-409C-BE32-E72D297353CC}">
              <c16:uniqueId val="{0000001B-3783-4D8A-894C-6411DADC2F73}"/>
            </c:ext>
          </c:extLst>
        </c:ser>
        <c:ser>
          <c:idx val="29"/>
          <c:order val="29"/>
          <c:tx>
            <c:strRef>
              <c:f>P!$AF$4:$AF$5</c:f>
              <c:strCache>
                <c:ptCount val="1"/>
                <c:pt idx="0">
                  <c:v>10-12-22</c:v>
                </c:pt>
              </c:strCache>
            </c:strRef>
          </c:tx>
          <c:spPr>
            <a:solidFill>
              <a:schemeClr val="accent6">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P!$B$6:$B$30</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P!$AF$6:$AF$30</c:f>
              <c:numCache>
                <c:formatCode>0.00</c:formatCode>
                <c:ptCount val="25"/>
                <c:pt idx="2">
                  <c:v>0.83333333333333326</c:v>
                </c:pt>
                <c:pt idx="5">
                  <c:v>0.75</c:v>
                </c:pt>
                <c:pt idx="8">
                  <c:v>2.4166666666666665</c:v>
                </c:pt>
                <c:pt idx="9">
                  <c:v>4.5</c:v>
                </c:pt>
                <c:pt idx="10">
                  <c:v>4.5</c:v>
                </c:pt>
                <c:pt idx="11">
                  <c:v>0.5</c:v>
                </c:pt>
                <c:pt idx="13">
                  <c:v>0.5</c:v>
                </c:pt>
              </c:numCache>
            </c:numRef>
          </c:val>
          <c:extLst>
            <c:ext xmlns:c16="http://schemas.microsoft.com/office/drawing/2014/chart" uri="{C3380CC4-5D6E-409C-BE32-E72D297353CC}">
              <c16:uniqueId val="{0000001C-3783-4D8A-894C-6411DADC2F73}"/>
            </c:ext>
          </c:extLst>
        </c:ser>
        <c:ser>
          <c:idx val="30"/>
          <c:order val="30"/>
          <c:tx>
            <c:strRef>
              <c:f>P!$AG$4:$AG$5</c:f>
              <c:strCache>
                <c:ptCount val="1"/>
                <c:pt idx="0">
                  <c:v>11-12-22</c:v>
                </c:pt>
              </c:strCache>
            </c:strRef>
          </c:tx>
          <c:spPr>
            <a:solidFill>
              <a:schemeClr val="accent1">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P!$B$6:$B$30</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P!$AG$6:$AG$30</c:f>
              <c:numCache>
                <c:formatCode>0.00</c:formatCode>
                <c:ptCount val="25"/>
                <c:pt idx="0">
                  <c:v>1.3333333333333333</c:v>
                </c:pt>
                <c:pt idx="2">
                  <c:v>0.66666666666666663</c:v>
                </c:pt>
                <c:pt idx="5">
                  <c:v>1</c:v>
                </c:pt>
                <c:pt idx="8">
                  <c:v>2</c:v>
                </c:pt>
                <c:pt idx="9">
                  <c:v>3.3333333333333335</c:v>
                </c:pt>
                <c:pt idx="10">
                  <c:v>4.9999999999999991</c:v>
                </c:pt>
                <c:pt idx="11">
                  <c:v>0.66666666666666663</c:v>
                </c:pt>
                <c:pt idx="12">
                  <c:v>0.5</c:v>
                </c:pt>
                <c:pt idx="13">
                  <c:v>0.91666666666666663</c:v>
                </c:pt>
                <c:pt idx="18">
                  <c:v>0.5</c:v>
                </c:pt>
                <c:pt idx="19">
                  <c:v>0.5</c:v>
                </c:pt>
              </c:numCache>
            </c:numRef>
          </c:val>
          <c:extLst>
            <c:ext xmlns:c16="http://schemas.microsoft.com/office/drawing/2014/chart" uri="{C3380CC4-5D6E-409C-BE32-E72D297353CC}">
              <c16:uniqueId val="{0000001D-3783-4D8A-894C-6411DADC2F73}"/>
            </c:ext>
          </c:extLst>
        </c:ser>
        <c:ser>
          <c:idx val="31"/>
          <c:order val="31"/>
          <c:tx>
            <c:strRef>
              <c:f>P!$AH$4:$AH$5</c:f>
              <c:strCache>
                <c:ptCount val="1"/>
                <c:pt idx="0">
                  <c:v>13-09-22</c:v>
                </c:pt>
              </c:strCache>
            </c:strRef>
          </c:tx>
          <c:spPr>
            <a:solidFill>
              <a:schemeClr val="accent2">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P!$B$6:$B$30</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P!$AH$6:$AH$30</c:f>
              <c:numCache>
                <c:formatCode>0.00</c:formatCode>
                <c:ptCount val="25"/>
                <c:pt idx="3">
                  <c:v>2.833333333333333</c:v>
                </c:pt>
                <c:pt idx="4">
                  <c:v>1.8333333333333335</c:v>
                </c:pt>
                <c:pt idx="5">
                  <c:v>1</c:v>
                </c:pt>
                <c:pt idx="8">
                  <c:v>1</c:v>
                </c:pt>
                <c:pt idx="9">
                  <c:v>3.6666666666666665</c:v>
                </c:pt>
                <c:pt idx="10">
                  <c:v>4.75</c:v>
                </c:pt>
                <c:pt idx="11">
                  <c:v>2.4166666666666665</c:v>
                </c:pt>
              </c:numCache>
            </c:numRef>
          </c:val>
          <c:extLst>
            <c:ext xmlns:c16="http://schemas.microsoft.com/office/drawing/2014/chart" uri="{C3380CC4-5D6E-409C-BE32-E72D297353CC}">
              <c16:uniqueId val="{0000001E-3783-4D8A-894C-6411DADC2F73}"/>
            </c:ext>
          </c:extLst>
        </c:ser>
        <c:ser>
          <c:idx val="32"/>
          <c:order val="32"/>
          <c:tx>
            <c:strRef>
              <c:f>P!$AI$4:$AI$5</c:f>
              <c:strCache>
                <c:ptCount val="1"/>
                <c:pt idx="0">
                  <c:v>13-10-22</c:v>
                </c:pt>
              </c:strCache>
            </c:strRef>
          </c:tx>
          <c:spPr>
            <a:solidFill>
              <a:schemeClr val="accent3">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P!$B$6:$B$30</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P!$AI$6:$AI$30</c:f>
              <c:numCache>
                <c:formatCode>0.00</c:formatCode>
                <c:ptCount val="25"/>
                <c:pt idx="2">
                  <c:v>0.75</c:v>
                </c:pt>
                <c:pt idx="5">
                  <c:v>0.75</c:v>
                </c:pt>
                <c:pt idx="8">
                  <c:v>3.4166666666666665</c:v>
                </c:pt>
                <c:pt idx="9">
                  <c:v>4</c:v>
                </c:pt>
                <c:pt idx="10">
                  <c:v>6.75</c:v>
                </c:pt>
                <c:pt idx="11">
                  <c:v>0.83333333333333337</c:v>
                </c:pt>
                <c:pt idx="17">
                  <c:v>0.5</c:v>
                </c:pt>
              </c:numCache>
            </c:numRef>
          </c:val>
          <c:extLst>
            <c:ext xmlns:c16="http://schemas.microsoft.com/office/drawing/2014/chart" uri="{C3380CC4-5D6E-409C-BE32-E72D297353CC}">
              <c16:uniqueId val="{0000001F-3783-4D8A-894C-6411DADC2F73}"/>
            </c:ext>
          </c:extLst>
        </c:ser>
        <c:ser>
          <c:idx val="33"/>
          <c:order val="33"/>
          <c:tx>
            <c:strRef>
              <c:f>P!$AJ$4:$AJ$5</c:f>
              <c:strCache>
                <c:ptCount val="1"/>
                <c:pt idx="0">
                  <c:v>14-09-22</c:v>
                </c:pt>
              </c:strCache>
            </c:strRef>
          </c:tx>
          <c:spPr>
            <a:solidFill>
              <a:schemeClr val="accent4">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P!$B$6:$B$30</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P!$AJ$6:$AJ$30</c:f>
              <c:numCache>
                <c:formatCode>0.00</c:formatCode>
                <c:ptCount val="25"/>
                <c:pt idx="4">
                  <c:v>0.58333333333333337</c:v>
                </c:pt>
                <c:pt idx="6">
                  <c:v>0.33333333333333331</c:v>
                </c:pt>
                <c:pt idx="10">
                  <c:v>3.1666666666666665</c:v>
                </c:pt>
                <c:pt idx="11">
                  <c:v>1.3333333333333333</c:v>
                </c:pt>
                <c:pt idx="12">
                  <c:v>0.58333333333333337</c:v>
                </c:pt>
                <c:pt idx="17">
                  <c:v>2</c:v>
                </c:pt>
                <c:pt idx="20">
                  <c:v>0.58333333333333337</c:v>
                </c:pt>
              </c:numCache>
            </c:numRef>
          </c:val>
          <c:extLst>
            <c:ext xmlns:c16="http://schemas.microsoft.com/office/drawing/2014/chart" uri="{C3380CC4-5D6E-409C-BE32-E72D297353CC}">
              <c16:uniqueId val="{00000020-3783-4D8A-894C-6411DADC2F73}"/>
            </c:ext>
          </c:extLst>
        </c:ser>
        <c:ser>
          <c:idx val="34"/>
          <c:order val="34"/>
          <c:tx>
            <c:strRef>
              <c:f>P!$AK$4:$AK$5</c:f>
              <c:strCache>
                <c:ptCount val="1"/>
                <c:pt idx="0">
                  <c:v>14-10-22</c:v>
                </c:pt>
              </c:strCache>
            </c:strRef>
          </c:tx>
          <c:spPr>
            <a:solidFill>
              <a:schemeClr val="accent5">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P!$B$6:$B$30</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P!$AK$6:$AK$30</c:f>
              <c:numCache>
                <c:formatCode>0.00</c:formatCode>
                <c:ptCount val="25"/>
                <c:pt idx="2">
                  <c:v>0.75</c:v>
                </c:pt>
                <c:pt idx="5">
                  <c:v>0.75</c:v>
                </c:pt>
                <c:pt idx="8">
                  <c:v>3</c:v>
                </c:pt>
                <c:pt idx="9">
                  <c:v>4.166666666666667</c:v>
                </c:pt>
                <c:pt idx="10">
                  <c:v>6.833333333333333</c:v>
                </c:pt>
                <c:pt idx="17">
                  <c:v>1.0833333333333333</c:v>
                </c:pt>
              </c:numCache>
            </c:numRef>
          </c:val>
          <c:extLst>
            <c:ext xmlns:c16="http://schemas.microsoft.com/office/drawing/2014/chart" uri="{C3380CC4-5D6E-409C-BE32-E72D297353CC}">
              <c16:uniqueId val="{00000021-3783-4D8A-894C-6411DADC2F73}"/>
            </c:ext>
          </c:extLst>
        </c:ser>
        <c:ser>
          <c:idx val="35"/>
          <c:order val="35"/>
          <c:tx>
            <c:strRef>
              <c:f>P!$AL$4:$AL$5</c:f>
              <c:strCache>
                <c:ptCount val="1"/>
                <c:pt idx="0">
                  <c:v>14-11-22</c:v>
                </c:pt>
              </c:strCache>
            </c:strRef>
          </c:tx>
          <c:spPr>
            <a:solidFill>
              <a:schemeClr val="accent6">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P!$B$6:$B$30</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P!$AL$6:$AL$30</c:f>
              <c:numCache>
                <c:formatCode>0.00</c:formatCode>
                <c:ptCount val="25"/>
                <c:pt idx="0">
                  <c:v>1.4166666666666665</c:v>
                </c:pt>
                <c:pt idx="2">
                  <c:v>1</c:v>
                </c:pt>
                <c:pt idx="5">
                  <c:v>1</c:v>
                </c:pt>
                <c:pt idx="8">
                  <c:v>3</c:v>
                </c:pt>
                <c:pt idx="9">
                  <c:v>3.3333333333333335</c:v>
                </c:pt>
                <c:pt idx="10">
                  <c:v>4.9999999999999991</c:v>
                </c:pt>
                <c:pt idx="12">
                  <c:v>0.33333333333333331</c:v>
                </c:pt>
                <c:pt idx="13">
                  <c:v>0.41666666666666669</c:v>
                </c:pt>
                <c:pt idx="17">
                  <c:v>0.41666666666666669</c:v>
                </c:pt>
                <c:pt idx="18">
                  <c:v>0.25</c:v>
                </c:pt>
                <c:pt idx="19">
                  <c:v>0.5</c:v>
                </c:pt>
                <c:pt idx="20">
                  <c:v>0.33333333333333331</c:v>
                </c:pt>
              </c:numCache>
            </c:numRef>
          </c:val>
          <c:extLst>
            <c:ext xmlns:c16="http://schemas.microsoft.com/office/drawing/2014/chart" uri="{C3380CC4-5D6E-409C-BE32-E72D297353CC}">
              <c16:uniqueId val="{00000022-3783-4D8A-894C-6411DADC2F73}"/>
            </c:ext>
          </c:extLst>
        </c:ser>
        <c:ser>
          <c:idx val="36"/>
          <c:order val="36"/>
          <c:tx>
            <c:strRef>
              <c:f>P!$AM$4:$AM$5</c:f>
              <c:strCache>
                <c:ptCount val="1"/>
                <c:pt idx="0">
                  <c:v>15-09-22</c:v>
                </c:pt>
              </c:strCache>
            </c:strRef>
          </c:tx>
          <c:spPr>
            <a:solidFill>
              <a:schemeClr val="accent1">
                <a:lumMod val="70000"/>
                <a:lumOff val="3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P!$B$6:$B$30</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P!$AM$6:$AM$30</c:f>
              <c:numCache>
                <c:formatCode>0.00</c:formatCode>
                <c:ptCount val="25"/>
                <c:pt idx="5">
                  <c:v>1</c:v>
                </c:pt>
                <c:pt idx="6">
                  <c:v>0.66666666666666663</c:v>
                </c:pt>
                <c:pt idx="8">
                  <c:v>5.1666666666666661</c:v>
                </c:pt>
                <c:pt idx="9">
                  <c:v>2</c:v>
                </c:pt>
                <c:pt idx="10">
                  <c:v>4.583333333333333</c:v>
                </c:pt>
                <c:pt idx="11">
                  <c:v>1.3333333333333333</c:v>
                </c:pt>
                <c:pt idx="12">
                  <c:v>1.0833333333333333</c:v>
                </c:pt>
                <c:pt idx="17">
                  <c:v>1.1666666666666667</c:v>
                </c:pt>
              </c:numCache>
            </c:numRef>
          </c:val>
          <c:extLst>
            <c:ext xmlns:c16="http://schemas.microsoft.com/office/drawing/2014/chart" uri="{C3380CC4-5D6E-409C-BE32-E72D297353CC}">
              <c16:uniqueId val="{00000023-3783-4D8A-894C-6411DADC2F73}"/>
            </c:ext>
          </c:extLst>
        </c:ser>
        <c:ser>
          <c:idx val="37"/>
          <c:order val="37"/>
          <c:tx>
            <c:strRef>
              <c:f>P!$AN$4:$AN$5</c:f>
              <c:strCache>
                <c:ptCount val="1"/>
                <c:pt idx="0">
                  <c:v>15-10-22</c:v>
                </c:pt>
              </c:strCache>
            </c:strRef>
          </c:tx>
          <c:spPr>
            <a:solidFill>
              <a:schemeClr val="accent2">
                <a:lumMod val="70000"/>
                <a:lumOff val="3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P!$B$6:$B$30</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P!$AN$6:$AN$30</c:f>
              <c:numCache>
                <c:formatCode>0.00</c:formatCode>
                <c:ptCount val="25"/>
                <c:pt idx="2">
                  <c:v>0.83333333333333326</c:v>
                </c:pt>
                <c:pt idx="5">
                  <c:v>0.83333333333333337</c:v>
                </c:pt>
                <c:pt idx="8">
                  <c:v>2.9166666666666665</c:v>
                </c:pt>
                <c:pt idx="9">
                  <c:v>4</c:v>
                </c:pt>
                <c:pt idx="10">
                  <c:v>6.666666666666667</c:v>
                </c:pt>
                <c:pt idx="11">
                  <c:v>0.33333333333333331</c:v>
                </c:pt>
                <c:pt idx="13">
                  <c:v>0.75</c:v>
                </c:pt>
              </c:numCache>
            </c:numRef>
          </c:val>
          <c:extLst>
            <c:ext xmlns:c16="http://schemas.microsoft.com/office/drawing/2014/chart" uri="{C3380CC4-5D6E-409C-BE32-E72D297353CC}">
              <c16:uniqueId val="{00000024-3783-4D8A-894C-6411DADC2F73}"/>
            </c:ext>
          </c:extLst>
        </c:ser>
        <c:ser>
          <c:idx val="38"/>
          <c:order val="38"/>
          <c:tx>
            <c:strRef>
              <c:f>P!$AO$4:$AO$5</c:f>
              <c:strCache>
                <c:ptCount val="1"/>
                <c:pt idx="0">
                  <c:v>15-11-22</c:v>
                </c:pt>
              </c:strCache>
            </c:strRef>
          </c:tx>
          <c:spPr>
            <a:solidFill>
              <a:schemeClr val="accent3">
                <a:lumMod val="70000"/>
                <a:lumOff val="3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P!$B$6:$B$30</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P!$AO$6:$AO$30</c:f>
              <c:numCache>
                <c:formatCode>0.00</c:formatCode>
                <c:ptCount val="25"/>
                <c:pt idx="0">
                  <c:v>1.5833333333333333</c:v>
                </c:pt>
                <c:pt idx="2">
                  <c:v>1.6666666666666667</c:v>
                </c:pt>
                <c:pt idx="5">
                  <c:v>1</c:v>
                </c:pt>
                <c:pt idx="8">
                  <c:v>2.6666666666666665</c:v>
                </c:pt>
                <c:pt idx="9">
                  <c:v>3</c:v>
                </c:pt>
                <c:pt idx="10">
                  <c:v>3.75</c:v>
                </c:pt>
                <c:pt idx="11">
                  <c:v>0.66666666666666663</c:v>
                </c:pt>
                <c:pt idx="13">
                  <c:v>1.0833333333333333</c:v>
                </c:pt>
                <c:pt idx="17">
                  <c:v>0.33333333333333331</c:v>
                </c:pt>
                <c:pt idx="18">
                  <c:v>0.33333333333333331</c:v>
                </c:pt>
                <c:pt idx="20">
                  <c:v>0.33333333333333331</c:v>
                </c:pt>
                <c:pt idx="21">
                  <c:v>0.5</c:v>
                </c:pt>
              </c:numCache>
            </c:numRef>
          </c:val>
          <c:extLst>
            <c:ext xmlns:c16="http://schemas.microsoft.com/office/drawing/2014/chart" uri="{C3380CC4-5D6E-409C-BE32-E72D297353CC}">
              <c16:uniqueId val="{00000025-3783-4D8A-894C-6411DADC2F73}"/>
            </c:ext>
          </c:extLst>
        </c:ser>
        <c:ser>
          <c:idx val="39"/>
          <c:order val="39"/>
          <c:tx>
            <c:strRef>
              <c:f>P!$AP$4:$AP$5</c:f>
              <c:strCache>
                <c:ptCount val="1"/>
                <c:pt idx="0">
                  <c:v>16-09-22</c:v>
                </c:pt>
              </c:strCache>
            </c:strRef>
          </c:tx>
          <c:spPr>
            <a:solidFill>
              <a:schemeClr val="accent4">
                <a:lumMod val="70000"/>
                <a:lumOff val="3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P!$B$6:$B$30</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P!$AP$6:$AP$30</c:f>
              <c:numCache>
                <c:formatCode>0.00</c:formatCode>
                <c:ptCount val="25"/>
                <c:pt idx="5">
                  <c:v>1</c:v>
                </c:pt>
                <c:pt idx="6">
                  <c:v>1</c:v>
                </c:pt>
                <c:pt idx="8">
                  <c:v>3.5</c:v>
                </c:pt>
                <c:pt idx="9">
                  <c:v>3.5</c:v>
                </c:pt>
                <c:pt idx="10">
                  <c:v>5.583333333333333</c:v>
                </c:pt>
                <c:pt idx="11">
                  <c:v>0.83333333333333337</c:v>
                </c:pt>
                <c:pt idx="12">
                  <c:v>0.41666666666666669</c:v>
                </c:pt>
                <c:pt idx="20">
                  <c:v>1.25</c:v>
                </c:pt>
              </c:numCache>
            </c:numRef>
          </c:val>
          <c:extLst>
            <c:ext xmlns:c16="http://schemas.microsoft.com/office/drawing/2014/chart" uri="{C3380CC4-5D6E-409C-BE32-E72D297353CC}">
              <c16:uniqueId val="{00000026-3783-4D8A-894C-6411DADC2F73}"/>
            </c:ext>
          </c:extLst>
        </c:ser>
        <c:ser>
          <c:idx val="40"/>
          <c:order val="40"/>
          <c:tx>
            <c:strRef>
              <c:f>P!$AQ$4:$AQ$5</c:f>
              <c:strCache>
                <c:ptCount val="1"/>
                <c:pt idx="0">
                  <c:v>16-11-22</c:v>
                </c:pt>
              </c:strCache>
            </c:strRef>
          </c:tx>
          <c:spPr>
            <a:solidFill>
              <a:schemeClr val="accent5">
                <a:lumMod val="70000"/>
                <a:lumOff val="3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P!$B$6:$B$30</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P!$AQ$6:$AQ$30</c:f>
              <c:numCache>
                <c:formatCode>0.00</c:formatCode>
                <c:ptCount val="25"/>
                <c:pt idx="0">
                  <c:v>1.0833333333333333</c:v>
                </c:pt>
                <c:pt idx="2">
                  <c:v>1.6666666666666667</c:v>
                </c:pt>
                <c:pt idx="5">
                  <c:v>1</c:v>
                </c:pt>
                <c:pt idx="7">
                  <c:v>0.5</c:v>
                </c:pt>
                <c:pt idx="8">
                  <c:v>1.8333333333333333</c:v>
                </c:pt>
                <c:pt idx="9">
                  <c:v>3.75</c:v>
                </c:pt>
                <c:pt idx="10">
                  <c:v>4.916666666666667</c:v>
                </c:pt>
                <c:pt idx="11">
                  <c:v>0.66666666666666663</c:v>
                </c:pt>
                <c:pt idx="13">
                  <c:v>0.66666666666666663</c:v>
                </c:pt>
                <c:pt idx="14">
                  <c:v>0.66666666666666663</c:v>
                </c:pt>
                <c:pt idx="17">
                  <c:v>0.41666666666666669</c:v>
                </c:pt>
              </c:numCache>
            </c:numRef>
          </c:val>
          <c:extLst>
            <c:ext xmlns:c16="http://schemas.microsoft.com/office/drawing/2014/chart" uri="{C3380CC4-5D6E-409C-BE32-E72D297353CC}">
              <c16:uniqueId val="{00000027-3783-4D8A-894C-6411DADC2F73}"/>
            </c:ext>
          </c:extLst>
        </c:ser>
        <c:ser>
          <c:idx val="41"/>
          <c:order val="41"/>
          <c:tx>
            <c:strRef>
              <c:f>P!$AR$4:$AR$5</c:f>
              <c:strCache>
                <c:ptCount val="1"/>
                <c:pt idx="0">
                  <c:v>17-09-22</c:v>
                </c:pt>
              </c:strCache>
            </c:strRef>
          </c:tx>
          <c:spPr>
            <a:solidFill>
              <a:schemeClr val="accent6">
                <a:lumMod val="70000"/>
                <a:lumOff val="3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P!$B$6:$B$30</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P!$AR$6:$AR$30</c:f>
              <c:numCache>
                <c:formatCode>0.00</c:formatCode>
                <c:ptCount val="25"/>
                <c:pt idx="5">
                  <c:v>1</c:v>
                </c:pt>
                <c:pt idx="6">
                  <c:v>1</c:v>
                </c:pt>
                <c:pt idx="8">
                  <c:v>3.5</c:v>
                </c:pt>
                <c:pt idx="9">
                  <c:v>3.5</c:v>
                </c:pt>
                <c:pt idx="10">
                  <c:v>6.4166666666666661</c:v>
                </c:pt>
                <c:pt idx="11">
                  <c:v>0.83333333333333337</c:v>
                </c:pt>
                <c:pt idx="15">
                  <c:v>0.75</c:v>
                </c:pt>
              </c:numCache>
            </c:numRef>
          </c:val>
          <c:extLst>
            <c:ext xmlns:c16="http://schemas.microsoft.com/office/drawing/2014/chart" uri="{C3380CC4-5D6E-409C-BE32-E72D297353CC}">
              <c16:uniqueId val="{00000028-3783-4D8A-894C-6411DADC2F73}"/>
            </c:ext>
          </c:extLst>
        </c:ser>
        <c:ser>
          <c:idx val="42"/>
          <c:order val="42"/>
          <c:tx>
            <c:strRef>
              <c:f>P!$AS$4:$AS$5</c:f>
              <c:strCache>
                <c:ptCount val="1"/>
                <c:pt idx="0">
                  <c:v>17-10-22</c:v>
                </c:pt>
              </c:strCache>
            </c:strRef>
          </c:tx>
          <c:spPr>
            <a:solidFill>
              <a:schemeClr val="accent1">
                <a:lumMod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P!$B$6:$B$30</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P!$AS$6:$AS$30</c:f>
              <c:numCache>
                <c:formatCode>0.00</c:formatCode>
                <c:ptCount val="25"/>
                <c:pt idx="1">
                  <c:v>0.83333333333333337</c:v>
                </c:pt>
                <c:pt idx="2">
                  <c:v>0.75</c:v>
                </c:pt>
                <c:pt idx="5">
                  <c:v>1</c:v>
                </c:pt>
                <c:pt idx="8">
                  <c:v>3.0833333333333335</c:v>
                </c:pt>
                <c:pt idx="9">
                  <c:v>4</c:v>
                </c:pt>
                <c:pt idx="10">
                  <c:v>5.8333333333333339</c:v>
                </c:pt>
                <c:pt idx="12">
                  <c:v>0.66666666666666663</c:v>
                </c:pt>
                <c:pt idx="13">
                  <c:v>0.66666666666666663</c:v>
                </c:pt>
              </c:numCache>
            </c:numRef>
          </c:val>
          <c:extLst>
            <c:ext xmlns:c16="http://schemas.microsoft.com/office/drawing/2014/chart" uri="{C3380CC4-5D6E-409C-BE32-E72D297353CC}">
              <c16:uniqueId val="{00000029-3783-4D8A-894C-6411DADC2F73}"/>
            </c:ext>
          </c:extLst>
        </c:ser>
        <c:ser>
          <c:idx val="43"/>
          <c:order val="43"/>
          <c:tx>
            <c:strRef>
              <c:f>P!$AT$4:$AT$5</c:f>
              <c:strCache>
                <c:ptCount val="1"/>
                <c:pt idx="0">
                  <c:v>17-11-22</c:v>
                </c:pt>
              </c:strCache>
            </c:strRef>
          </c:tx>
          <c:spPr>
            <a:solidFill>
              <a:schemeClr val="accent2">
                <a:lumMod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P!$B$6:$B$30</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P!$AT$6:$AT$30</c:f>
              <c:numCache>
                <c:formatCode>0.00</c:formatCode>
                <c:ptCount val="25"/>
                <c:pt idx="0">
                  <c:v>0.75</c:v>
                </c:pt>
                <c:pt idx="1">
                  <c:v>1.1666666666666667</c:v>
                </c:pt>
                <c:pt idx="2">
                  <c:v>0.75</c:v>
                </c:pt>
                <c:pt idx="5">
                  <c:v>1</c:v>
                </c:pt>
                <c:pt idx="8">
                  <c:v>2.1666666666666665</c:v>
                </c:pt>
                <c:pt idx="9">
                  <c:v>3.3333333333333335</c:v>
                </c:pt>
                <c:pt idx="10">
                  <c:v>5.833333333333333</c:v>
                </c:pt>
                <c:pt idx="11">
                  <c:v>0.41666666666666669</c:v>
                </c:pt>
                <c:pt idx="13">
                  <c:v>0.41666666666666669</c:v>
                </c:pt>
                <c:pt idx="14">
                  <c:v>0.66666666666666663</c:v>
                </c:pt>
              </c:numCache>
            </c:numRef>
          </c:val>
          <c:extLst>
            <c:ext xmlns:c16="http://schemas.microsoft.com/office/drawing/2014/chart" uri="{C3380CC4-5D6E-409C-BE32-E72D297353CC}">
              <c16:uniqueId val="{0000002A-3783-4D8A-894C-6411DADC2F73}"/>
            </c:ext>
          </c:extLst>
        </c:ser>
        <c:ser>
          <c:idx val="44"/>
          <c:order val="44"/>
          <c:tx>
            <c:strRef>
              <c:f>P!$AU$4:$AU$5</c:f>
              <c:strCache>
                <c:ptCount val="1"/>
                <c:pt idx="0">
                  <c:v>18-10-22</c:v>
                </c:pt>
              </c:strCache>
            </c:strRef>
          </c:tx>
          <c:spPr>
            <a:solidFill>
              <a:schemeClr val="accent3">
                <a:lumMod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P!$B$6:$B$30</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P!$AU$6:$AU$30</c:f>
              <c:numCache>
                <c:formatCode>0.00</c:formatCode>
                <c:ptCount val="25"/>
                <c:pt idx="1">
                  <c:v>0.66666666666666663</c:v>
                </c:pt>
                <c:pt idx="2">
                  <c:v>0.66666666666666663</c:v>
                </c:pt>
                <c:pt idx="5">
                  <c:v>1</c:v>
                </c:pt>
                <c:pt idx="8">
                  <c:v>1.75</c:v>
                </c:pt>
                <c:pt idx="9">
                  <c:v>5.416666666666667</c:v>
                </c:pt>
                <c:pt idx="10">
                  <c:v>3.5833333333333335</c:v>
                </c:pt>
                <c:pt idx="12">
                  <c:v>0.5</c:v>
                </c:pt>
                <c:pt idx="13">
                  <c:v>1.75</c:v>
                </c:pt>
              </c:numCache>
            </c:numRef>
          </c:val>
          <c:extLst>
            <c:ext xmlns:c16="http://schemas.microsoft.com/office/drawing/2014/chart" uri="{C3380CC4-5D6E-409C-BE32-E72D297353CC}">
              <c16:uniqueId val="{0000002B-3783-4D8A-894C-6411DADC2F73}"/>
            </c:ext>
          </c:extLst>
        </c:ser>
        <c:ser>
          <c:idx val="45"/>
          <c:order val="45"/>
          <c:tx>
            <c:strRef>
              <c:f>P!$AV$4:$AV$5</c:f>
              <c:strCache>
                <c:ptCount val="1"/>
                <c:pt idx="0">
                  <c:v>18-11-22</c:v>
                </c:pt>
              </c:strCache>
            </c:strRef>
          </c:tx>
          <c:spPr>
            <a:solidFill>
              <a:schemeClr val="accent4">
                <a:lumMod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P!$B$6:$B$30</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P!$AV$6:$AV$30</c:f>
              <c:numCache>
                <c:formatCode>0.00</c:formatCode>
                <c:ptCount val="25"/>
                <c:pt idx="0">
                  <c:v>0.33333333333333331</c:v>
                </c:pt>
                <c:pt idx="2">
                  <c:v>0.66666666666666663</c:v>
                </c:pt>
                <c:pt idx="5">
                  <c:v>1</c:v>
                </c:pt>
                <c:pt idx="8">
                  <c:v>6.666666666666667</c:v>
                </c:pt>
                <c:pt idx="10">
                  <c:v>7.333333333333333</c:v>
                </c:pt>
                <c:pt idx="13">
                  <c:v>0.33333333333333331</c:v>
                </c:pt>
              </c:numCache>
            </c:numRef>
          </c:val>
          <c:extLst>
            <c:ext xmlns:c16="http://schemas.microsoft.com/office/drawing/2014/chart" uri="{C3380CC4-5D6E-409C-BE32-E72D297353CC}">
              <c16:uniqueId val="{0000002C-3783-4D8A-894C-6411DADC2F73}"/>
            </c:ext>
          </c:extLst>
        </c:ser>
        <c:ser>
          <c:idx val="46"/>
          <c:order val="46"/>
          <c:tx>
            <c:strRef>
              <c:f>P!$AW$4:$AW$5</c:f>
              <c:strCache>
                <c:ptCount val="1"/>
                <c:pt idx="0">
                  <c:v>19-09-22</c:v>
                </c:pt>
              </c:strCache>
            </c:strRef>
          </c:tx>
          <c:spPr>
            <a:solidFill>
              <a:schemeClr val="accent5">
                <a:lumMod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P!$B$6:$B$30</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P!$AW$6:$AW$30</c:f>
              <c:numCache>
                <c:formatCode>0.00</c:formatCode>
                <c:ptCount val="25"/>
                <c:pt idx="0">
                  <c:v>0.5</c:v>
                </c:pt>
                <c:pt idx="2">
                  <c:v>0.33333333333333331</c:v>
                </c:pt>
                <c:pt idx="5">
                  <c:v>0.5</c:v>
                </c:pt>
                <c:pt idx="6">
                  <c:v>0.33333333333333331</c:v>
                </c:pt>
                <c:pt idx="8">
                  <c:v>5.083333333333333</c:v>
                </c:pt>
                <c:pt idx="9">
                  <c:v>0.75</c:v>
                </c:pt>
                <c:pt idx="10">
                  <c:v>5.666666666666667</c:v>
                </c:pt>
                <c:pt idx="11">
                  <c:v>0.91666666666666663</c:v>
                </c:pt>
                <c:pt idx="12">
                  <c:v>1.5833333333333335</c:v>
                </c:pt>
                <c:pt idx="15">
                  <c:v>1.5</c:v>
                </c:pt>
              </c:numCache>
            </c:numRef>
          </c:val>
          <c:extLst>
            <c:ext xmlns:c16="http://schemas.microsoft.com/office/drawing/2014/chart" uri="{C3380CC4-5D6E-409C-BE32-E72D297353CC}">
              <c16:uniqueId val="{0000002D-3783-4D8A-894C-6411DADC2F73}"/>
            </c:ext>
          </c:extLst>
        </c:ser>
        <c:ser>
          <c:idx val="47"/>
          <c:order val="47"/>
          <c:tx>
            <c:strRef>
              <c:f>P!$AX$4:$AX$5</c:f>
              <c:strCache>
                <c:ptCount val="1"/>
                <c:pt idx="0">
                  <c:v>19-10-22</c:v>
                </c:pt>
              </c:strCache>
            </c:strRef>
          </c:tx>
          <c:spPr>
            <a:solidFill>
              <a:schemeClr val="accent6">
                <a:lumMod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P!$B$6:$B$30</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P!$AX$6:$AX$30</c:f>
              <c:numCache>
                <c:formatCode>0.00</c:formatCode>
                <c:ptCount val="25"/>
                <c:pt idx="2">
                  <c:v>0.66666666666666663</c:v>
                </c:pt>
                <c:pt idx="5">
                  <c:v>1</c:v>
                </c:pt>
                <c:pt idx="8">
                  <c:v>0.25</c:v>
                </c:pt>
                <c:pt idx="9">
                  <c:v>6.666666666666667</c:v>
                </c:pt>
                <c:pt idx="10">
                  <c:v>5.7499999999999991</c:v>
                </c:pt>
                <c:pt idx="11">
                  <c:v>0.75</c:v>
                </c:pt>
                <c:pt idx="12">
                  <c:v>0.33333333333333331</c:v>
                </c:pt>
                <c:pt idx="13">
                  <c:v>0.66666666666666663</c:v>
                </c:pt>
                <c:pt idx="17">
                  <c:v>0.75</c:v>
                </c:pt>
              </c:numCache>
            </c:numRef>
          </c:val>
          <c:extLst>
            <c:ext xmlns:c16="http://schemas.microsoft.com/office/drawing/2014/chart" uri="{C3380CC4-5D6E-409C-BE32-E72D297353CC}">
              <c16:uniqueId val="{0000002E-3783-4D8A-894C-6411DADC2F73}"/>
            </c:ext>
          </c:extLst>
        </c:ser>
        <c:ser>
          <c:idx val="48"/>
          <c:order val="48"/>
          <c:tx>
            <c:strRef>
              <c:f>P!$AY$4:$AY$5</c:f>
              <c:strCache>
                <c:ptCount val="1"/>
                <c:pt idx="0">
                  <c:v>19-11-22</c:v>
                </c:pt>
              </c:strCache>
            </c:strRef>
          </c:tx>
          <c:spPr>
            <a:solidFill>
              <a:schemeClr val="accent1">
                <a:lumMod val="50000"/>
                <a:lumOff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P!$B$6:$B$30</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P!$AY$6:$AY$30</c:f>
              <c:numCache>
                <c:formatCode>0.00</c:formatCode>
                <c:ptCount val="25"/>
                <c:pt idx="2">
                  <c:v>0.66666666666666663</c:v>
                </c:pt>
                <c:pt idx="5">
                  <c:v>2</c:v>
                </c:pt>
                <c:pt idx="8">
                  <c:v>6</c:v>
                </c:pt>
                <c:pt idx="9">
                  <c:v>4</c:v>
                </c:pt>
                <c:pt idx="14">
                  <c:v>3.666666666666667</c:v>
                </c:pt>
              </c:numCache>
            </c:numRef>
          </c:val>
          <c:extLst>
            <c:ext xmlns:c16="http://schemas.microsoft.com/office/drawing/2014/chart" uri="{C3380CC4-5D6E-409C-BE32-E72D297353CC}">
              <c16:uniqueId val="{0000002F-3783-4D8A-894C-6411DADC2F73}"/>
            </c:ext>
          </c:extLst>
        </c:ser>
        <c:ser>
          <c:idx val="49"/>
          <c:order val="49"/>
          <c:tx>
            <c:strRef>
              <c:f>P!$AZ$4:$AZ$5</c:f>
              <c:strCache>
                <c:ptCount val="1"/>
                <c:pt idx="0">
                  <c:v>20-09-22</c:v>
                </c:pt>
              </c:strCache>
            </c:strRef>
          </c:tx>
          <c:spPr>
            <a:solidFill>
              <a:schemeClr val="accent2">
                <a:lumMod val="50000"/>
                <a:lumOff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P!$B$6:$B$30</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P!$AZ$6:$AZ$30</c:f>
              <c:numCache>
                <c:formatCode>0.00</c:formatCode>
                <c:ptCount val="25"/>
                <c:pt idx="1">
                  <c:v>1.6666666666666667</c:v>
                </c:pt>
                <c:pt idx="2">
                  <c:v>0.33333333333333331</c:v>
                </c:pt>
                <c:pt idx="5">
                  <c:v>0.75</c:v>
                </c:pt>
                <c:pt idx="6">
                  <c:v>0.33333333333333331</c:v>
                </c:pt>
                <c:pt idx="8">
                  <c:v>4.583333333333333</c:v>
                </c:pt>
                <c:pt idx="9">
                  <c:v>1.8333333333333333</c:v>
                </c:pt>
                <c:pt idx="10">
                  <c:v>4.9999999999999991</c:v>
                </c:pt>
                <c:pt idx="12">
                  <c:v>0.58333333333333337</c:v>
                </c:pt>
                <c:pt idx="15">
                  <c:v>1.75</c:v>
                </c:pt>
              </c:numCache>
            </c:numRef>
          </c:val>
          <c:extLst>
            <c:ext xmlns:c16="http://schemas.microsoft.com/office/drawing/2014/chart" uri="{C3380CC4-5D6E-409C-BE32-E72D297353CC}">
              <c16:uniqueId val="{00000030-3783-4D8A-894C-6411DADC2F73}"/>
            </c:ext>
          </c:extLst>
        </c:ser>
        <c:ser>
          <c:idx val="50"/>
          <c:order val="50"/>
          <c:tx>
            <c:strRef>
              <c:f>P!$BA$4:$BA$5</c:f>
              <c:strCache>
                <c:ptCount val="1"/>
                <c:pt idx="0">
                  <c:v>20-10-22</c:v>
                </c:pt>
              </c:strCache>
            </c:strRef>
          </c:tx>
          <c:spPr>
            <a:solidFill>
              <a:schemeClr val="accent3">
                <a:lumMod val="50000"/>
                <a:lumOff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P!$B$6:$B$30</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P!$BA$6:$BA$30</c:f>
              <c:numCache>
                <c:formatCode>0.00</c:formatCode>
                <c:ptCount val="25"/>
                <c:pt idx="0">
                  <c:v>1.1666666666666665</c:v>
                </c:pt>
                <c:pt idx="2">
                  <c:v>1</c:v>
                </c:pt>
                <c:pt idx="5">
                  <c:v>1.5</c:v>
                </c:pt>
                <c:pt idx="8">
                  <c:v>0.75</c:v>
                </c:pt>
                <c:pt idx="9">
                  <c:v>14.166666666666668</c:v>
                </c:pt>
                <c:pt idx="10">
                  <c:v>3.7499999999999996</c:v>
                </c:pt>
                <c:pt idx="11">
                  <c:v>1.7499999999999998</c:v>
                </c:pt>
                <c:pt idx="13">
                  <c:v>0.41666666666666669</c:v>
                </c:pt>
                <c:pt idx="15">
                  <c:v>0.75</c:v>
                </c:pt>
              </c:numCache>
            </c:numRef>
          </c:val>
          <c:extLst>
            <c:ext xmlns:c16="http://schemas.microsoft.com/office/drawing/2014/chart" uri="{C3380CC4-5D6E-409C-BE32-E72D297353CC}">
              <c16:uniqueId val="{00000031-3783-4D8A-894C-6411DADC2F73}"/>
            </c:ext>
          </c:extLst>
        </c:ser>
        <c:ser>
          <c:idx val="51"/>
          <c:order val="51"/>
          <c:tx>
            <c:strRef>
              <c:f>P!$BB$4:$BB$5</c:f>
              <c:strCache>
                <c:ptCount val="1"/>
                <c:pt idx="0">
                  <c:v>21-09-22</c:v>
                </c:pt>
              </c:strCache>
            </c:strRef>
          </c:tx>
          <c:spPr>
            <a:solidFill>
              <a:schemeClr val="accent4">
                <a:lumMod val="50000"/>
                <a:lumOff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P!$B$6:$B$30</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P!$BB$6:$BB$30</c:f>
              <c:numCache>
                <c:formatCode>0.00</c:formatCode>
                <c:ptCount val="25"/>
                <c:pt idx="1">
                  <c:v>1</c:v>
                </c:pt>
                <c:pt idx="2">
                  <c:v>0.33333333333333331</c:v>
                </c:pt>
                <c:pt idx="5">
                  <c:v>1</c:v>
                </c:pt>
                <c:pt idx="6">
                  <c:v>0.33333333333333331</c:v>
                </c:pt>
                <c:pt idx="8">
                  <c:v>1.8333333333333333</c:v>
                </c:pt>
                <c:pt idx="9">
                  <c:v>2</c:v>
                </c:pt>
                <c:pt idx="10">
                  <c:v>6.5</c:v>
                </c:pt>
                <c:pt idx="12">
                  <c:v>0.66666666666666663</c:v>
                </c:pt>
                <c:pt idx="13">
                  <c:v>0.33333333333333331</c:v>
                </c:pt>
                <c:pt idx="14">
                  <c:v>1.75</c:v>
                </c:pt>
                <c:pt idx="15">
                  <c:v>1.3333333333333333</c:v>
                </c:pt>
              </c:numCache>
            </c:numRef>
          </c:val>
          <c:extLst>
            <c:ext xmlns:c16="http://schemas.microsoft.com/office/drawing/2014/chart" uri="{C3380CC4-5D6E-409C-BE32-E72D297353CC}">
              <c16:uniqueId val="{00000032-3783-4D8A-894C-6411DADC2F73}"/>
            </c:ext>
          </c:extLst>
        </c:ser>
        <c:ser>
          <c:idx val="52"/>
          <c:order val="52"/>
          <c:tx>
            <c:strRef>
              <c:f>P!$BC$4:$BC$5</c:f>
              <c:strCache>
                <c:ptCount val="1"/>
                <c:pt idx="0">
                  <c:v>21-10-22</c:v>
                </c:pt>
              </c:strCache>
            </c:strRef>
          </c:tx>
          <c:spPr>
            <a:solidFill>
              <a:schemeClr val="accent5">
                <a:lumMod val="50000"/>
                <a:lumOff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P!$B$6:$B$30</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P!$BC$6:$BC$30</c:f>
              <c:numCache>
                <c:formatCode>0.00</c:formatCode>
                <c:ptCount val="25"/>
                <c:pt idx="0">
                  <c:v>2.3333333333333335</c:v>
                </c:pt>
                <c:pt idx="1">
                  <c:v>0.66666666666666663</c:v>
                </c:pt>
                <c:pt idx="2">
                  <c:v>0.66666666666666663</c:v>
                </c:pt>
                <c:pt idx="5">
                  <c:v>1</c:v>
                </c:pt>
                <c:pt idx="8">
                  <c:v>1</c:v>
                </c:pt>
                <c:pt idx="9">
                  <c:v>5.833333333333333</c:v>
                </c:pt>
                <c:pt idx="10">
                  <c:v>3.9166666666666665</c:v>
                </c:pt>
                <c:pt idx="11">
                  <c:v>1</c:v>
                </c:pt>
                <c:pt idx="13">
                  <c:v>0.41666666666666669</c:v>
                </c:pt>
              </c:numCache>
            </c:numRef>
          </c:val>
          <c:extLst>
            <c:ext xmlns:c16="http://schemas.microsoft.com/office/drawing/2014/chart" uri="{C3380CC4-5D6E-409C-BE32-E72D297353CC}">
              <c16:uniqueId val="{00000033-3783-4D8A-894C-6411DADC2F73}"/>
            </c:ext>
          </c:extLst>
        </c:ser>
        <c:ser>
          <c:idx val="53"/>
          <c:order val="53"/>
          <c:tx>
            <c:strRef>
              <c:f>P!$BD$4:$BD$5</c:f>
              <c:strCache>
                <c:ptCount val="1"/>
                <c:pt idx="0">
                  <c:v>21-11-22</c:v>
                </c:pt>
              </c:strCache>
            </c:strRef>
          </c:tx>
          <c:spPr>
            <a:solidFill>
              <a:schemeClr val="accent6">
                <a:lumMod val="50000"/>
                <a:lumOff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P!$B$6:$B$30</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P!$BD$6:$BD$30</c:f>
              <c:numCache>
                <c:formatCode>0.00</c:formatCode>
                <c:ptCount val="25"/>
                <c:pt idx="0">
                  <c:v>0.33333333333333331</c:v>
                </c:pt>
                <c:pt idx="2">
                  <c:v>0.33333333333333331</c:v>
                </c:pt>
                <c:pt idx="10">
                  <c:v>4.75</c:v>
                </c:pt>
                <c:pt idx="11">
                  <c:v>0.66666666666666663</c:v>
                </c:pt>
                <c:pt idx="13">
                  <c:v>0.41666666666666669</c:v>
                </c:pt>
                <c:pt idx="15">
                  <c:v>1.75</c:v>
                </c:pt>
              </c:numCache>
            </c:numRef>
          </c:val>
          <c:extLst>
            <c:ext xmlns:c16="http://schemas.microsoft.com/office/drawing/2014/chart" uri="{C3380CC4-5D6E-409C-BE32-E72D297353CC}">
              <c16:uniqueId val="{00000034-3783-4D8A-894C-6411DADC2F73}"/>
            </c:ext>
          </c:extLst>
        </c:ser>
        <c:ser>
          <c:idx val="54"/>
          <c:order val="54"/>
          <c:tx>
            <c:strRef>
              <c:f>P!$BE$4:$BE$5</c:f>
              <c:strCache>
                <c:ptCount val="1"/>
                <c:pt idx="0">
                  <c:v>22-09-22</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P!$B$6:$B$30</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P!$BE$6:$BE$30</c:f>
              <c:numCache>
                <c:formatCode>0.00</c:formatCode>
                <c:ptCount val="25"/>
                <c:pt idx="1">
                  <c:v>0.66666666666666663</c:v>
                </c:pt>
                <c:pt idx="2">
                  <c:v>0.66666666666666663</c:v>
                </c:pt>
                <c:pt idx="5">
                  <c:v>1</c:v>
                </c:pt>
                <c:pt idx="8">
                  <c:v>2.25</c:v>
                </c:pt>
                <c:pt idx="9">
                  <c:v>3.25</c:v>
                </c:pt>
                <c:pt idx="10">
                  <c:v>5.166666666666667</c:v>
                </c:pt>
                <c:pt idx="12">
                  <c:v>0.58333333333333337</c:v>
                </c:pt>
                <c:pt idx="15">
                  <c:v>0.91666666666666663</c:v>
                </c:pt>
                <c:pt idx="22">
                  <c:v>1.3333333333333333</c:v>
                </c:pt>
                <c:pt idx="23">
                  <c:v>1.3333333333333333</c:v>
                </c:pt>
              </c:numCache>
            </c:numRef>
          </c:val>
          <c:extLst>
            <c:ext xmlns:c16="http://schemas.microsoft.com/office/drawing/2014/chart" uri="{C3380CC4-5D6E-409C-BE32-E72D297353CC}">
              <c16:uniqueId val="{00000035-3783-4D8A-894C-6411DADC2F73}"/>
            </c:ext>
          </c:extLst>
        </c:ser>
        <c:ser>
          <c:idx val="55"/>
          <c:order val="55"/>
          <c:tx>
            <c:strRef>
              <c:f>P!$BF$4:$BF$5</c:f>
              <c:strCache>
                <c:ptCount val="1"/>
                <c:pt idx="0">
                  <c:v>22-10-22</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P!$B$6:$B$30</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P!$BF$6:$BF$30</c:f>
              <c:numCache>
                <c:formatCode>0.00</c:formatCode>
                <c:ptCount val="25"/>
                <c:pt idx="0">
                  <c:v>1.8333333333333335</c:v>
                </c:pt>
                <c:pt idx="2">
                  <c:v>0.66666666666666663</c:v>
                </c:pt>
                <c:pt idx="5">
                  <c:v>1</c:v>
                </c:pt>
                <c:pt idx="8">
                  <c:v>2.1666666666666665</c:v>
                </c:pt>
                <c:pt idx="9">
                  <c:v>4.5</c:v>
                </c:pt>
                <c:pt idx="10">
                  <c:v>5.5</c:v>
                </c:pt>
                <c:pt idx="13">
                  <c:v>0.41666666666666669</c:v>
                </c:pt>
              </c:numCache>
            </c:numRef>
          </c:val>
          <c:extLst>
            <c:ext xmlns:c16="http://schemas.microsoft.com/office/drawing/2014/chart" uri="{C3380CC4-5D6E-409C-BE32-E72D297353CC}">
              <c16:uniqueId val="{00000036-3783-4D8A-894C-6411DADC2F73}"/>
            </c:ext>
          </c:extLst>
        </c:ser>
        <c:ser>
          <c:idx val="56"/>
          <c:order val="56"/>
          <c:tx>
            <c:strRef>
              <c:f>P!$BG$4:$BG$5</c:f>
              <c:strCache>
                <c:ptCount val="1"/>
                <c:pt idx="0">
                  <c:v>22-11-22</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P!$B$6:$B$30</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P!$BG$6:$BG$30</c:f>
              <c:numCache>
                <c:formatCode>0.00</c:formatCode>
                <c:ptCount val="25"/>
                <c:pt idx="0">
                  <c:v>0.33333333333333331</c:v>
                </c:pt>
                <c:pt idx="2">
                  <c:v>0.33333333333333331</c:v>
                </c:pt>
                <c:pt idx="10">
                  <c:v>4.75</c:v>
                </c:pt>
                <c:pt idx="11">
                  <c:v>0.66666666666666663</c:v>
                </c:pt>
                <c:pt idx="13">
                  <c:v>0.41666666666666669</c:v>
                </c:pt>
                <c:pt idx="15">
                  <c:v>1.75</c:v>
                </c:pt>
              </c:numCache>
            </c:numRef>
          </c:val>
          <c:extLst>
            <c:ext xmlns:c16="http://schemas.microsoft.com/office/drawing/2014/chart" uri="{C3380CC4-5D6E-409C-BE32-E72D297353CC}">
              <c16:uniqueId val="{00000037-3783-4D8A-894C-6411DADC2F73}"/>
            </c:ext>
          </c:extLst>
        </c:ser>
        <c:ser>
          <c:idx val="57"/>
          <c:order val="57"/>
          <c:tx>
            <c:strRef>
              <c:f>P!$BH$4:$BH$5</c:f>
              <c:strCache>
                <c:ptCount val="1"/>
                <c:pt idx="0">
                  <c:v>23-09-22</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P!$B$6:$B$30</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P!$BH$6:$BH$30</c:f>
              <c:numCache>
                <c:formatCode>0.00</c:formatCode>
                <c:ptCount val="25"/>
                <c:pt idx="1">
                  <c:v>2.6666666666666665</c:v>
                </c:pt>
                <c:pt idx="2">
                  <c:v>0.66666666666666663</c:v>
                </c:pt>
                <c:pt idx="5">
                  <c:v>1</c:v>
                </c:pt>
                <c:pt idx="8">
                  <c:v>0.75</c:v>
                </c:pt>
                <c:pt idx="9">
                  <c:v>4.9166666666666661</c:v>
                </c:pt>
                <c:pt idx="10">
                  <c:v>3.916666666666667</c:v>
                </c:pt>
                <c:pt idx="11">
                  <c:v>2.1666666666666665</c:v>
                </c:pt>
                <c:pt idx="15">
                  <c:v>0.75</c:v>
                </c:pt>
              </c:numCache>
            </c:numRef>
          </c:val>
          <c:extLst>
            <c:ext xmlns:c16="http://schemas.microsoft.com/office/drawing/2014/chart" uri="{C3380CC4-5D6E-409C-BE32-E72D297353CC}">
              <c16:uniqueId val="{00000038-3783-4D8A-894C-6411DADC2F73}"/>
            </c:ext>
          </c:extLst>
        </c:ser>
        <c:ser>
          <c:idx val="58"/>
          <c:order val="58"/>
          <c:tx>
            <c:strRef>
              <c:f>P!$BI$4:$BI$5</c:f>
              <c:strCache>
                <c:ptCount val="1"/>
                <c:pt idx="0">
                  <c:v>24-09-22</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P!$B$6:$B$30</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P!$BI$6:$BI$30</c:f>
              <c:numCache>
                <c:formatCode>0.00</c:formatCode>
                <c:ptCount val="25"/>
                <c:pt idx="1">
                  <c:v>1.2666666666666666</c:v>
                </c:pt>
                <c:pt idx="2">
                  <c:v>0.33333333333333331</c:v>
                </c:pt>
                <c:pt idx="5">
                  <c:v>1</c:v>
                </c:pt>
                <c:pt idx="6">
                  <c:v>0.33333333333333331</c:v>
                </c:pt>
                <c:pt idx="8">
                  <c:v>3</c:v>
                </c:pt>
                <c:pt idx="9">
                  <c:v>3.5</c:v>
                </c:pt>
                <c:pt idx="10">
                  <c:v>2.666666666666667</c:v>
                </c:pt>
                <c:pt idx="11">
                  <c:v>4.833333333333333</c:v>
                </c:pt>
              </c:numCache>
            </c:numRef>
          </c:val>
          <c:extLst>
            <c:ext xmlns:c16="http://schemas.microsoft.com/office/drawing/2014/chart" uri="{C3380CC4-5D6E-409C-BE32-E72D297353CC}">
              <c16:uniqueId val="{00000039-3783-4D8A-894C-6411DADC2F73}"/>
            </c:ext>
          </c:extLst>
        </c:ser>
        <c:ser>
          <c:idx val="59"/>
          <c:order val="59"/>
          <c:tx>
            <c:strRef>
              <c:f>P!$BJ$4:$BJ$5</c:f>
              <c:strCache>
                <c:ptCount val="1"/>
                <c:pt idx="0">
                  <c:v>25-10-22</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P!$B$6:$B$30</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P!$BJ$6:$BJ$30</c:f>
              <c:numCache>
                <c:formatCode>0.00</c:formatCode>
                <c:ptCount val="25"/>
                <c:pt idx="0">
                  <c:v>1.0833333333333335</c:v>
                </c:pt>
                <c:pt idx="2">
                  <c:v>0.66666666666666663</c:v>
                </c:pt>
                <c:pt idx="5">
                  <c:v>1</c:v>
                </c:pt>
                <c:pt idx="8">
                  <c:v>2.1666666666666665</c:v>
                </c:pt>
                <c:pt idx="9">
                  <c:v>4.5</c:v>
                </c:pt>
                <c:pt idx="10">
                  <c:v>6.166666666666667</c:v>
                </c:pt>
                <c:pt idx="12">
                  <c:v>0.5</c:v>
                </c:pt>
                <c:pt idx="13">
                  <c:v>0.41666666666666669</c:v>
                </c:pt>
              </c:numCache>
            </c:numRef>
          </c:val>
          <c:extLst>
            <c:ext xmlns:c16="http://schemas.microsoft.com/office/drawing/2014/chart" uri="{C3380CC4-5D6E-409C-BE32-E72D297353CC}">
              <c16:uniqueId val="{0000003A-3783-4D8A-894C-6411DADC2F73}"/>
            </c:ext>
          </c:extLst>
        </c:ser>
        <c:ser>
          <c:idx val="60"/>
          <c:order val="60"/>
          <c:tx>
            <c:strRef>
              <c:f>P!$BK$4:$BK$5</c:f>
              <c:strCache>
                <c:ptCount val="1"/>
                <c:pt idx="0">
                  <c:v>26-09-22</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P!$B$6:$B$30</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P!$BK$6:$BK$30</c:f>
              <c:numCache>
                <c:formatCode>0.00</c:formatCode>
                <c:ptCount val="25"/>
                <c:pt idx="2">
                  <c:v>0.75</c:v>
                </c:pt>
                <c:pt idx="5">
                  <c:v>1</c:v>
                </c:pt>
                <c:pt idx="6">
                  <c:v>0.33333333333333331</c:v>
                </c:pt>
                <c:pt idx="8">
                  <c:v>2</c:v>
                </c:pt>
                <c:pt idx="9">
                  <c:v>4.75</c:v>
                </c:pt>
                <c:pt idx="10">
                  <c:v>3.583333333333333</c:v>
                </c:pt>
                <c:pt idx="11">
                  <c:v>3.833333333333333</c:v>
                </c:pt>
                <c:pt idx="12">
                  <c:v>0.33333333333333331</c:v>
                </c:pt>
              </c:numCache>
            </c:numRef>
          </c:val>
          <c:extLst>
            <c:ext xmlns:c16="http://schemas.microsoft.com/office/drawing/2014/chart" uri="{C3380CC4-5D6E-409C-BE32-E72D297353CC}">
              <c16:uniqueId val="{0000003B-3783-4D8A-894C-6411DADC2F73}"/>
            </c:ext>
          </c:extLst>
        </c:ser>
        <c:ser>
          <c:idx val="61"/>
          <c:order val="61"/>
          <c:tx>
            <c:strRef>
              <c:f>P!$BL$4:$BL$5</c:f>
              <c:strCache>
                <c:ptCount val="1"/>
                <c:pt idx="0">
                  <c:v>26-10-22</c:v>
                </c:pt>
              </c:strCache>
            </c:strRef>
          </c:tx>
          <c:spPr>
            <a:solidFill>
              <a:schemeClr val="accent2">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P!$B$6:$B$30</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P!$BL$6:$BL$30</c:f>
              <c:numCache>
                <c:formatCode>0.00</c:formatCode>
                <c:ptCount val="25"/>
                <c:pt idx="0">
                  <c:v>2.1666666666666665</c:v>
                </c:pt>
                <c:pt idx="2">
                  <c:v>0.66666666666666663</c:v>
                </c:pt>
                <c:pt idx="5">
                  <c:v>1</c:v>
                </c:pt>
                <c:pt idx="8">
                  <c:v>0.66666666666666663</c:v>
                </c:pt>
                <c:pt idx="9">
                  <c:v>5</c:v>
                </c:pt>
                <c:pt idx="10">
                  <c:v>4.583333333333333</c:v>
                </c:pt>
                <c:pt idx="11">
                  <c:v>0.58333333333333337</c:v>
                </c:pt>
                <c:pt idx="12">
                  <c:v>0.5</c:v>
                </c:pt>
                <c:pt idx="13">
                  <c:v>0.41666666666666669</c:v>
                </c:pt>
                <c:pt idx="14">
                  <c:v>1</c:v>
                </c:pt>
              </c:numCache>
            </c:numRef>
          </c:val>
          <c:extLst>
            <c:ext xmlns:c16="http://schemas.microsoft.com/office/drawing/2014/chart" uri="{C3380CC4-5D6E-409C-BE32-E72D297353CC}">
              <c16:uniqueId val="{0000003C-3783-4D8A-894C-6411DADC2F73}"/>
            </c:ext>
          </c:extLst>
        </c:ser>
        <c:ser>
          <c:idx val="62"/>
          <c:order val="62"/>
          <c:tx>
            <c:strRef>
              <c:f>P!$BM$4:$BM$5</c:f>
              <c:strCache>
                <c:ptCount val="1"/>
                <c:pt idx="0">
                  <c:v>27-09-22</c:v>
                </c:pt>
              </c:strCache>
            </c:strRef>
          </c:tx>
          <c:spPr>
            <a:solidFill>
              <a:schemeClr val="accent3">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P!$B$6:$B$30</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P!$BM$6:$BM$30</c:f>
              <c:numCache>
                <c:formatCode>0.00</c:formatCode>
                <c:ptCount val="25"/>
                <c:pt idx="1">
                  <c:v>0.41666666666666669</c:v>
                </c:pt>
                <c:pt idx="2">
                  <c:v>0.41666666666666669</c:v>
                </c:pt>
                <c:pt idx="5">
                  <c:v>1</c:v>
                </c:pt>
                <c:pt idx="6">
                  <c:v>0.33333333333333331</c:v>
                </c:pt>
                <c:pt idx="8">
                  <c:v>3.5</c:v>
                </c:pt>
                <c:pt idx="9">
                  <c:v>3.583333333333333</c:v>
                </c:pt>
                <c:pt idx="10">
                  <c:v>3.4166666666666665</c:v>
                </c:pt>
                <c:pt idx="11">
                  <c:v>3.5</c:v>
                </c:pt>
                <c:pt idx="12">
                  <c:v>0.5</c:v>
                </c:pt>
                <c:pt idx="13">
                  <c:v>0.33333333333333331</c:v>
                </c:pt>
              </c:numCache>
            </c:numRef>
          </c:val>
          <c:extLst>
            <c:ext xmlns:c16="http://schemas.microsoft.com/office/drawing/2014/chart" uri="{C3380CC4-5D6E-409C-BE32-E72D297353CC}">
              <c16:uniqueId val="{0000003D-3783-4D8A-894C-6411DADC2F73}"/>
            </c:ext>
          </c:extLst>
        </c:ser>
        <c:ser>
          <c:idx val="63"/>
          <c:order val="63"/>
          <c:tx>
            <c:strRef>
              <c:f>P!$BN$4:$BN$5</c:f>
              <c:strCache>
                <c:ptCount val="1"/>
                <c:pt idx="0">
                  <c:v>27-10-22</c:v>
                </c:pt>
              </c:strCache>
            </c:strRef>
          </c:tx>
          <c:spPr>
            <a:solidFill>
              <a:schemeClr val="accent4">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P!$B$6:$B$30</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P!$BN$6:$BN$30</c:f>
              <c:numCache>
                <c:formatCode>0.00</c:formatCode>
                <c:ptCount val="25"/>
                <c:pt idx="0">
                  <c:v>1.75</c:v>
                </c:pt>
                <c:pt idx="1">
                  <c:v>0.66666666666666663</c:v>
                </c:pt>
                <c:pt idx="2">
                  <c:v>0.66666666666666663</c:v>
                </c:pt>
                <c:pt idx="5">
                  <c:v>1</c:v>
                </c:pt>
                <c:pt idx="8">
                  <c:v>2.3333333333333335</c:v>
                </c:pt>
                <c:pt idx="9">
                  <c:v>3.3333333333333335</c:v>
                </c:pt>
                <c:pt idx="10">
                  <c:v>4.4166666666666661</c:v>
                </c:pt>
                <c:pt idx="11">
                  <c:v>0.41666666666666669</c:v>
                </c:pt>
                <c:pt idx="12">
                  <c:v>0.5</c:v>
                </c:pt>
                <c:pt idx="13">
                  <c:v>0.41666666666666669</c:v>
                </c:pt>
                <c:pt idx="14">
                  <c:v>1</c:v>
                </c:pt>
              </c:numCache>
            </c:numRef>
          </c:val>
          <c:extLst>
            <c:ext xmlns:c16="http://schemas.microsoft.com/office/drawing/2014/chart" uri="{C3380CC4-5D6E-409C-BE32-E72D297353CC}">
              <c16:uniqueId val="{0000003E-3783-4D8A-894C-6411DADC2F73}"/>
            </c:ext>
          </c:extLst>
        </c:ser>
        <c:ser>
          <c:idx val="64"/>
          <c:order val="64"/>
          <c:tx>
            <c:strRef>
              <c:f>P!$BO$4:$BO$5</c:f>
              <c:strCache>
                <c:ptCount val="1"/>
                <c:pt idx="0">
                  <c:v>28-09-22</c:v>
                </c:pt>
              </c:strCache>
            </c:strRef>
          </c:tx>
          <c:spPr>
            <a:solidFill>
              <a:schemeClr val="accent5">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P!$B$6:$B$30</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P!$BO$6:$BO$30</c:f>
              <c:numCache>
                <c:formatCode>0.00</c:formatCode>
                <c:ptCount val="25"/>
                <c:pt idx="2">
                  <c:v>0.41666666666666669</c:v>
                </c:pt>
                <c:pt idx="5">
                  <c:v>1</c:v>
                </c:pt>
                <c:pt idx="6">
                  <c:v>0.33333333333333331</c:v>
                </c:pt>
                <c:pt idx="8">
                  <c:v>2.333333333333333</c:v>
                </c:pt>
                <c:pt idx="9">
                  <c:v>4</c:v>
                </c:pt>
                <c:pt idx="10">
                  <c:v>4</c:v>
                </c:pt>
                <c:pt idx="11">
                  <c:v>3.6666666666666665</c:v>
                </c:pt>
                <c:pt idx="12">
                  <c:v>0.5</c:v>
                </c:pt>
                <c:pt idx="14">
                  <c:v>0.75</c:v>
                </c:pt>
              </c:numCache>
            </c:numRef>
          </c:val>
          <c:extLst>
            <c:ext xmlns:c16="http://schemas.microsoft.com/office/drawing/2014/chart" uri="{C3380CC4-5D6E-409C-BE32-E72D297353CC}">
              <c16:uniqueId val="{0000003F-3783-4D8A-894C-6411DADC2F73}"/>
            </c:ext>
          </c:extLst>
        </c:ser>
        <c:ser>
          <c:idx val="65"/>
          <c:order val="65"/>
          <c:tx>
            <c:strRef>
              <c:f>P!$BP$4:$BP$5</c:f>
              <c:strCache>
                <c:ptCount val="1"/>
                <c:pt idx="0">
                  <c:v>28-10-22</c:v>
                </c:pt>
              </c:strCache>
            </c:strRef>
          </c:tx>
          <c:spPr>
            <a:solidFill>
              <a:schemeClr val="accent6">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P!$B$6:$B$30</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P!$BP$6:$BP$30</c:f>
              <c:numCache>
                <c:formatCode>0.00</c:formatCode>
                <c:ptCount val="25"/>
                <c:pt idx="0">
                  <c:v>1.75</c:v>
                </c:pt>
                <c:pt idx="2">
                  <c:v>0.66666666666666663</c:v>
                </c:pt>
                <c:pt idx="5">
                  <c:v>1</c:v>
                </c:pt>
                <c:pt idx="8">
                  <c:v>3.8333333333333335</c:v>
                </c:pt>
                <c:pt idx="9">
                  <c:v>3.3333333333333335</c:v>
                </c:pt>
                <c:pt idx="10">
                  <c:v>6.166666666666667</c:v>
                </c:pt>
                <c:pt idx="11">
                  <c:v>0.41666666666666669</c:v>
                </c:pt>
                <c:pt idx="12">
                  <c:v>0.5</c:v>
                </c:pt>
                <c:pt idx="13">
                  <c:v>0.41666666666666669</c:v>
                </c:pt>
                <c:pt idx="14">
                  <c:v>1</c:v>
                </c:pt>
              </c:numCache>
            </c:numRef>
          </c:val>
          <c:extLst>
            <c:ext xmlns:c16="http://schemas.microsoft.com/office/drawing/2014/chart" uri="{C3380CC4-5D6E-409C-BE32-E72D297353CC}">
              <c16:uniqueId val="{00000040-3783-4D8A-894C-6411DADC2F73}"/>
            </c:ext>
          </c:extLst>
        </c:ser>
        <c:ser>
          <c:idx val="66"/>
          <c:order val="66"/>
          <c:tx>
            <c:strRef>
              <c:f>P!$BQ$4:$BQ$5</c:f>
              <c:strCache>
                <c:ptCount val="1"/>
                <c:pt idx="0">
                  <c:v>29-09-22</c:v>
                </c:pt>
              </c:strCache>
            </c:strRef>
          </c:tx>
          <c:spPr>
            <a:solidFill>
              <a:schemeClr val="accent1">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P!$B$6:$B$30</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P!$BQ$6:$BQ$30</c:f>
              <c:numCache>
                <c:formatCode>0.00</c:formatCode>
                <c:ptCount val="25"/>
                <c:pt idx="2">
                  <c:v>0.41666666666666669</c:v>
                </c:pt>
                <c:pt idx="5">
                  <c:v>1</c:v>
                </c:pt>
                <c:pt idx="6">
                  <c:v>0.33333333333333331</c:v>
                </c:pt>
                <c:pt idx="8">
                  <c:v>2</c:v>
                </c:pt>
                <c:pt idx="9">
                  <c:v>4.75</c:v>
                </c:pt>
                <c:pt idx="10">
                  <c:v>5.2499999999999991</c:v>
                </c:pt>
                <c:pt idx="11">
                  <c:v>1.9166666666666665</c:v>
                </c:pt>
                <c:pt idx="12">
                  <c:v>0.5</c:v>
                </c:pt>
                <c:pt idx="13">
                  <c:v>0.58333333333333337</c:v>
                </c:pt>
              </c:numCache>
            </c:numRef>
          </c:val>
          <c:extLst>
            <c:ext xmlns:c16="http://schemas.microsoft.com/office/drawing/2014/chart" uri="{C3380CC4-5D6E-409C-BE32-E72D297353CC}">
              <c16:uniqueId val="{00000041-3783-4D8A-894C-6411DADC2F73}"/>
            </c:ext>
          </c:extLst>
        </c:ser>
        <c:ser>
          <c:idx val="67"/>
          <c:order val="67"/>
          <c:tx>
            <c:strRef>
              <c:f>P!$BR$4:$BR$5</c:f>
              <c:strCache>
                <c:ptCount val="1"/>
                <c:pt idx="0">
                  <c:v>29-10-22</c:v>
                </c:pt>
              </c:strCache>
            </c:strRef>
          </c:tx>
          <c:spPr>
            <a:solidFill>
              <a:schemeClr val="accent2">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P!$B$6:$B$30</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P!$BR$6:$BR$30</c:f>
              <c:numCache>
                <c:formatCode>0.00</c:formatCode>
                <c:ptCount val="25"/>
                <c:pt idx="0">
                  <c:v>1.3333333333333333</c:v>
                </c:pt>
                <c:pt idx="2">
                  <c:v>0.66666666666666663</c:v>
                </c:pt>
                <c:pt idx="5">
                  <c:v>1</c:v>
                </c:pt>
                <c:pt idx="8">
                  <c:v>4</c:v>
                </c:pt>
                <c:pt idx="9">
                  <c:v>3.3333333333333335</c:v>
                </c:pt>
                <c:pt idx="10">
                  <c:v>5.333333333333333</c:v>
                </c:pt>
                <c:pt idx="11">
                  <c:v>0.41666666666666669</c:v>
                </c:pt>
                <c:pt idx="12">
                  <c:v>0.5</c:v>
                </c:pt>
                <c:pt idx="13">
                  <c:v>0.41666666666666669</c:v>
                </c:pt>
                <c:pt idx="14">
                  <c:v>1</c:v>
                </c:pt>
              </c:numCache>
            </c:numRef>
          </c:val>
          <c:extLst>
            <c:ext xmlns:c16="http://schemas.microsoft.com/office/drawing/2014/chart" uri="{C3380CC4-5D6E-409C-BE32-E72D297353CC}">
              <c16:uniqueId val="{00000042-3783-4D8A-894C-6411DADC2F73}"/>
            </c:ext>
          </c:extLst>
        </c:ser>
        <c:ser>
          <c:idx val="68"/>
          <c:order val="68"/>
          <c:tx>
            <c:strRef>
              <c:f>P!$BS$4:$BS$5</c:f>
              <c:strCache>
                <c:ptCount val="1"/>
                <c:pt idx="0">
                  <c:v>30-09-22</c:v>
                </c:pt>
              </c:strCache>
            </c:strRef>
          </c:tx>
          <c:spPr>
            <a:solidFill>
              <a:schemeClr val="accent3">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P!$B$6:$B$30</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P!$BS$6:$BS$30</c:f>
              <c:numCache>
                <c:formatCode>0.00</c:formatCode>
                <c:ptCount val="25"/>
                <c:pt idx="2">
                  <c:v>0.41666666666666669</c:v>
                </c:pt>
                <c:pt idx="5">
                  <c:v>1</c:v>
                </c:pt>
                <c:pt idx="6">
                  <c:v>0.33333333333333331</c:v>
                </c:pt>
                <c:pt idx="8">
                  <c:v>2.25</c:v>
                </c:pt>
                <c:pt idx="9">
                  <c:v>4.666666666666667</c:v>
                </c:pt>
                <c:pt idx="10">
                  <c:v>6.4166666666666661</c:v>
                </c:pt>
                <c:pt idx="11">
                  <c:v>0.58333333333333337</c:v>
                </c:pt>
                <c:pt idx="12">
                  <c:v>0.5</c:v>
                </c:pt>
                <c:pt idx="13">
                  <c:v>0.75</c:v>
                </c:pt>
              </c:numCache>
            </c:numRef>
          </c:val>
          <c:extLst>
            <c:ext xmlns:c16="http://schemas.microsoft.com/office/drawing/2014/chart" uri="{C3380CC4-5D6E-409C-BE32-E72D297353CC}">
              <c16:uniqueId val="{00000043-3783-4D8A-894C-6411DADC2F73}"/>
            </c:ext>
          </c:extLst>
        </c:ser>
        <c:ser>
          <c:idx val="69"/>
          <c:order val="69"/>
          <c:tx>
            <c:strRef>
              <c:f>P!$BT$4:$BT$5</c:f>
              <c:strCache>
                <c:ptCount val="1"/>
                <c:pt idx="0">
                  <c:v>31-10-22</c:v>
                </c:pt>
              </c:strCache>
            </c:strRef>
          </c:tx>
          <c:spPr>
            <a:solidFill>
              <a:schemeClr val="accent4">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P!$B$6:$B$30</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P!$BT$6:$BT$30</c:f>
              <c:numCache>
                <c:formatCode>0.00</c:formatCode>
                <c:ptCount val="25"/>
                <c:pt idx="0">
                  <c:v>0.5</c:v>
                </c:pt>
                <c:pt idx="2">
                  <c:v>0.66666666666666663</c:v>
                </c:pt>
                <c:pt idx="5">
                  <c:v>1</c:v>
                </c:pt>
                <c:pt idx="8">
                  <c:v>1.8333333333333333</c:v>
                </c:pt>
                <c:pt idx="9">
                  <c:v>3.833333333333333</c:v>
                </c:pt>
                <c:pt idx="10">
                  <c:v>7.1666666666666661</c:v>
                </c:pt>
                <c:pt idx="12">
                  <c:v>0.33333333333333331</c:v>
                </c:pt>
                <c:pt idx="13">
                  <c:v>0.41666666666666669</c:v>
                </c:pt>
                <c:pt idx="18">
                  <c:v>0.33333333333333331</c:v>
                </c:pt>
                <c:pt idx="19">
                  <c:v>0.33333333333333331</c:v>
                </c:pt>
                <c:pt idx="24">
                  <c:v>0.33333333333333331</c:v>
                </c:pt>
              </c:numCache>
            </c:numRef>
          </c:val>
          <c:extLst>
            <c:ext xmlns:c16="http://schemas.microsoft.com/office/drawing/2014/chart" uri="{C3380CC4-5D6E-409C-BE32-E72D297353CC}">
              <c16:uniqueId val="{00000044-3783-4D8A-894C-6411DADC2F73}"/>
            </c:ext>
          </c:extLst>
        </c:ser>
        <c:dLbls>
          <c:dLblPos val="outEnd"/>
          <c:showLegendKey val="0"/>
          <c:showVal val="1"/>
          <c:showCatName val="0"/>
          <c:showSerName val="0"/>
          <c:showPercent val="0"/>
          <c:showBubbleSize val="0"/>
        </c:dLbls>
        <c:gapWidth val="219"/>
        <c:overlap val="-27"/>
        <c:axId val="1690426368"/>
        <c:axId val="1690426784"/>
      </c:barChart>
      <c:catAx>
        <c:axId val="1690426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ln>
                  <a:noFill/>
                </a:ln>
                <a:solidFill>
                  <a:schemeClr val="tx1"/>
                </a:solidFill>
                <a:latin typeface="+mn-lt"/>
                <a:ea typeface="+mn-ea"/>
                <a:cs typeface="+mn-cs"/>
              </a:defRPr>
            </a:pPr>
            <a:endParaRPr lang="en-US"/>
          </a:p>
        </c:txPr>
        <c:crossAx val="1690426784"/>
        <c:crosses val="autoZero"/>
        <c:auto val="1"/>
        <c:lblAlgn val="ctr"/>
        <c:lblOffset val="100"/>
        <c:noMultiLvlLbl val="0"/>
      </c:catAx>
      <c:valAx>
        <c:axId val="16904267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ln>
                  <a:noFill/>
                </a:ln>
                <a:solidFill>
                  <a:schemeClr val="tx1"/>
                </a:solidFill>
                <a:latin typeface="+mn-lt"/>
                <a:ea typeface="+mn-ea"/>
                <a:cs typeface="+mn-cs"/>
              </a:defRPr>
            </a:pPr>
            <a:endParaRPr lang="en-US"/>
          </a:p>
        </c:txPr>
        <c:crossAx val="16904263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n>
            <a:noFill/>
          </a:ln>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[Daily Utilization Report.xlsm]P!PivotTable5</c:name>
    <c:fmtId val="34"/>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b="1">
                <a:solidFill>
                  <a:schemeClr val="tx1"/>
                </a:solidFill>
              </a:rPr>
              <a:t>Task-Distribution</a:t>
            </a:r>
            <a:r>
              <a:rPr lang="en-US" b="1" baseline="0">
                <a:solidFill>
                  <a:schemeClr val="tx1"/>
                </a:solidFill>
              </a:rPr>
              <a:t> </a:t>
            </a:r>
            <a:r>
              <a:rPr lang="en-US" b="1">
                <a:solidFill>
                  <a:schemeClr val="tx1"/>
                </a:solidFill>
              </a:rPr>
              <a:t>Hours</a:t>
            </a:r>
            <a:endParaRPr lang="en-US" b="1" baseline="0">
              <a:solidFill>
                <a:schemeClr val="tx1"/>
              </a:solidFill>
            </a:endParaRPr>
          </a:p>
        </c:rich>
      </c:tx>
      <c:overlay val="0"/>
      <c:spPr>
        <a:solidFill>
          <a:schemeClr val="accent6">
            <a:lumMod val="40000"/>
            <a:lumOff val="60000"/>
          </a:schemeClr>
        </a:solid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gradFill>
                <a:gsLst>
                  <a:gs pos="0">
                    <a:schemeClr val="accent1">
                      <a:lumMod val="5000"/>
                      <a:lumOff val="95000"/>
                    </a:schemeClr>
                  </a:gs>
                  <a:gs pos="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pivotFmt>
    </c:pivotFmts>
    <c:plotArea>
      <c:layout/>
      <c:barChart>
        <c:barDir val="col"/>
        <c:grouping val="clustered"/>
        <c:varyColors val="0"/>
        <c:ser>
          <c:idx val="0"/>
          <c:order val="0"/>
          <c:tx>
            <c:strRef>
              <c:f>P!$S$104</c:f>
              <c:strCache>
                <c:ptCount val="1"/>
                <c:pt idx="0">
                  <c:v>Total</c:v>
                </c:pt>
              </c:strCache>
            </c:strRef>
          </c:tx>
          <c:spPr>
            <a:solidFill>
              <a:schemeClr val="accent1"/>
            </a:solidFill>
            <a:ln>
              <a:noFill/>
            </a:ln>
            <a:effectLst/>
          </c:spPr>
          <c:invertIfNegative val="0"/>
          <c:dLbls>
            <c:spPr>
              <a:noFill/>
              <a:ln>
                <a:gradFill>
                  <a:gsLst>
                    <a:gs pos="0">
                      <a:schemeClr val="accent1">
                        <a:lumMod val="5000"/>
                        <a:lumOff val="95000"/>
                      </a:schemeClr>
                    </a:gs>
                    <a:gs pos="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P!$R$105:$R$129</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P!$S$105:$S$129</c:f>
              <c:numCache>
                <c:formatCode>0.00</c:formatCode>
                <c:ptCount val="25"/>
                <c:pt idx="0">
                  <c:v>29.499999999999996</c:v>
                </c:pt>
                <c:pt idx="1">
                  <c:v>14.933333333333332</c:v>
                </c:pt>
                <c:pt idx="2">
                  <c:v>43.083333333333364</c:v>
                </c:pt>
                <c:pt idx="3">
                  <c:v>13.916666666666666</c:v>
                </c:pt>
                <c:pt idx="4">
                  <c:v>16.916666666666671</c:v>
                </c:pt>
                <c:pt idx="5">
                  <c:v>61.916666666666664</c:v>
                </c:pt>
                <c:pt idx="6">
                  <c:v>5.9999999999999982</c:v>
                </c:pt>
                <c:pt idx="7">
                  <c:v>0.5</c:v>
                </c:pt>
                <c:pt idx="8">
                  <c:v>164.91666666666657</c:v>
                </c:pt>
                <c:pt idx="9">
                  <c:v>257.00000000000006</c:v>
                </c:pt>
                <c:pt idx="10">
                  <c:v>362.3333333333332</c:v>
                </c:pt>
                <c:pt idx="11">
                  <c:v>67.000000000000014</c:v>
                </c:pt>
                <c:pt idx="12">
                  <c:v>32.75</c:v>
                </c:pt>
                <c:pt idx="13">
                  <c:v>24.416666666666671</c:v>
                </c:pt>
                <c:pt idx="14">
                  <c:v>12.916666666666668</c:v>
                </c:pt>
                <c:pt idx="15">
                  <c:v>17.583333333333332</c:v>
                </c:pt>
                <c:pt idx="16">
                  <c:v>0.83333333333333337</c:v>
                </c:pt>
                <c:pt idx="17">
                  <c:v>7.416666666666667</c:v>
                </c:pt>
                <c:pt idx="18">
                  <c:v>1.4166666666666665</c:v>
                </c:pt>
                <c:pt idx="19">
                  <c:v>1.3333333333333333</c:v>
                </c:pt>
                <c:pt idx="20">
                  <c:v>2.5</c:v>
                </c:pt>
                <c:pt idx="21">
                  <c:v>0.5</c:v>
                </c:pt>
                <c:pt idx="22">
                  <c:v>1.3333333333333333</c:v>
                </c:pt>
                <c:pt idx="23">
                  <c:v>1.3333333333333333</c:v>
                </c:pt>
                <c:pt idx="24">
                  <c:v>0.33333333333333331</c:v>
                </c:pt>
              </c:numCache>
            </c:numRef>
          </c:val>
          <c:extLst>
            <c:ext xmlns:c16="http://schemas.microsoft.com/office/drawing/2014/chart" uri="{C3380CC4-5D6E-409C-BE32-E72D297353CC}">
              <c16:uniqueId val="{00000002-7F56-4E6C-8537-96E71D52357E}"/>
            </c:ext>
          </c:extLst>
        </c:ser>
        <c:dLbls>
          <c:showLegendKey val="0"/>
          <c:showVal val="0"/>
          <c:showCatName val="0"/>
          <c:showSerName val="0"/>
          <c:showPercent val="0"/>
          <c:showBubbleSize val="0"/>
        </c:dLbls>
        <c:gapWidth val="219"/>
        <c:overlap val="-27"/>
        <c:axId val="1706912128"/>
        <c:axId val="1706910464"/>
      </c:barChart>
      <c:catAx>
        <c:axId val="1706912128"/>
        <c:scaling>
          <c:orientation val="minMax"/>
        </c:scaling>
        <c:delete val="0"/>
        <c:axPos val="b"/>
        <c:title>
          <c:tx>
            <c:rich>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sz="1200" b="1" i="0" u="none" strike="noStrike" baseline="0">
                  <a:effectLst/>
                </a:endParaRPr>
              </a:p>
              <a:p>
                <a:pPr>
                  <a:defRPr sz="1200" b="1" i="0" u="none" strike="noStrike" kern="1200" baseline="0">
                    <a:solidFill>
                      <a:schemeClr val="tx1">
                        <a:lumMod val="65000"/>
                        <a:lumOff val="35000"/>
                      </a:schemeClr>
                    </a:solidFill>
                    <a:latin typeface="+mn-lt"/>
                    <a:ea typeface="+mn-ea"/>
                    <a:cs typeface="+mn-cs"/>
                  </a:defRPr>
                </a:pPr>
                <a:endParaRPr lang="en-US" sz="1200" b="1"/>
              </a:p>
            </c:rich>
          </c:tx>
          <c:overlay val="0"/>
          <c:spPr>
            <a:noFill/>
            <a:ln>
              <a:noFill/>
            </a:ln>
            <a:effectLst/>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1706910464"/>
        <c:crosses val="autoZero"/>
        <c:auto val="1"/>
        <c:lblAlgn val="ctr"/>
        <c:lblOffset val="100"/>
        <c:noMultiLvlLbl val="0"/>
      </c:catAx>
      <c:valAx>
        <c:axId val="17069104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Hours</a:t>
                </a:r>
              </a:p>
            </c:rich>
          </c:tx>
          <c:overlay val="0"/>
          <c:spPr>
            <a:noFill/>
            <a:ln>
              <a:noFill/>
            </a:ln>
            <a:effectLst/>
          </c:sp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6912128"/>
        <c:crosses val="autoZero"/>
        <c:crossBetween val="between"/>
      </c:valAx>
    </c:plotArea>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[Daily Utilization Report.xlsm]P!PivotTable27</c:name>
    <c:fmtId val="26"/>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b="1">
                <a:solidFill>
                  <a:schemeClr val="tx1"/>
                </a:solidFill>
              </a:rPr>
              <a:t>Reported</a:t>
            </a:r>
            <a:r>
              <a:rPr lang="en-US" b="1" baseline="0">
                <a:solidFill>
                  <a:schemeClr val="tx1"/>
                </a:solidFill>
              </a:rPr>
              <a:t> Hours</a:t>
            </a:r>
          </a:p>
        </c:rich>
      </c:tx>
      <c:overlay val="0"/>
      <c:spPr>
        <a:solidFill>
          <a:schemeClr val="accent6">
            <a:lumMod val="40000"/>
            <a:lumOff val="60000"/>
          </a:schemeClr>
        </a:solid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solidFill>
              <a:sysClr val="window" lastClr="FFFFFF"/>
            </a:solidFill>
            <a:ln>
              <a:solidFill>
                <a:sysClr val="windowText" lastClr="000000">
                  <a:lumMod val="25000"/>
                  <a:lumOff val="75000"/>
                </a:sysClr>
              </a:solid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3"/>
      </c:pivotFmt>
      <c:pivotFmt>
        <c:idx val="4"/>
      </c:pivotFmt>
    </c:pivotFmts>
    <c:plotArea>
      <c:layout/>
      <c:barChart>
        <c:barDir val="col"/>
        <c:grouping val="clustered"/>
        <c:varyColors val="0"/>
        <c:ser>
          <c:idx val="0"/>
          <c:order val="0"/>
          <c:tx>
            <c:strRef>
              <c:f>P!$AH$121</c:f>
              <c:strCache>
                <c:ptCount val="1"/>
                <c:pt idx="0">
                  <c:v>Total</c:v>
                </c:pt>
              </c:strCache>
            </c:strRef>
          </c:tx>
          <c:spPr>
            <a:solidFill>
              <a:schemeClr val="accent1"/>
            </a:solidFill>
            <a:ln>
              <a:noFill/>
            </a:ln>
            <a:effectLst/>
          </c:spPr>
          <c:invertIfNegative val="0"/>
          <c:dLbls>
            <c:spPr>
              <a:solidFill>
                <a:sysClr val="window" lastClr="FFFFFF"/>
              </a:solidFill>
              <a:ln>
                <a:solidFill>
                  <a:sysClr val="windowText" lastClr="000000">
                    <a:lumMod val="25000"/>
                    <a:lumOff val="75000"/>
                  </a:sysClr>
                </a:solid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P!$AG$122:$AG$123</c:f>
              <c:strCache>
                <c:ptCount val="2"/>
                <c:pt idx="0">
                  <c:v>David</c:v>
                </c:pt>
                <c:pt idx="1">
                  <c:v>Jennifer</c:v>
                </c:pt>
              </c:strCache>
            </c:strRef>
          </c:cat>
          <c:val>
            <c:numRef>
              <c:f>P!$AH$122:$AH$123</c:f>
              <c:numCache>
                <c:formatCode>0.00</c:formatCode>
                <c:ptCount val="2"/>
                <c:pt idx="0">
                  <c:v>560.88333333333321</c:v>
                </c:pt>
                <c:pt idx="1">
                  <c:v>581.79999999999905</c:v>
                </c:pt>
              </c:numCache>
            </c:numRef>
          </c:val>
          <c:extLst>
            <c:ext xmlns:c16="http://schemas.microsoft.com/office/drawing/2014/chart" uri="{C3380CC4-5D6E-409C-BE32-E72D297353CC}">
              <c16:uniqueId val="{00000002-DD4A-473B-BCD8-7FC14CA57631}"/>
            </c:ext>
          </c:extLst>
        </c:ser>
        <c:dLbls>
          <c:showLegendKey val="0"/>
          <c:showVal val="0"/>
          <c:showCatName val="0"/>
          <c:showSerName val="0"/>
          <c:showPercent val="0"/>
          <c:showBubbleSize val="0"/>
        </c:dLbls>
        <c:gapWidth val="219"/>
        <c:overlap val="-27"/>
        <c:axId val="1706912128"/>
        <c:axId val="1706910464"/>
      </c:barChart>
      <c:catAx>
        <c:axId val="170691212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1" i="0" u="none" strike="noStrike" baseline="0">
                    <a:effectLst/>
                  </a:rPr>
                  <a:t>Resources</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706910464"/>
        <c:crosses val="autoZero"/>
        <c:auto val="1"/>
        <c:lblAlgn val="ctr"/>
        <c:lblOffset val="100"/>
        <c:noMultiLvlLbl val="0"/>
      </c:catAx>
      <c:valAx>
        <c:axId val="1706910464"/>
        <c:scaling>
          <c:orientation val="minMax"/>
        </c:scaling>
        <c:delete val="0"/>
        <c:axPos val="l"/>
        <c:majorGridlines>
          <c:spPr>
            <a:ln w="9525" cap="flat" cmpd="sng" algn="ct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1" i="0" u="none" strike="noStrike" baseline="0">
                    <a:effectLst/>
                  </a:rPr>
                  <a:t>Hours</a:t>
                </a:r>
                <a:endParaRPr lang="en-US"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6912128"/>
        <c:crosses val="autoZero"/>
        <c:crossBetween val="between"/>
      </c:valAx>
      <c:spPr>
        <a:solidFill>
          <a:schemeClr val="bg1"/>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[Daily Utilization Report.xlsm]P!PivotTable24</c:name>
    <c:fmtId val="2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5"/>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6"/>
        <c:spPr>
          <a:solidFill>
            <a:schemeClr val="accent4">
              <a:lumMod val="60000"/>
            </a:schemeClr>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34"/>
        <c:spPr>
          <a:solidFill>
            <a:schemeClr val="accent1"/>
          </a:solidFill>
          <a:ln w="19050">
            <a:solidFill>
              <a:schemeClr val="lt1"/>
            </a:solidFill>
          </a:ln>
          <a:effectLst/>
        </c:spPr>
      </c:pivotFmt>
      <c:pivotFmt>
        <c:idx val="35"/>
        <c:spPr>
          <a:solidFill>
            <a:schemeClr val="accent1"/>
          </a:solidFill>
          <a:ln w="19050">
            <a:solidFill>
              <a:schemeClr val="lt1"/>
            </a:solidFill>
          </a:ln>
          <a:effectLst/>
        </c:spPr>
      </c:pivotFmt>
      <c:pivotFmt>
        <c:idx val="36"/>
        <c:spPr>
          <a:solidFill>
            <a:schemeClr val="accent1"/>
          </a:solidFill>
          <a:ln w="19050">
            <a:solidFill>
              <a:schemeClr val="lt1"/>
            </a:solidFill>
          </a:ln>
          <a:effectLst/>
        </c:spPr>
      </c:pivotFmt>
      <c:pivotFmt>
        <c:idx val="37"/>
        <c:spPr>
          <a:solidFill>
            <a:schemeClr val="accent1"/>
          </a:solidFill>
          <a:ln w="19050">
            <a:solidFill>
              <a:schemeClr val="lt1"/>
            </a:solidFill>
          </a:ln>
          <a:effectLst/>
        </c:spPr>
      </c:pivotFmt>
      <c:pivotFmt>
        <c:idx val="38"/>
        <c:spPr>
          <a:solidFill>
            <a:schemeClr val="accent1"/>
          </a:solidFill>
          <a:ln w="19050">
            <a:solidFill>
              <a:schemeClr val="lt1"/>
            </a:solidFill>
          </a:ln>
          <a:effectLst/>
        </c:spPr>
      </c:pivotFmt>
      <c:pivotFmt>
        <c:idx val="39"/>
        <c:spPr>
          <a:solidFill>
            <a:schemeClr val="accent1"/>
          </a:solidFill>
          <a:ln w="19050">
            <a:solidFill>
              <a:schemeClr val="lt1"/>
            </a:solidFill>
          </a:ln>
          <a:effectLst/>
        </c:spPr>
      </c:pivotFmt>
      <c:pivotFmt>
        <c:idx val="40"/>
        <c:spPr>
          <a:solidFill>
            <a:schemeClr val="accent1"/>
          </a:solidFill>
          <a:ln w="19050">
            <a:solidFill>
              <a:schemeClr val="lt1"/>
            </a:solidFill>
          </a:ln>
          <a:effectLst/>
        </c:spPr>
      </c:pivotFmt>
      <c:pivotFmt>
        <c:idx val="41"/>
        <c:spPr>
          <a:solidFill>
            <a:schemeClr val="accent1"/>
          </a:solidFill>
          <a:ln w="19050">
            <a:solidFill>
              <a:schemeClr val="lt1"/>
            </a:solidFill>
          </a:ln>
          <a:effectLst/>
        </c:spPr>
      </c:pivotFmt>
      <c:pivotFmt>
        <c:idx val="42"/>
        <c:spPr>
          <a:solidFill>
            <a:schemeClr val="accent1"/>
          </a:solidFill>
          <a:ln w="19050">
            <a:solidFill>
              <a:schemeClr val="lt1"/>
            </a:solidFill>
          </a:ln>
          <a:effectLst/>
        </c:spPr>
      </c:pivotFmt>
      <c:pivotFmt>
        <c:idx val="43"/>
        <c:spPr>
          <a:solidFill>
            <a:schemeClr val="accent1"/>
          </a:solidFill>
          <a:ln w="19050">
            <a:solidFill>
              <a:schemeClr val="lt1"/>
            </a:solidFill>
          </a:ln>
          <a:effectLst/>
        </c:spPr>
      </c:pivotFmt>
      <c:pivotFmt>
        <c:idx val="44"/>
        <c:spPr>
          <a:solidFill>
            <a:schemeClr val="accent1"/>
          </a:solidFill>
          <a:ln w="19050">
            <a:solidFill>
              <a:schemeClr val="lt1"/>
            </a:solidFill>
          </a:ln>
          <a:effectLst/>
        </c:spPr>
      </c:pivotFmt>
      <c:pivotFmt>
        <c:idx val="45"/>
        <c:spPr>
          <a:solidFill>
            <a:schemeClr val="accent1"/>
          </a:solidFill>
          <a:ln w="19050">
            <a:solidFill>
              <a:schemeClr val="lt1"/>
            </a:solidFill>
          </a:ln>
          <a:effectLst/>
        </c:spPr>
      </c:pivotFmt>
      <c:pivotFmt>
        <c:idx val="4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47"/>
        <c:spPr>
          <a:solidFill>
            <a:schemeClr val="accent1"/>
          </a:solidFill>
          <a:ln w="19050">
            <a:solidFill>
              <a:schemeClr val="lt1"/>
            </a:solidFill>
          </a:ln>
          <a:effectLst/>
        </c:spPr>
      </c:pivotFmt>
      <c:pivotFmt>
        <c:idx val="48"/>
        <c:spPr>
          <a:solidFill>
            <a:schemeClr val="accent1"/>
          </a:solidFill>
          <a:ln w="19050">
            <a:solidFill>
              <a:schemeClr val="lt1"/>
            </a:solidFill>
          </a:ln>
          <a:effectLst/>
        </c:spPr>
      </c:pivotFmt>
      <c:pivotFmt>
        <c:idx val="49"/>
        <c:spPr>
          <a:solidFill>
            <a:schemeClr val="accent1"/>
          </a:solidFill>
          <a:ln w="19050">
            <a:solidFill>
              <a:schemeClr val="lt1"/>
            </a:solidFill>
          </a:ln>
          <a:effectLst/>
        </c:spPr>
      </c:pivotFmt>
      <c:pivotFmt>
        <c:idx val="50"/>
        <c:spPr>
          <a:solidFill>
            <a:schemeClr val="accent1"/>
          </a:solidFill>
          <a:ln w="19050">
            <a:solidFill>
              <a:schemeClr val="lt1"/>
            </a:solidFill>
          </a:ln>
          <a:effectLst/>
        </c:spPr>
      </c:pivotFmt>
      <c:pivotFmt>
        <c:idx val="51"/>
        <c:spPr>
          <a:solidFill>
            <a:schemeClr val="accent1"/>
          </a:solidFill>
          <a:ln w="19050">
            <a:solidFill>
              <a:schemeClr val="lt1"/>
            </a:solidFill>
          </a:ln>
          <a:effectLst/>
        </c:spPr>
      </c:pivotFmt>
      <c:pivotFmt>
        <c:idx val="52"/>
        <c:spPr>
          <a:solidFill>
            <a:schemeClr val="accent1"/>
          </a:solidFill>
          <a:ln w="19050">
            <a:solidFill>
              <a:schemeClr val="lt1"/>
            </a:solidFill>
          </a:ln>
          <a:effectLst/>
        </c:spPr>
      </c:pivotFmt>
      <c:pivotFmt>
        <c:idx val="53"/>
        <c:spPr>
          <a:solidFill>
            <a:schemeClr val="accent1"/>
          </a:solidFill>
          <a:ln w="19050">
            <a:solidFill>
              <a:schemeClr val="lt1"/>
            </a:solidFill>
          </a:ln>
          <a:effectLst/>
        </c:spPr>
      </c:pivotFmt>
      <c:pivotFmt>
        <c:idx val="54"/>
        <c:spPr>
          <a:solidFill>
            <a:schemeClr val="accent1"/>
          </a:solidFill>
          <a:ln w="19050">
            <a:solidFill>
              <a:schemeClr val="lt1"/>
            </a:solidFill>
          </a:ln>
          <a:effectLst/>
        </c:spPr>
      </c:pivotFmt>
      <c:pivotFmt>
        <c:idx val="55"/>
        <c:spPr>
          <a:solidFill>
            <a:schemeClr val="accent1"/>
          </a:solidFill>
          <a:ln w="19050">
            <a:solidFill>
              <a:schemeClr val="lt1"/>
            </a:solidFill>
          </a:ln>
          <a:effectLst/>
        </c:spPr>
      </c:pivotFmt>
      <c:pivotFmt>
        <c:idx val="56"/>
        <c:spPr>
          <a:solidFill>
            <a:schemeClr val="accent1"/>
          </a:solidFill>
          <a:ln w="19050">
            <a:solidFill>
              <a:schemeClr val="lt1"/>
            </a:solidFill>
          </a:ln>
          <a:effectLst/>
        </c:spPr>
      </c:pivotFmt>
      <c:pivotFmt>
        <c:idx val="57"/>
        <c:spPr>
          <a:solidFill>
            <a:schemeClr val="accent1"/>
          </a:solidFill>
          <a:ln w="19050">
            <a:solidFill>
              <a:schemeClr val="lt1"/>
            </a:solidFill>
          </a:ln>
          <a:effectLst/>
        </c:spPr>
      </c:pivotFmt>
      <c:pivotFmt>
        <c:idx val="58"/>
        <c:spPr>
          <a:solidFill>
            <a:schemeClr val="accent1"/>
          </a:solidFill>
          <a:ln w="19050">
            <a:solidFill>
              <a:schemeClr val="lt1"/>
            </a:solidFill>
          </a:ln>
          <a:effectLst/>
        </c:spPr>
      </c:pivotFmt>
      <c:pivotFmt>
        <c:idx val="5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60"/>
        <c:spPr>
          <a:solidFill>
            <a:schemeClr val="accent1"/>
          </a:solidFill>
          <a:ln w="19050">
            <a:solidFill>
              <a:schemeClr val="lt1"/>
            </a:solidFill>
          </a:ln>
          <a:effectLst/>
        </c:spPr>
      </c:pivotFmt>
      <c:pivotFmt>
        <c:idx val="61"/>
        <c:spPr>
          <a:solidFill>
            <a:schemeClr val="accent1"/>
          </a:solidFill>
          <a:ln w="19050">
            <a:solidFill>
              <a:schemeClr val="lt1"/>
            </a:solidFill>
          </a:ln>
          <a:effectLst/>
        </c:spPr>
      </c:pivotFmt>
      <c:pivotFmt>
        <c:idx val="62"/>
        <c:spPr>
          <a:solidFill>
            <a:schemeClr val="accent1"/>
          </a:solidFill>
          <a:ln w="19050">
            <a:solidFill>
              <a:schemeClr val="lt1"/>
            </a:solidFill>
          </a:ln>
          <a:effectLst/>
        </c:spPr>
      </c:pivotFmt>
      <c:pivotFmt>
        <c:idx val="63"/>
        <c:spPr>
          <a:solidFill>
            <a:schemeClr val="accent1"/>
          </a:solidFill>
          <a:ln w="19050">
            <a:solidFill>
              <a:schemeClr val="lt1"/>
            </a:solidFill>
          </a:ln>
          <a:effectLst/>
        </c:spPr>
      </c:pivotFmt>
      <c:pivotFmt>
        <c:idx val="64"/>
        <c:spPr>
          <a:solidFill>
            <a:schemeClr val="accent1"/>
          </a:solidFill>
          <a:ln w="19050">
            <a:solidFill>
              <a:schemeClr val="lt1"/>
            </a:solidFill>
          </a:ln>
          <a:effectLst/>
        </c:spPr>
      </c:pivotFmt>
      <c:pivotFmt>
        <c:idx val="65"/>
        <c:spPr>
          <a:solidFill>
            <a:schemeClr val="accent1"/>
          </a:solidFill>
          <a:ln w="19050">
            <a:solidFill>
              <a:schemeClr val="lt1"/>
            </a:solidFill>
          </a:ln>
          <a:effectLst/>
        </c:spPr>
      </c:pivotFmt>
      <c:pivotFmt>
        <c:idx val="66"/>
        <c:spPr>
          <a:solidFill>
            <a:schemeClr val="accent1"/>
          </a:solidFill>
          <a:ln w="19050">
            <a:solidFill>
              <a:schemeClr val="lt1"/>
            </a:solidFill>
          </a:ln>
          <a:effectLst/>
        </c:spPr>
      </c:pivotFmt>
      <c:pivotFmt>
        <c:idx val="67"/>
        <c:spPr>
          <a:solidFill>
            <a:schemeClr val="accent1"/>
          </a:solidFill>
          <a:ln w="19050">
            <a:solidFill>
              <a:schemeClr val="lt1"/>
            </a:solidFill>
          </a:ln>
          <a:effectLst/>
        </c:spPr>
      </c:pivotFmt>
      <c:pivotFmt>
        <c:idx val="68"/>
        <c:spPr>
          <a:solidFill>
            <a:schemeClr val="accent1"/>
          </a:solidFill>
          <a:ln w="19050">
            <a:solidFill>
              <a:schemeClr val="lt1"/>
            </a:solidFill>
          </a:ln>
          <a:effectLst/>
        </c:spPr>
      </c:pivotFmt>
      <c:pivotFmt>
        <c:idx val="69"/>
        <c:spPr>
          <a:solidFill>
            <a:schemeClr val="accent1"/>
          </a:solidFill>
          <a:ln w="19050">
            <a:solidFill>
              <a:schemeClr val="lt1"/>
            </a:solidFill>
          </a:ln>
          <a:effectLst/>
        </c:spPr>
      </c:pivotFmt>
      <c:pivotFmt>
        <c:idx val="70"/>
        <c:spPr>
          <a:solidFill>
            <a:schemeClr val="accent1"/>
          </a:solidFill>
          <a:ln w="19050">
            <a:solidFill>
              <a:schemeClr val="lt1"/>
            </a:solidFill>
          </a:ln>
          <a:effectLst/>
        </c:spPr>
      </c:pivotFmt>
      <c:pivotFmt>
        <c:idx val="71"/>
        <c:spPr>
          <a:solidFill>
            <a:schemeClr val="accent1"/>
          </a:solidFill>
          <a:ln w="19050">
            <a:solidFill>
              <a:schemeClr val="lt1"/>
            </a:solidFill>
          </a:ln>
          <a:effectLst/>
        </c:spPr>
      </c:pivotFmt>
      <c:pivotFmt>
        <c:idx val="72"/>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3"/>
        <c:spPr>
          <a:solidFill>
            <a:schemeClr val="accent1"/>
          </a:solidFill>
          <a:ln w="19050">
            <a:solidFill>
              <a:schemeClr val="lt1"/>
            </a:solidFill>
          </a:ln>
          <a:effectLst/>
        </c:spPr>
      </c:pivotFmt>
      <c:pivotFmt>
        <c:idx val="74"/>
        <c:spPr>
          <a:solidFill>
            <a:schemeClr val="accent1"/>
          </a:solidFill>
          <a:ln w="19050">
            <a:solidFill>
              <a:schemeClr val="lt1"/>
            </a:solidFill>
          </a:ln>
          <a:effectLst/>
        </c:spPr>
      </c:pivotFmt>
      <c:pivotFmt>
        <c:idx val="75"/>
        <c:spPr>
          <a:solidFill>
            <a:schemeClr val="accent1"/>
          </a:solidFill>
          <a:ln w="19050">
            <a:solidFill>
              <a:schemeClr val="lt1"/>
            </a:solidFill>
          </a:ln>
          <a:effectLst/>
        </c:spPr>
      </c:pivotFmt>
      <c:pivotFmt>
        <c:idx val="76"/>
        <c:spPr>
          <a:solidFill>
            <a:schemeClr val="accent1"/>
          </a:solidFill>
          <a:ln w="19050">
            <a:solidFill>
              <a:schemeClr val="lt1"/>
            </a:solidFill>
          </a:ln>
          <a:effectLst/>
        </c:spPr>
      </c:pivotFmt>
      <c:pivotFmt>
        <c:idx val="77"/>
        <c:spPr>
          <a:solidFill>
            <a:schemeClr val="accent1"/>
          </a:solidFill>
          <a:ln w="19050">
            <a:solidFill>
              <a:schemeClr val="lt1"/>
            </a:solidFill>
          </a:ln>
          <a:effectLst/>
        </c:spPr>
      </c:pivotFmt>
      <c:pivotFmt>
        <c:idx val="78"/>
        <c:spPr>
          <a:solidFill>
            <a:schemeClr val="accent1"/>
          </a:solidFill>
          <a:ln w="19050">
            <a:solidFill>
              <a:schemeClr val="lt1"/>
            </a:solidFill>
          </a:ln>
          <a:effectLst/>
        </c:spPr>
      </c:pivotFmt>
      <c:pivotFmt>
        <c:idx val="79"/>
        <c:spPr>
          <a:solidFill>
            <a:schemeClr val="accent1"/>
          </a:solidFill>
          <a:ln w="19050">
            <a:solidFill>
              <a:schemeClr val="lt1"/>
            </a:solidFill>
          </a:ln>
          <a:effectLst/>
        </c:spPr>
      </c:pivotFmt>
      <c:pivotFmt>
        <c:idx val="80"/>
        <c:spPr>
          <a:solidFill>
            <a:schemeClr val="accent1"/>
          </a:solidFill>
          <a:ln w="19050">
            <a:solidFill>
              <a:schemeClr val="lt1"/>
            </a:solidFill>
          </a:ln>
          <a:effectLst/>
        </c:spPr>
      </c:pivotFmt>
      <c:pivotFmt>
        <c:idx val="81"/>
        <c:spPr>
          <a:solidFill>
            <a:schemeClr val="accent1"/>
          </a:solidFill>
          <a:ln w="19050">
            <a:solidFill>
              <a:schemeClr val="lt1"/>
            </a:solidFill>
          </a:ln>
          <a:effectLst/>
        </c:spPr>
      </c:pivotFmt>
      <c:pivotFmt>
        <c:idx val="82"/>
        <c:spPr>
          <a:solidFill>
            <a:schemeClr val="accent1"/>
          </a:solidFill>
          <a:ln w="19050">
            <a:solidFill>
              <a:schemeClr val="lt1"/>
            </a:solidFill>
          </a:ln>
          <a:effectLst/>
        </c:spPr>
      </c:pivotFmt>
      <c:pivotFmt>
        <c:idx val="83"/>
        <c:spPr>
          <a:solidFill>
            <a:schemeClr val="accent1"/>
          </a:solidFill>
          <a:ln w="19050">
            <a:solidFill>
              <a:schemeClr val="lt1"/>
            </a:solidFill>
          </a:ln>
          <a:effectLst/>
        </c:spPr>
      </c:pivotFmt>
      <c:pivotFmt>
        <c:idx val="84"/>
        <c:spPr>
          <a:solidFill>
            <a:schemeClr val="accent1"/>
          </a:solidFill>
          <a:ln w="19050">
            <a:solidFill>
              <a:schemeClr val="lt1"/>
            </a:solidFill>
          </a:ln>
          <a:effectLst/>
        </c:spPr>
      </c:pivotFmt>
      <c:pivotFmt>
        <c:idx val="8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86"/>
        <c:spPr>
          <a:solidFill>
            <a:schemeClr val="accent1"/>
          </a:solidFill>
          <a:ln w="19050">
            <a:solidFill>
              <a:schemeClr val="lt1"/>
            </a:solidFill>
          </a:ln>
          <a:effectLst/>
        </c:spPr>
      </c:pivotFmt>
      <c:pivotFmt>
        <c:idx val="87"/>
        <c:spPr>
          <a:solidFill>
            <a:schemeClr val="accent1"/>
          </a:solidFill>
          <a:ln w="19050">
            <a:solidFill>
              <a:schemeClr val="lt1"/>
            </a:solidFill>
          </a:ln>
          <a:effectLst/>
        </c:spPr>
      </c:pivotFmt>
      <c:pivotFmt>
        <c:idx val="88"/>
        <c:spPr>
          <a:solidFill>
            <a:schemeClr val="accent1"/>
          </a:solidFill>
          <a:ln w="19050">
            <a:solidFill>
              <a:schemeClr val="lt1"/>
            </a:solidFill>
          </a:ln>
          <a:effectLst/>
        </c:spPr>
      </c:pivotFmt>
      <c:pivotFmt>
        <c:idx val="89"/>
        <c:spPr>
          <a:solidFill>
            <a:schemeClr val="accent1"/>
          </a:solidFill>
          <a:ln w="19050">
            <a:solidFill>
              <a:schemeClr val="lt1"/>
            </a:solidFill>
          </a:ln>
          <a:effectLst/>
        </c:spPr>
      </c:pivotFmt>
      <c:pivotFmt>
        <c:idx val="90"/>
        <c:spPr>
          <a:solidFill>
            <a:schemeClr val="accent1"/>
          </a:solidFill>
          <a:ln w="19050">
            <a:solidFill>
              <a:schemeClr val="lt1"/>
            </a:solidFill>
          </a:ln>
          <a:effectLst/>
        </c:spPr>
      </c:pivotFmt>
      <c:pivotFmt>
        <c:idx val="91"/>
        <c:spPr>
          <a:solidFill>
            <a:schemeClr val="accent1"/>
          </a:solidFill>
          <a:ln w="19050">
            <a:solidFill>
              <a:schemeClr val="lt1"/>
            </a:solidFill>
          </a:ln>
          <a:effectLst/>
        </c:spPr>
      </c:pivotFmt>
      <c:pivotFmt>
        <c:idx val="92"/>
        <c:spPr>
          <a:solidFill>
            <a:schemeClr val="accent1"/>
          </a:solidFill>
          <a:ln w="19050">
            <a:solidFill>
              <a:schemeClr val="lt1"/>
            </a:solidFill>
          </a:ln>
          <a:effectLst/>
        </c:spPr>
      </c:pivotFmt>
      <c:pivotFmt>
        <c:idx val="93"/>
        <c:spPr>
          <a:solidFill>
            <a:schemeClr val="accent1"/>
          </a:solidFill>
          <a:ln w="19050">
            <a:solidFill>
              <a:schemeClr val="lt1"/>
            </a:solidFill>
          </a:ln>
          <a:effectLst/>
        </c:spPr>
      </c:pivotFmt>
      <c:pivotFmt>
        <c:idx val="94"/>
        <c:spPr>
          <a:solidFill>
            <a:schemeClr val="accent1"/>
          </a:solidFill>
          <a:ln w="19050">
            <a:solidFill>
              <a:schemeClr val="lt1"/>
            </a:solidFill>
          </a:ln>
          <a:effectLst/>
        </c:spPr>
      </c:pivotFmt>
      <c:pivotFmt>
        <c:idx val="95"/>
        <c:spPr>
          <a:solidFill>
            <a:schemeClr val="accent1"/>
          </a:solidFill>
          <a:ln w="19050">
            <a:solidFill>
              <a:schemeClr val="lt1"/>
            </a:solidFill>
          </a:ln>
          <a:effectLst/>
        </c:spPr>
      </c:pivotFmt>
      <c:pivotFmt>
        <c:idx val="96"/>
        <c:spPr>
          <a:solidFill>
            <a:schemeClr val="accent1"/>
          </a:solidFill>
          <a:ln w="19050">
            <a:solidFill>
              <a:schemeClr val="lt1"/>
            </a:solidFill>
          </a:ln>
          <a:effectLst/>
        </c:spPr>
      </c:pivotFmt>
      <c:pivotFmt>
        <c:idx val="97"/>
        <c:spPr>
          <a:solidFill>
            <a:schemeClr val="accent1"/>
          </a:solidFill>
          <a:ln w="19050">
            <a:solidFill>
              <a:schemeClr val="lt1"/>
            </a:solidFill>
          </a:ln>
          <a:effectLst/>
        </c:spPr>
      </c:pivotFmt>
      <c:pivotFmt>
        <c:idx val="9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99"/>
        <c:spPr>
          <a:solidFill>
            <a:schemeClr val="accent1"/>
          </a:solidFill>
          <a:ln w="19050">
            <a:solidFill>
              <a:schemeClr val="lt1"/>
            </a:solidFill>
          </a:ln>
          <a:effectLst/>
        </c:spPr>
      </c:pivotFmt>
      <c:pivotFmt>
        <c:idx val="100"/>
        <c:spPr>
          <a:solidFill>
            <a:schemeClr val="accent1"/>
          </a:solidFill>
          <a:ln w="19050">
            <a:solidFill>
              <a:schemeClr val="lt1"/>
            </a:solidFill>
          </a:ln>
          <a:effectLst/>
        </c:spPr>
      </c:pivotFmt>
      <c:pivotFmt>
        <c:idx val="101"/>
        <c:spPr>
          <a:solidFill>
            <a:schemeClr val="accent1"/>
          </a:solidFill>
          <a:ln w="19050">
            <a:solidFill>
              <a:schemeClr val="lt1"/>
            </a:solidFill>
          </a:ln>
          <a:effectLst/>
        </c:spPr>
      </c:pivotFmt>
      <c:pivotFmt>
        <c:idx val="102"/>
        <c:spPr>
          <a:solidFill>
            <a:schemeClr val="accent1"/>
          </a:solidFill>
          <a:ln w="19050">
            <a:solidFill>
              <a:schemeClr val="lt1"/>
            </a:solidFill>
          </a:ln>
          <a:effectLst/>
        </c:spPr>
      </c:pivotFmt>
      <c:pivotFmt>
        <c:idx val="103"/>
        <c:spPr>
          <a:solidFill>
            <a:schemeClr val="accent1"/>
          </a:solidFill>
          <a:ln w="19050">
            <a:solidFill>
              <a:schemeClr val="lt1"/>
            </a:solidFill>
          </a:ln>
          <a:effectLst/>
        </c:spPr>
      </c:pivotFmt>
      <c:pivotFmt>
        <c:idx val="104"/>
        <c:spPr>
          <a:solidFill>
            <a:schemeClr val="accent1"/>
          </a:solidFill>
          <a:ln w="19050">
            <a:solidFill>
              <a:schemeClr val="lt1"/>
            </a:solidFill>
          </a:ln>
          <a:effectLst/>
        </c:spPr>
      </c:pivotFmt>
      <c:pivotFmt>
        <c:idx val="105"/>
        <c:spPr>
          <a:solidFill>
            <a:schemeClr val="accent1"/>
          </a:solidFill>
          <a:ln w="19050">
            <a:solidFill>
              <a:schemeClr val="lt1"/>
            </a:solidFill>
          </a:ln>
          <a:effectLst/>
        </c:spPr>
      </c:pivotFmt>
      <c:pivotFmt>
        <c:idx val="106"/>
        <c:spPr>
          <a:solidFill>
            <a:schemeClr val="accent1"/>
          </a:solidFill>
          <a:ln w="19050">
            <a:solidFill>
              <a:schemeClr val="lt1"/>
            </a:solidFill>
          </a:ln>
          <a:effectLst/>
        </c:spPr>
      </c:pivotFmt>
      <c:pivotFmt>
        <c:idx val="107"/>
        <c:spPr>
          <a:solidFill>
            <a:schemeClr val="accent1"/>
          </a:solidFill>
          <a:ln w="19050">
            <a:solidFill>
              <a:schemeClr val="lt1"/>
            </a:solidFill>
          </a:ln>
          <a:effectLst/>
        </c:spPr>
      </c:pivotFmt>
      <c:pivotFmt>
        <c:idx val="108"/>
        <c:spPr>
          <a:solidFill>
            <a:schemeClr val="accent1"/>
          </a:solidFill>
          <a:ln w="19050">
            <a:solidFill>
              <a:schemeClr val="lt1"/>
            </a:solidFill>
          </a:ln>
          <a:effectLst/>
        </c:spPr>
      </c:pivotFmt>
      <c:pivotFmt>
        <c:idx val="109"/>
        <c:spPr>
          <a:solidFill>
            <a:schemeClr val="accent1"/>
          </a:solidFill>
          <a:ln w="19050">
            <a:solidFill>
              <a:schemeClr val="lt1"/>
            </a:solidFill>
          </a:ln>
          <a:effectLst/>
        </c:spPr>
      </c:pivotFmt>
      <c:pivotFmt>
        <c:idx val="110"/>
        <c:spPr>
          <a:solidFill>
            <a:schemeClr val="accent1"/>
          </a:solidFill>
          <a:ln w="19050">
            <a:solidFill>
              <a:schemeClr val="lt1"/>
            </a:solidFill>
          </a:ln>
          <a:effectLst/>
        </c:spPr>
      </c:pivotFmt>
      <c:pivotFmt>
        <c:idx val="11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12"/>
        <c:spPr>
          <a:solidFill>
            <a:schemeClr val="accent1"/>
          </a:solidFill>
          <a:ln w="19050">
            <a:solidFill>
              <a:schemeClr val="lt1"/>
            </a:solidFill>
          </a:ln>
          <a:effectLst/>
        </c:spPr>
      </c:pivotFmt>
      <c:pivotFmt>
        <c:idx val="113"/>
        <c:spPr>
          <a:solidFill>
            <a:schemeClr val="accent1"/>
          </a:solidFill>
          <a:ln w="19050">
            <a:solidFill>
              <a:schemeClr val="lt1"/>
            </a:solidFill>
          </a:ln>
          <a:effectLst/>
        </c:spPr>
      </c:pivotFmt>
      <c:pivotFmt>
        <c:idx val="114"/>
        <c:spPr>
          <a:solidFill>
            <a:schemeClr val="accent1"/>
          </a:solidFill>
          <a:ln w="19050">
            <a:solidFill>
              <a:schemeClr val="lt1"/>
            </a:solidFill>
          </a:ln>
          <a:effectLst/>
        </c:spPr>
      </c:pivotFmt>
      <c:pivotFmt>
        <c:idx val="115"/>
        <c:spPr>
          <a:solidFill>
            <a:schemeClr val="accent1"/>
          </a:solidFill>
          <a:ln w="19050">
            <a:solidFill>
              <a:schemeClr val="lt1"/>
            </a:solidFill>
          </a:ln>
          <a:effectLst/>
        </c:spPr>
      </c:pivotFmt>
      <c:pivotFmt>
        <c:idx val="116"/>
        <c:spPr>
          <a:solidFill>
            <a:schemeClr val="accent1"/>
          </a:solidFill>
          <a:ln w="19050">
            <a:solidFill>
              <a:schemeClr val="lt1"/>
            </a:solidFill>
          </a:ln>
          <a:effectLst/>
        </c:spPr>
      </c:pivotFmt>
      <c:pivotFmt>
        <c:idx val="117"/>
        <c:spPr>
          <a:solidFill>
            <a:schemeClr val="accent1"/>
          </a:solidFill>
          <a:ln w="19050">
            <a:solidFill>
              <a:schemeClr val="lt1"/>
            </a:solidFill>
          </a:ln>
          <a:effectLst/>
        </c:spPr>
      </c:pivotFmt>
      <c:pivotFmt>
        <c:idx val="118"/>
        <c:spPr>
          <a:solidFill>
            <a:schemeClr val="accent1"/>
          </a:solidFill>
          <a:ln w="19050">
            <a:solidFill>
              <a:schemeClr val="lt1"/>
            </a:solidFill>
          </a:ln>
          <a:effectLst/>
        </c:spPr>
      </c:pivotFmt>
      <c:pivotFmt>
        <c:idx val="119"/>
        <c:spPr>
          <a:solidFill>
            <a:schemeClr val="accent1"/>
          </a:solidFill>
          <a:ln w="19050">
            <a:solidFill>
              <a:schemeClr val="lt1"/>
            </a:solidFill>
          </a:ln>
          <a:effectLst/>
        </c:spPr>
      </c:pivotFmt>
      <c:pivotFmt>
        <c:idx val="120"/>
        <c:spPr>
          <a:solidFill>
            <a:schemeClr val="accent1"/>
          </a:solidFill>
          <a:ln w="19050">
            <a:solidFill>
              <a:schemeClr val="lt1"/>
            </a:solidFill>
          </a:ln>
          <a:effectLst/>
        </c:spPr>
      </c:pivotFmt>
      <c:pivotFmt>
        <c:idx val="121"/>
        <c:spPr>
          <a:solidFill>
            <a:schemeClr val="accent1"/>
          </a:solidFill>
          <a:ln w="19050">
            <a:solidFill>
              <a:schemeClr val="lt1"/>
            </a:solidFill>
          </a:ln>
          <a:effectLst/>
        </c:spPr>
      </c:pivotFmt>
      <c:pivotFmt>
        <c:idx val="122"/>
        <c:spPr>
          <a:solidFill>
            <a:schemeClr val="accent1"/>
          </a:solidFill>
          <a:ln w="19050">
            <a:solidFill>
              <a:schemeClr val="lt1"/>
            </a:solidFill>
          </a:ln>
          <a:effectLst/>
        </c:spPr>
      </c:pivotFmt>
      <c:pivotFmt>
        <c:idx val="123"/>
        <c:spPr>
          <a:solidFill>
            <a:schemeClr val="accent1"/>
          </a:solidFill>
          <a:ln w="19050">
            <a:solidFill>
              <a:schemeClr val="lt1"/>
            </a:solidFill>
          </a:ln>
          <a:effectLst/>
        </c:spPr>
      </c:pivotFmt>
      <c:pivotFmt>
        <c:idx val="12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25"/>
        <c:spPr>
          <a:solidFill>
            <a:schemeClr val="accent1"/>
          </a:solidFill>
          <a:ln w="19050">
            <a:solidFill>
              <a:schemeClr val="lt1"/>
            </a:solidFill>
          </a:ln>
          <a:effectLst/>
        </c:spPr>
      </c:pivotFmt>
      <c:pivotFmt>
        <c:idx val="126"/>
        <c:spPr>
          <a:solidFill>
            <a:schemeClr val="accent1"/>
          </a:solidFill>
          <a:ln w="19050">
            <a:solidFill>
              <a:schemeClr val="lt1"/>
            </a:solidFill>
          </a:ln>
          <a:effectLst/>
        </c:spPr>
      </c:pivotFmt>
      <c:pivotFmt>
        <c:idx val="127"/>
        <c:spPr>
          <a:solidFill>
            <a:schemeClr val="accent1"/>
          </a:solidFill>
          <a:ln w="19050">
            <a:solidFill>
              <a:schemeClr val="lt1"/>
            </a:solidFill>
          </a:ln>
          <a:effectLst/>
        </c:spPr>
      </c:pivotFmt>
      <c:pivotFmt>
        <c:idx val="128"/>
        <c:spPr>
          <a:solidFill>
            <a:schemeClr val="accent1"/>
          </a:solidFill>
          <a:ln w="19050">
            <a:solidFill>
              <a:schemeClr val="lt1"/>
            </a:solidFill>
          </a:ln>
          <a:effectLst/>
        </c:spPr>
      </c:pivotFmt>
      <c:pivotFmt>
        <c:idx val="129"/>
        <c:spPr>
          <a:solidFill>
            <a:schemeClr val="accent1"/>
          </a:solidFill>
          <a:ln w="19050">
            <a:solidFill>
              <a:schemeClr val="lt1"/>
            </a:solidFill>
          </a:ln>
          <a:effectLst/>
        </c:spPr>
      </c:pivotFmt>
      <c:pivotFmt>
        <c:idx val="130"/>
        <c:spPr>
          <a:solidFill>
            <a:schemeClr val="accent1"/>
          </a:solidFill>
          <a:ln w="19050">
            <a:solidFill>
              <a:schemeClr val="lt1"/>
            </a:solidFill>
          </a:ln>
          <a:effectLst/>
        </c:spPr>
      </c:pivotFmt>
      <c:pivotFmt>
        <c:idx val="131"/>
        <c:spPr>
          <a:solidFill>
            <a:schemeClr val="accent1"/>
          </a:solidFill>
          <a:ln w="19050">
            <a:solidFill>
              <a:schemeClr val="lt1"/>
            </a:solidFill>
          </a:ln>
          <a:effectLst/>
        </c:spPr>
      </c:pivotFmt>
      <c:pivotFmt>
        <c:idx val="132"/>
        <c:spPr>
          <a:solidFill>
            <a:schemeClr val="accent1"/>
          </a:solidFill>
          <a:ln w="19050">
            <a:solidFill>
              <a:schemeClr val="lt1"/>
            </a:solidFill>
          </a:ln>
          <a:effectLst/>
        </c:spPr>
      </c:pivotFmt>
      <c:pivotFmt>
        <c:idx val="133"/>
        <c:spPr>
          <a:solidFill>
            <a:schemeClr val="accent1"/>
          </a:solidFill>
          <a:ln w="19050">
            <a:solidFill>
              <a:schemeClr val="lt1"/>
            </a:solidFill>
          </a:ln>
          <a:effectLst/>
        </c:spPr>
      </c:pivotFmt>
      <c:pivotFmt>
        <c:idx val="134"/>
        <c:spPr>
          <a:solidFill>
            <a:schemeClr val="accent1"/>
          </a:solidFill>
          <a:ln w="19050">
            <a:solidFill>
              <a:schemeClr val="lt1"/>
            </a:solidFill>
          </a:ln>
          <a:effectLst/>
        </c:spPr>
      </c:pivotFmt>
      <c:pivotFmt>
        <c:idx val="135"/>
        <c:spPr>
          <a:solidFill>
            <a:schemeClr val="accent1"/>
          </a:solidFill>
          <a:ln w="19050">
            <a:solidFill>
              <a:schemeClr val="lt1"/>
            </a:solidFill>
          </a:ln>
          <a:effectLst/>
        </c:spPr>
      </c:pivotFmt>
      <c:pivotFmt>
        <c:idx val="136"/>
        <c:spPr>
          <a:solidFill>
            <a:schemeClr val="accent1"/>
          </a:solidFill>
          <a:ln w="19050">
            <a:solidFill>
              <a:schemeClr val="lt1"/>
            </a:solidFill>
          </a:ln>
          <a:effectLst/>
        </c:spPr>
      </c:pivotFmt>
      <c:pivotFmt>
        <c:idx val="137"/>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38"/>
        <c:spPr>
          <a:solidFill>
            <a:schemeClr val="accent1"/>
          </a:solidFill>
          <a:ln w="19050">
            <a:solidFill>
              <a:schemeClr val="lt1"/>
            </a:solidFill>
          </a:ln>
          <a:effectLst/>
        </c:spPr>
      </c:pivotFmt>
      <c:pivotFmt>
        <c:idx val="139"/>
        <c:spPr>
          <a:solidFill>
            <a:schemeClr val="accent1"/>
          </a:solidFill>
          <a:ln w="19050">
            <a:solidFill>
              <a:schemeClr val="lt1"/>
            </a:solidFill>
          </a:ln>
          <a:effectLst/>
        </c:spPr>
      </c:pivotFmt>
      <c:pivotFmt>
        <c:idx val="140"/>
        <c:spPr>
          <a:solidFill>
            <a:schemeClr val="accent1"/>
          </a:solidFill>
          <a:ln w="19050">
            <a:solidFill>
              <a:schemeClr val="lt1"/>
            </a:solidFill>
          </a:ln>
          <a:effectLst/>
        </c:spPr>
      </c:pivotFmt>
      <c:pivotFmt>
        <c:idx val="141"/>
        <c:spPr>
          <a:solidFill>
            <a:schemeClr val="accent1"/>
          </a:solidFill>
          <a:ln w="19050">
            <a:solidFill>
              <a:schemeClr val="lt1"/>
            </a:solidFill>
          </a:ln>
          <a:effectLst/>
        </c:spPr>
      </c:pivotFmt>
      <c:pivotFmt>
        <c:idx val="142"/>
        <c:spPr>
          <a:solidFill>
            <a:schemeClr val="accent1"/>
          </a:solidFill>
          <a:ln w="19050">
            <a:solidFill>
              <a:schemeClr val="lt1"/>
            </a:solidFill>
          </a:ln>
          <a:effectLst/>
        </c:spPr>
      </c:pivotFmt>
      <c:pivotFmt>
        <c:idx val="143"/>
        <c:spPr>
          <a:solidFill>
            <a:schemeClr val="accent1"/>
          </a:solidFill>
          <a:ln w="19050">
            <a:solidFill>
              <a:schemeClr val="lt1"/>
            </a:solidFill>
          </a:ln>
          <a:effectLst/>
        </c:spPr>
        <c:marker>
          <c:symbol val="none"/>
        </c:marker>
        <c:dLbl>
          <c:idx val="0"/>
          <c:dLblPos val="bestFit"/>
          <c:showLegendKey val="0"/>
          <c:showVal val="1"/>
          <c:showCatName val="1"/>
          <c:showSerName val="0"/>
          <c:showPercent val="0"/>
          <c:showBubbleSize val="0"/>
          <c:extLst>
            <c:ext xmlns:c15="http://schemas.microsoft.com/office/drawing/2012/chart" uri="{CE6537A1-D6FC-4f65-9D91-7224C49458BB}"/>
          </c:extLst>
        </c:dLbl>
      </c:pivotFmt>
      <c:pivotFmt>
        <c:idx val="144"/>
        <c:spPr>
          <a:solidFill>
            <a:schemeClr val="accent1"/>
          </a:solidFill>
          <a:ln w="19050">
            <a:solidFill>
              <a:schemeClr val="lt1"/>
            </a:solidFill>
          </a:ln>
          <a:effectLst/>
        </c:spPr>
        <c:marker>
          <c:symbol val="none"/>
        </c:marker>
        <c:dLbl>
          <c:idx val="0"/>
          <c:dLblPos val="bestFit"/>
          <c:showLegendKey val="0"/>
          <c:showVal val="1"/>
          <c:showCatName val="1"/>
          <c:showSerName val="0"/>
          <c:showPercent val="0"/>
          <c:showBubbleSize val="0"/>
          <c:extLst>
            <c:ext xmlns:c15="http://schemas.microsoft.com/office/drawing/2012/chart" uri="{CE6537A1-D6FC-4f65-9D91-7224C49458BB}"/>
          </c:extLst>
        </c:dLbl>
      </c:pivotFmt>
      <c:pivotFmt>
        <c:idx val="145"/>
        <c:spPr>
          <a:solidFill>
            <a:schemeClr val="accent1"/>
          </a:solidFill>
          <a:ln w="19050">
            <a:solidFill>
              <a:schemeClr val="lt1"/>
            </a:solidFill>
          </a:ln>
          <a:effectLst/>
        </c:spPr>
        <c:marker>
          <c:symbol val="none"/>
        </c:marker>
        <c:dLbl>
          <c:idx val="0"/>
          <c:dLblPos val="bestFit"/>
          <c:showLegendKey val="0"/>
          <c:showVal val="1"/>
          <c:showCatName val="1"/>
          <c:showSerName val="0"/>
          <c:showPercent val="0"/>
          <c:showBubbleSize val="0"/>
          <c:extLst>
            <c:ext xmlns:c15="http://schemas.microsoft.com/office/drawing/2012/chart" uri="{CE6537A1-D6FC-4f65-9D91-7224C49458BB}"/>
          </c:extLst>
        </c:dLbl>
      </c:pivotFmt>
      <c:pivotFmt>
        <c:idx val="146"/>
        <c:spPr>
          <a:solidFill>
            <a:schemeClr val="accent1"/>
          </a:solidFill>
          <a:ln w="19050">
            <a:solidFill>
              <a:schemeClr val="lt1"/>
            </a:solidFill>
          </a:ln>
          <a:effectLst/>
        </c:spPr>
        <c:marker>
          <c:symbol val="none"/>
        </c:marker>
        <c:dLbl>
          <c:idx val="0"/>
          <c:dLblPos val="bestFit"/>
          <c:showLegendKey val="0"/>
          <c:showVal val="1"/>
          <c:showCatName val="1"/>
          <c:showSerName val="0"/>
          <c:showPercent val="0"/>
          <c:showBubbleSize val="0"/>
          <c:extLst>
            <c:ext xmlns:c15="http://schemas.microsoft.com/office/drawing/2012/chart" uri="{CE6537A1-D6FC-4f65-9D91-7224C49458BB}"/>
          </c:extLst>
        </c:dLbl>
      </c:pivotFmt>
      <c:pivotFmt>
        <c:idx val="147"/>
        <c:spPr>
          <a:solidFill>
            <a:schemeClr val="accent1"/>
          </a:solidFill>
          <a:ln w="19050">
            <a:solidFill>
              <a:schemeClr val="lt1"/>
            </a:solidFill>
          </a:ln>
          <a:effectLst/>
        </c:spPr>
        <c:marker>
          <c:symbol val="none"/>
        </c:marker>
        <c:dLbl>
          <c:idx val="0"/>
          <c:dLblPos val="bestFit"/>
          <c:showLegendKey val="0"/>
          <c:showVal val="1"/>
          <c:showCatName val="1"/>
          <c:showSerName val="0"/>
          <c:showPercent val="0"/>
          <c:showBubbleSize val="0"/>
          <c:extLst>
            <c:ext xmlns:c15="http://schemas.microsoft.com/office/drawing/2012/chart" uri="{CE6537A1-D6FC-4f65-9D91-7224C49458BB}"/>
          </c:extLst>
        </c:dLbl>
      </c:pivotFmt>
      <c:pivotFmt>
        <c:idx val="14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4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5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5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5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53"/>
        <c:spPr>
          <a:solidFill>
            <a:schemeClr val="accent1"/>
          </a:solidFill>
          <a:ln w="19050">
            <a:solidFill>
              <a:schemeClr val="lt1"/>
            </a:solidFill>
          </a:ln>
          <a:effectLst/>
        </c:spPr>
      </c:pivotFmt>
      <c:pivotFmt>
        <c:idx val="154"/>
        <c:spPr>
          <a:solidFill>
            <a:schemeClr val="accent1"/>
          </a:solidFill>
          <a:ln w="19050">
            <a:solidFill>
              <a:schemeClr val="lt1"/>
            </a:solidFill>
          </a:ln>
          <a:effectLst/>
        </c:spPr>
      </c:pivotFmt>
      <c:pivotFmt>
        <c:idx val="155"/>
        <c:spPr>
          <a:solidFill>
            <a:schemeClr val="accent1"/>
          </a:solidFill>
          <a:ln w="19050">
            <a:solidFill>
              <a:schemeClr val="lt1"/>
            </a:solidFill>
          </a:ln>
          <a:effectLst/>
        </c:spPr>
      </c:pivotFmt>
      <c:pivotFmt>
        <c:idx val="156"/>
        <c:spPr>
          <a:solidFill>
            <a:schemeClr val="accent1"/>
          </a:solidFill>
          <a:ln w="19050">
            <a:solidFill>
              <a:schemeClr val="lt1"/>
            </a:solidFill>
          </a:ln>
          <a:effectLst/>
        </c:spPr>
      </c:pivotFmt>
      <c:pivotFmt>
        <c:idx val="157"/>
        <c:spPr>
          <a:solidFill>
            <a:schemeClr val="accent1"/>
          </a:solidFill>
          <a:ln w="19050">
            <a:solidFill>
              <a:schemeClr val="lt1"/>
            </a:solidFill>
          </a:ln>
          <a:effectLst/>
        </c:spPr>
      </c:pivotFmt>
      <c:pivotFmt>
        <c:idx val="158"/>
        <c:spPr>
          <a:solidFill>
            <a:schemeClr val="accent1"/>
          </a:solidFill>
          <a:ln w="19050">
            <a:solidFill>
              <a:schemeClr val="lt1"/>
            </a:solidFill>
          </a:ln>
          <a:effectLst/>
        </c:spPr>
      </c:pivotFmt>
      <c:pivotFmt>
        <c:idx val="159"/>
        <c:spPr>
          <a:solidFill>
            <a:schemeClr val="accent1"/>
          </a:solidFill>
          <a:ln w="19050">
            <a:solidFill>
              <a:schemeClr val="lt1"/>
            </a:solidFill>
          </a:ln>
          <a:effectLst/>
        </c:spPr>
      </c:pivotFmt>
      <c:pivotFmt>
        <c:idx val="160"/>
        <c:spPr>
          <a:solidFill>
            <a:schemeClr val="accent1"/>
          </a:solidFill>
          <a:ln w="19050">
            <a:solidFill>
              <a:schemeClr val="lt1"/>
            </a:solidFill>
          </a:ln>
          <a:effectLst/>
        </c:spPr>
      </c:pivotFmt>
      <c:pivotFmt>
        <c:idx val="161"/>
        <c:spPr>
          <a:solidFill>
            <a:schemeClr val="accent1"/>
          </a:solidFill>
          <a:ln w="19050">
            <a:solidFill>
              <a:schemeClr val="lt1"/>
            </a:solidFill>
          </a:ln>
          <a:effectLst/>
        </c:spPr>
      </c:pivotFmt>
      <c:pivotFmt>
        <c:idx val="162"/>
        <c:spPr>
          <a:solidFill>
            <a:schemeClr val="accent1"/>
          </a:solidFill>
          <a:ln w="19050">
            <a:solidFill>
              <a:schemeClr val="lt1"/>
            </a:solidFill>
          </a:ln>
          <a:effectLst/>
        </c:spPr>
      </c:pivotFmt>
      <c:pivotFmt>
        <c:idx val="163"/>
        <c:spPr>
          <a:solidFill>
            <a:schemeClr val="accent1"/>
          </a:solidFill>
          <a:ln w="19050">
            <a:solidFill>
              <a:schemeClr val="lt1"/>
            </a:solidFill>
          </a:ln>
          <a:effectLst/>
        </c:spPr>
      </c:pivotFmt>
      <c:pivotFmt>
        <c:idx val="164"/>
        <c:spPr>
          <a:solidFill>
            <a:schemeClr val="accent1"/>
          </a:solidFill>
          <a:ln w="19050">
            <a:solidFill>
              <a:schemeClr val="lt1"/>
            </a:solidFill>
          </a:ln>
          <a:effectLst/>
        </c:spPr>
      </c:pivotFmt>
      <c:pivotFmt>
        <c:idx val="165"/>
        <c:spPr>
          <a:solidFill>
            <a:schemeClr val="accent1"/>
          </a:solidFill>
          <a:ln w="19050">
            <a:solidFill>
              <a:schemeClr val="lt1"/>
            </a:solidFill>
          </a:ln>
          <a:effectLst/>
        </c:spPr>
      </c:pivotFmt>
      <c:pivotFmt>
        <c:idx val="166"/>
        <c:spPr>
          <a:solidFill>
            <a:schemeClr val="accent1"/>
          </a:solidFill>
          <a:ln w="19050">
            <a:solidFill>
              <a:schemeClr val="lt1"/>
            </a:solidFill>
          </a:ln>
          <a:effectLst/>
        </c:spPr>
      </c:pivotFmt>
      <c:pivotFmt>
        <c:idx val="167"/>
        <c:spPr>
          <a:solidFill>
            <a:schemeClr val="accent1"/>
          </a:solidFill>
          <a:ln w="19050">
            <a:solidFill>
              <a:schemeClr val="lt1"/>
            </a:solidFill>
          </a:ln>
          <a:effectLst/>
        </c:spPr>
      </c:pivotFmt>
      <c:pivotFmt>
        <c:idx val="168"/>
        <c:spPr>
          <a:solidFill>
            <a:schemeClr val="accent1"/>
          </a:solidFill>
          <a:ln w="19050">
            <a:solidFill>
              <a:schemeClr val="lt1"/>
            </a:solidFill>
          </a:ln>
          <a:effectLst/>
        </c:spPr>
      </c:pivotFmt>
      <c:pivotFmt>
        <c:idx val="169"/>
        <c:spPr>
          <a:solidFill>
            <a:schemeClr val="accent1"/>
          </a:solidFill>
          <a:ln w="19050">
            <a:solidFill>
              <a:schemeClr val="lt1"/>
            </a:solidFill>
          </a:ln>
          <a:effectLst/>
        </c:spPr>
      </c:pivotFmt>
      <c:pivotFmt>
        <c:idx val="170"/>
        <c:spPr>
          <a:solidFill>
            <a:schemeClr val="accent1"/>
          </a:solidFill>
          <a:ln w="19050">
            <a:solidFill>
              <a:schemeClr val="lt1"/>
            </a:solidFill>
          </a:ln>
          <a:effectLst/>
        </c:spPr>
      </c:pivotFmt>
      <c:pivotFmt>
        <c:idx val="171"/>
        <c:spPr>
          <a:solidFill>
            <a:schemeClr val="accent1"/>
          </a:solidFill>
          <a:ln w="19050">
            <a:solidFill>
              <a:schemeClr val="lt1"/>
            </a:solidFill>
          </a:ln>
          <a:effectLst/>
        </c:spPr>
      </c:pivotFmt>
      <c:pivotFmt>
        <c:idx val="172"/>
        <c:spPr>
          <a:solidFill>
            <a:schemeClr val="accent1"/>
          </a:solidFill>
          <a:ln w="19050">
            <a:solidFill>
              <a:schemeClr val="lt1"/>
            </a:solidFill>
          </a:ln>
          <a:effectLst/>
        </c:spPr>
      </c:pivotFmt>
      <c:pivotFmt>
        <c:idx val="173"/>
        <c:spPr>
          <a:solidFill>
            <a:schemeClr val="accent1"/>
          </a:solidFill>
          <a:ln w="19050">
            <a:solidFill>
              <a:schemeClr val="lt1"/>
            </a:solidFill>
          </a:ln>
          <a:effectLst/>
        </c:spPr>
      </c:pivotFmt>
      <c:pivotFmt>
        <c:idx val="174"/>
        <c:spPr>
          <a:solidFill>
            <a:schemeClr val="accent1"/>
          </a:solidFill>
          <a:ln w="19050">
            <a:solidFill>
              <a:schemeClr val="lt1"/>
            </a:solidFill>
          </a:ln>
          <a:effectLst/>
        </c:spPr>
      </c:pivotFmt>
      <c:pivotFmt>
        <c:idx val="175"/>
        <c:spPr>
          <a:solidFill>
            <a:schemeClr val="accent1"/>
          </a:solidFill>
          <a:ln w="19050">
            <a:solidFill>
              <a:schemeClr val="lt1"/>
            </a:solidFill>
          </a:ln>
          <a:effectLst/>
        </c:spPr>
      </c:pivotFmt>
      <c:pivotFmt>
        <c:idx val="176"/>
        <c:spPr>
          <a:solidFill>
            <a:schemeClr val="accent1"/>
          </a:solidFill>
          <a:ln w="19050">
            <a:solidFill>
              <a:schemeClr val="lt1"/>
            </a:solidFill>
          </a:ln>
          <a:effectLst/>
        </c:spPr>
      </c:pivotFmt>
      <c:pivotFmt>
        <c:idx val="177"/>
        <c:spPr>
          <a:solidFill>
            <a:schemeClr val="accent1"/>
          </a:solidFill>
          <a:ln w="19050">
            <a:solidFill>
              <a:schemeClr val="lt1"/>
            </a:solidFill>
          </a:ln>
          <a:effectLst/>
        </c:spPr>
      </c:pivotFmt>
      <c:pivotFmt>
        <c:idx val="178"/>
        <c:spPr>
          <a:solidFill>
            <a:schemeClr val="accent1"/>
          </a:solidFill>
          <a:ln w="19050">
            <a:solidFill>
              <a:schemeClr val="lt1"/>
            </a:solidFill>
          </a:ln>
          <a:effectLst/>
        </c:spPr>
      </c:pivotFmt>
      <c:pivotFmt>
        <c:idx val="179"/>
        <c:spPr>
          <a:solidFill>
            <a:schemeClr val="accent1"/>
          </a:solidFill>
          <a:ln w="19050">
            <a:solidFill>
              <a:schemeClr val="lt1"/>
            </a:solidFill>
          </a:ln>
          <a:effectLst/>
        </c:spPr>
      </c:pivotFmt>
      <c:pivotFmt>
        <c:idx val="180"/>
        <c:spPr>
          <a:solidFill>
            <a:schemeClr val="accent1"/>
          </a:solidFill>
          <a:ln w="19050">
            <a:solidFill>
              <a:schemeClr val="lt1"/>
            </a:solidFill>
          </a:ln>
          <a:effectLst/>
        </c:spPr>
      </c:pivotFmt>
      <c:pivotFmt>
        <c:idx val="181"/>
        <c:spPr>
          <a:solidFill>
            <a:schemeClr val="accent1"/>
          </a:solidFill>
          <a:ln w="19050">
            <a:solidFill>
              <a:schemeClr val="lt1"/>
            </a:solidFill>
          </a:ln>
          <a:effectLst/>
        </c:spPr>
      </c:pivotFmt>
      <c:pivotFmt>
        <c:idx val="182"/>
        <c:spPr>
          <a:solidFill>
            <a:schemeClr val="accent1"/>
          </a:solidFill>
          <a:ln w="19050">
            <a:solidFill>
              <a:schemeClr val="lt1"/>
            </a:solidFill>
          </a:ln>
          <a:effectLst/>
        </c:spPr>
      </c:pivotFmt>
      <c:pivotFmt>
        <c:idx val="183"/>
        <c:spPr>
          <a:solidFill>
            <a:schemeClr val="accent1"/>
          </a:solidFill>
          <a:ln w="19050">
            <a:solidFill>
              <a:schemeClr val="lt1"/>
            </a:solidFill>
          </a:ln>
          <a:effectLst/>
        </c:spPr>
      </c:pivotFmt>
      <c:pivotFmt>
        <c:idx val="184"/>
        <c:spPr>
          <a:solidFill>
            <a:schemeClr val="accent1"/>
          </a:solidFill>
          <a:ln w="19050">
            <a:solidFill>
              <a:schemeClr val="lt1"/>
            </a:solidFill>
          </a:ln>
          <a:effectLst/>
        </c:spPr>
      </c:pivotFmt>
      <c:pivotFmt>
        <c:idx val="185"/>
        <c:spPr>
          <a:solidFill>
            <a:schemeClr val="accent1"/>
          </a:solidFill>
          <a:ln w="19050">
            <a:solidFill>
              <a:schemeClr val="lt1"/>
            </a:solidFill>
          </a:ln>
          <a:effectLst/>
        </c:spPr>
      </c:pivotFmt>
      <c:pivotFmt>
        <c:idx val="186"/>
        <c:spPr>
          <a:solidFill>
            <a:schemeClr val="accent1"/>
          </a:solidFill>
          <a:ln w="19050">
            <a:solidFill>
              <a:schemeClr val="lt1"/>
            </a:solidFill>
          </a:ln>
          <a:effectLst/>
        </c:spPr>
      </c:pivotFmt>
      <c:pivotFmt>
        <c:idx val="187"/>
        <c:spPr>
          <a:solidFill>
            <a:schemeClr val="accent1"/>
          </a:solidFill>
          <a:ln w="19050">
            <a:solidFill>
              <a:schemeClr val="lt1"/>
            </a:solidFill>
          </a:ln>
          <a:effectLst/>
        </c:spPr>
      </c:pivotFmt>
      <c:pivotFmt>
        <c:idx val="188"/>
        <c:spPr>
          <a:solidFill>
            <a:schemeClr val="accent1"/>
          </a:solidFill>
          <a:ln w="19050">
            <a:solidFill>
              <a:schemeClr val="lt1"/>
            </a:solidFill>
          </a:ln>
          <a:effectLst/>
        </c:spPr>
      </c:pivotFmt>
      <c:pivotFmt>
        <c:idx val="189"/>
        <c:spPr>
          <a:solidFill>
            <a:schemeClr val="accent1"/>
          </a:solidFill>
          <a:ln w="19050">
            <a:solidFill>
              <a:schemeClr val="lt1"/>
            </a:solidFill>
          </a:ln>
          <a:effectLst/>
        </c:spPr>
      </c:pivotFmt>
      <c:pivotFmt>
        <c:idx val="190"/>
        <c:spPr>
          <a:solidFill>
            <a:schemeClr val="accent1"/>
          </a:solidFill>
          <a:ln w="19050">
            <a:solidFill>
              <a:schemeClr val="lt1"/>
            </a:solidFill>
          </a:ln>
          <a:effectLst/>
        </c:spPr>
      </c:pivotFmt>
      <c:pivotFmt>
        <c:idx val="191"/>
        <c:spPr>
          <a:solidFill>
            <a:schemeClr val="accent1"/>
          </a:solidFill>
          <a:ln w="19050">
            <a:solidFill>
              <a:schemeClr val="lt1"/>
            </a:solidFill>
          </a:ln>
          <a:effectLst/>
        </c:spPr>
      </c:pivotFmt>
      <c:pivotFmt>
        <c:idx val="192"/>
        <c:spPr>
          <a:solidFill>
            <a:schemeClr val="accent1"/>
          </a:solidFill>
          <a:ln w="19050">
            <a:solidFill>
              <a:schemeClr val="lt1"/>
            </a:solidFill>
          </a:ln>
          <a:effectLst/>
        </c:spPr>
      </c:pivotFmt>
      <c:pivotFmt>
        <c:idx val="193"/>
        <c:spPr>
          <a:solidFill>
            <a:schemeClr val="accent1"/>
          </a:solidFill>
          <a:ln w="19050">
            <a:solidFill>
              <a:schemeClr val="lt1"/>
            </a:solidFill>
          </a:ln>
          <a:effectLst/>
        </c:spPr>
      </c:pivotFmt>
      <c:pivotFmt>
        <c:idx val="194"/>
        <c:spPr>
          <a:solidFill>
            <a:schemeClr val="accent1"/>
          </a:solidFill>
          <a:ln w="19050">
            <a:solidFill>
              <a:schemeClr val="lt1"/>
            </a:solidFill>
          </a:ln>
          <a:effectLst/>
        </c:spPr>
      </c:pivotFmt>
      <c:pivotFmt>
        <c:idx val="195"/>
        <c:spPr>
          <a:solidFill>
            <a:schemeClr val="accent1"/>
          </a:solidFill>
          <a:ln w="19050">
            <a:solidFill>
              <a:schemeClr val="lt1"/>
            </a:solidFill>
          </a:ln>
          <a:effectLst/>
        </c:spPr>
      </c:pivotFmt>
      <c:pivotFmt>
        <c:idx val="196"/>
        <c:spPr>
          <a:solidFill>
            <a:schemeClr val="accent1"/>
          </a:solidFill>
          <a:ln w="19050">
            <a:solidFill>
              <a:schemeClr val="lt1"/>
            </a:solidFill>
          </a:ln>
          <a:effectLst/>
        </c:spPr>
      </c:pivotFmt>
      <c:pivotFmt>
        <c:idx val="197"/>
        <c:spPr>
          <a:solidFill>
            <a:schemeClr val="accent1"/>
          </a:solidFill>
          <a:ln w="19050">
            <a:solidFill>
              <a:schemeClr val="lt1"/>
            </a:solidFill>
          </a:ln>
          <a:effectLst/>
        </c:spPr>
      </c:pivotFmt>
      <c:pivotFmt>
        <c:idx val="19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9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00"/>
        <c:spPr>
          <a:solidFill>
            <a:schemeClr val="accent1"/>
          </a:solidFill>
          <a:ln w="19050">
            <a:solidFill>
              <a:schemeClr val="lt1"/>
            </a:solidFill>
          </a:ln>
          <a:effectLst/>
        </c:spPr>
      </c:pivotFmt>
      <c:pivotFmt>
        <c:idx val="201"/>
        <c:spPr>
          <a:solidFill>
            <a:schemeClr val="accent1"/>
          </a:solidFill>
          <a:ln w="19050">
            <a:solidFill>
              <a:schemeClr val="lt1"/>
            </a:solidFill>
          </a:ln>
          <a:effectLst/>
        </c:spPr>
      </c:pivotFmt>
      <c:pivotFmt>
        <c:idx val="202"/>
        <c:spPr>
          <a:solidFill>
            <a:schemeClr val="accent1"/>
          </a:solidFill>
          <a:ln w="19050">
            <a:solidFill>
              <a:schemeClr val="lt1"/>
            </a:solidFill>
          </a:ln>
          <a:effectLst/>
        </c:spPr>
      </c:pivotFmt>
      <c:pivotFmt>
        <c:idx val="203"/>
        <c:spPr>
          <a:solidFill>
            <a:schemeClr val="accent1"/>
          </a:solidFill>
          <a:ln w="19050">
            <a:solidFill>
              <a:schemeClr val="lt1"/>
            </a:solidFill>
          </a:ln>
          <a:effectLst/>
        </c:spPr>
      </c:pivotFmt>
      <c:pivotFmt>
        <c:idx val="204"/>
        <c:spPr>
          <a:solidFill>
            <a:schemeClr val="accent1"/>
          </a:solidFill>
          <a:ln w="19050">
            <a:solidFill>
              <a:schemeClr val="lt1"/>
            </a:solidFill>
          </a:ln>
          <a:effectLst/>
        </c:spPr>
      </c:pivotFmt>
      <c:pivotFmt>
        <c:idx val="205"/>
        <c:spPr>
          <a:solidFill>
            <a:schemeClr val="accent1"/>
          </a:solidFill>
          <a:ln w="19050">
            <a:solidFill>
              <a:schemeClr val="lt1"/>
            </a:solidFill>
          </a:ln>
          <a:effectLst/>
        </c:spPr>
      </c:pivotFmt>
      <c:pivotFmt>
        <c:idx val="206"/>
        <c:spPr>
          <a:solidFill>
            <a:schemeClr val="accent1"/>
          </a:solidFill>
          <a:ln w="19050">
            <a:solidFill>
              <a:schemeClr val="lt1"/>
            </a:solidFill>
          </a:ln>
          <a:effectLst/>
        </c:spPr>
      </c:pivotFmt>
      <c:pivotFmt>
        <c:idx val="207"/>
        <c:spPr>
          <a:solidFill>
            <a:schemeClr val="accent1"/>
          </a:solidFill>
          <a:ln w="19050">
            <a:solidFill>
              <a:schemeClr val="lt1"/>
            </a:solidFill>
          </a:ln>
          <a:effectLst/>
        </c:spPr>
      </c:pivotFmt>
      <c:pivotFmt>
        <c:idx val="208"/>
        <c:spPr>
          <a:solidFill>
            <a:schemeClr val="accent1"/>
          </a:solidFill>
          <a:ln w="19050">
            <a:solidFill>
              <a:schemeClr val="lt1"/>
            </a:solidFill>
          </a:ln>
          <a:effectLst/>
        </c:spPr>
      </c:pivotFmt>
      <c:pivotFmt>
        <c:idx val="209"/>
        <c:spPr>
          <a:solidFill>
            <a:schemeClr val="accent1"/>
          </a:solidFill>
          <a:ln w="19050">
            <a:solidFill>
              <a:schemeClr val="lt1"/>
            </a:solidFill>
          </a:ln>
          <a:effectLst/>
        </c:spPr>
      </c:pivotFmt>
      <c:pivotFmt>
        <c:idx val="210"/>
        <c:spPr>
          <a:solidFill>
            <a:schemeClr val="accent1"/>
          </a:solidFill>
          <a:ln w="19050">
            <a:solidFill>
              <a:schemeClr val="lt1"/>
            </a:solidFill>
          </a:ln>
          <a:effectLst/>
        </c:spPr>
      </c:pivotFmt>
      <c:pivotFmt>
        <c:idx val="211"/>
        <c:spPr>
          <a:solidFill>
            <a:schemeClr val="accent1"/>
          </a:solidFill>
          <a:ln w="19050">
            <a:solidFill>
              <a:schemeClr val="lt1"/>
            </a:solidFill>
          </a:ln>
          <a:effectLst/>
        </c:spPr>
      </c:pivotFmt>
      <c:pivotFmt>
        <c:idx val="212"/>
        <c:spPr>
          <a:solidFill>
            <a:schemeClr val="accent1"/>
          </a:solidFill>
          <a:ln w="19050">
            <a:solidFill>
              <a:schemeClr val="lt1"/>
            </a:solidFill>
          </a:ln>
          <a:effectLst/>
        </c:spPr>
      </c:pivotFmt>
      <c:pivotFmt>
        <c:idx val="213"/>
        <c:spPr>
          <a:solidFill>
            <a:schemeClr val="accent1"/>
          </a:solidFill>
          <a:ln w="19050">
            <a:solidFill>
              <a:schemeClr val="lt1"/>
            </a:solidFill>
          </a:ln>
          <a:effectLst/>
        </c:spPr>
      </c:pivotFmt>
      <c:pivotFmt>
        <c:idx val="214"/>
        <c:spPr>
          <a:solidFill>
            <a:schemeClr val="accent1"/>
          </a:solidFill>
          <a:ln w="19050">
            <a:solidFill>
              <a:schemeClr val="lt1"/>
            </a:solidFill>
          </a:ln>
          <a:effectLst/>
        </c:spPr>
      </c:pivotFmt>
      <c:pivotFmt>
        <c:idx val="215"/>
        <c:spPr>
          <a:solidFill>
            <a:schemeClr val="accent1"/>
          </a:solidFill>
          <a:ln w="19050">
            <a:solidFill>
              <a:schemeClr val="lt1"/>
            </a:solidFill>
          </a:ln>
          <a:effectLst/>
        </c:spPr>
      </c:pivotFmt>
      <c:pivotFmt>
        <c:idx val="216"/>
        <c:spPr>
          <a:solidFill>
            <a:schemeClr val="accent1"/>
          </a:solidFill>
          <a:ln w="19050">
            <a:solidFill>
              <a:schemeClr val="lt1"/>
            </a:solidFill>
          </a:ln>
          <a:effectLst/>
        </c:spPr>
      </c:pivotFmt>
      <c:pivotFmt>
        <c:idx val="217"/>
        <c:spPr>
          <a:solidFill>
            <a:schemeClr val="accent1"/>
          </a:solidFill>
          <a:ln w="19050">
            <a:solidFill>
              <a:schemeClr val="lt1"/>
            </a:solidFill>
          </a:ln>
          <a:effectLst/>
        </c:spPr>
      </c:pivotFmt>
      <c:pivotFmt>
        <c:idx val="218"/>
        <c:spPr>
          <a:solidFill>
            <a:schemeClr val="accent1"/>
          </a:solidFill>
          <a:ln w="19050">
            <a:solidFill>
              <a:schemeClr val="lt1"/>
            </a:solidFill>
          </a:ln>
          <a:effectLst/>
        </c:spPr>
      </c:pivotFmt>
      <c:pivotFmt>
        <c:idx val="219"/>
        <c:spPr>
          <a:solidFill>
            <a:schemeClr val="accent1"/>
          </a:solidFill>
          <a:ln w="19050">
            <a:solidFill>
              <a:schemeClr val="lt1"/>
            </a:solidFill>
          </a:ln>
          <a:effectLst/>
        </c:spPr>
      </c:pivotFmt>
      <c:pivotFmt>
        <c:idx val="220"/>
        <c:spPr>
          <a:solidFill>
            <a:schemeClr val="accent1"/>
          </a:solidFill>
          <a:ln w="19050">
            <a:solidFill>
              <a:schemeClr val="lt1"/>
            </a:solidFill>
          </a:ln>
          <a:effectLst/>
        </c:spPr>
      </c:pivotFmt>
      <c:pivotFmt>
        <c:idx val="221"/>
        <c:spPr>
          <a:solidFill>
            <a:schemeClr val="accent1"/>
          </a:solidFill>
          <a:ln w="19050">
            <a:solidFill>
              <a:schemeClr val="lt1"/>
            </a:solidFill>
          </a:ln>
          <a:effectLst/>
        </c:spPr>
      </c:pivotFmt>
      <c:pivotFmt>
        <c:idx val="222"/>
        <c:spPr>
          <a:solidFill>
            <a:schemeClr val="accent1"/>
          </a:solidFill>
          <a:ln w="19050">
            <a:solidFill>
              <a:schemeClr val="lt1"/>
            </a:solidFill>
          </a:ln>
          <a:effectLst/>
        </c:spPr>
      </c:pivotFmt>
      <c:pivotFmt>
        <c:idx val="223"/>
        <c:spPr>
          <a:solidFill>
            <a:schemeClr val="accent1"/>
          </a:solidFill>
          <a:ln w="19050">
            <a:solidFill>
              <a:schemeClr val="lt1"/>
            </a:solidFill>
          </a:ln>
          <a:effectLst/>
        </c:spPr>
      </c:pivotFmt>
      <c:pivotFmt>
        <c:idx val="224"/>
        <c:spPr>
          <a:solidFill>
            <a:schemeClr val="accent1"/>
          </a:solidFill>
          <a:ln w="19050">
            <a:solidFill>
              <a:schemeClr val="lt1"/>
            </a:solidFill>
          </a:ln>
          <a:effectLst/>
        </c:spPr>
      </c:pivotFmt>
      <c:pivotFmt>
        <c:idx val="225"/>
        <c:spPr>
          <a:solidFill>
            <a:schemeClr val="accent1"/>
          </a:solidFill>
          <a:ln w="19050">
            <a:solidFill>
              <a:schemeClr val="lt1"/>
            </a:solidFill>
          </a:ln>
          <a:effectLst/>
        </c:spPr>
      </c:pivotFmt>
      <c:pivotFmt>
        <c:idx val="226"/>
        <c:spPr>
          <a:solidFill>
            <a:schemeClr val="accent1"/>
          </a:solidFill>
          <a:ln w="19050">
            <a:solidFill>
              <a:schemeClr val="lt1"/>
            </a:solidFill>
          </a:ln>
          <a:effectLst/>
        </c:spPr>
      </c:pivotFmt>
      <c:pivotFmt>
        <c:idx val="227"/>
        <c:spPr>
          <a:solidFill>
            <a:schemeClr val="accent1"/>
          </a:solidFill>
          <a:ln w="19050">
            <a:solidFill>
              <a:schemeClr val="lt1"/>
            </a:solidFill>
          </a:ln>
          <a:effectLst/>
        </c:spPr>
      </c:pivotFmt>
      <c:pivotFmt>
        <c:idx val="228"/>
        <c:spPr>
          <a:solidFill>
            <a:schemeClr val="accent1"/>
          </a:solidFill>
          <a:ln w="19050">
            <a:solidFill>
              <a:schemeClr val="lt1"/>
            </a:solidFill>
          </a:ln>
          <a:effectLst/>
        </c:spPr>
      </c:pivotFmt>
      <c:pivotFmt>
        <c:idx val="229"/>
        <c:spPr>
          <a:solidFill>
            <a:schemeClr val="accent1"/>
          </a:solidFill>
          <a:ln w="19050">
            <a:solidFill>
              <a:schemeClr val="lt1"/>
            </a:solidFill>
          </a:ln>
          <a:effectLst/>
        </c:spPr>
      </c:pivotFmt>
      <c:pivotFmt>
        <c:idx val="230"/>
        <c:spPr>
          <a:solidFill>
            <a:schemeClr val="accent1"/>
          </a:solidFill>
          <a:ln w="19050">
            <a:solidFill>
              <a:schemeClr val="lt1"/>
            </a:solidFill>
          </a:ln>
          <a:effectLst/>
        </c:spPr>
      </c:pivotFmt>
      <c:pivotFmt>
        <c:idx val="231"/>
        <c:spPr>
          <a:solidFill>
            <a:schemeClr val="accent1"/>
          </a:solidFill>
          <a:ln w="19050">
            <a:solidFill>
              <a:schemeClr val="lt1"/>
            </a:solidFill>
          </a:ln>
          <a:effectLst/>
        </c:spPr>
      </c:pivotFmt>
      <c:pivotFmt>
        <c:idx val="232"/>
        <c:spPr>
          <a:solidFill>
            <a:schemeClr val="accent1"/>
          </a:solidFill>
          <a:ln w="19050">
            <a:solidFill>
              <a:schemeClr val="lt1"/>
            </a:solidFill>
          </a:ln>
          <a:effectLst/>
        </c:spPr>
      </c:pivotFmt>
      <c:pivotFmt>
        <c:idx val="233"/>
        <c:spPr>
          <a:solidFill>
            <a:schemeClr val="accent1"/>
          </a:solidFill>
          <a:ln w="19050">
            <a:solidFill>
              <a:schemeClr val="lt1"/>
            </a:solidFill>
          </a:ln>
          <a:effectLst/>
        </c:spPr>
      </c:pivotFmt>
      <c:pivotFmt>
        <c:idx val="234"/>
        <c:spPr>
          <a:solidFill>
            <a:schemeClr val="accent1"/>
          </a:solidFill>
          <a:ln w="19050">
            <a:solidFill>
              <a:schemeClr val="lt1"/>
            </a:solidFill>
          </a:ln>
          <a:effectLst/>
        </c:spPr>
      </c:pivotFmt>
      <c:pivotFmt>
        <c:idx val="235"/>
        <c:spPr>
          <a:solidFill>
            <a:schemeClr val="accent1"/>
          </a:solidFill>
          <a:ln w="19050">
            <a:solidFill>
              <a:schemeClr val="lt1"/>
            </a:solidFill>
          </a:ln>
          <a:effectLst/>
        </c:spPr>
      </c:pivotFmt>
      <c:pivotFmt>
        <c:idx val="236"/>
        <c:spPr>
          <a:solidFill>
            <a:schemeClr val="accent1"/>
          </a:solidFill>
          <a:ln w="19050">
            <a:solidFill>
              <a:schemeClr val="lt1"/>
            </a:solidFill>
          </a:ln>
          <a:effectLst/>
        </c:spPr>
      </c:pivotFmt>
      <c:pivotFmt>
        <c:idx val="237"/>
        <c:spPr>
          <a:solidFill>
            <a:schemeClr val="accent1"/>
          </a:solidFill>
          <a:ln w="19050">
            <a:solidFill>
              <a:schemeClr val="lt1"/>
            </a:solidFill>
          </a:ln>
          <a:effectLst/>
        </c:spPr>
      </c:pivotFmt>
      <c:pivotFmt>
        <c:idx val="238"/>
        <c:spPr>
          <a:solidFill>
            <a:schemeClr val="accent1"/>
          </a:solidFill>
          <a:ln w="19050">
            <a:solidFill>
              <a:schemeClr val="lt1"/>
            </a:solidFill>
          </a:ln>
          <a:effectLst/>
        </c:spPr>
      </c:pivotFmt>
      <c:pivotFmt>
        <c:idx val="239"/>
        <c:spPr>
          <a:solidFill>
            <a:schemeClr val="accent1"/>
          </a:solidFill>
          <a:ln w="19050">
            <a:solidFill>
              <a:schemeClr val="lt1"/>
            </a:solidFill>
          </a:ln>
          <a:effectLst/>
        </c:spPr>
      </c:pivotFmt>
      <c:pivotFmt>
        <c:idx val="240"/>
        <c:spPr>
          <a:solidFill>
            <a:schemeClr val="accent1"/>
          </a:solidFill>
          <a:ln w="19050">
            <a:solidFill>
              <a:schemeClr val="lt1"/>
            </a:solidFill>
          </a:ln>
          <a:effectLst/>
        </c:spPr>
      </c:pivotFmt>
      <c:pivotFmt>
        <c:idx val="241"/>
        <c:spPr>
          <a:solidFill>
            <a:schemeClr val="accent1"/>
          </a:solidFill>
          <a:ln w="19050">
            <a:solidFill>
              <a:schemeClr val="lt1"/>
            </a:solidFill>
          </a:ln>
          <a:effectLst/>
        </c:spPr>
      </c:pivotFmt>
      <c:pivotFmt>
        <c:idx val="242"/>
        <c:spPr>
          <a:solidFill>
            <a:schemeClr val="accent1"/>
          </a:solidFill>
          <a:ln w="19050">
            <a:solidFill>
              <a:schemeClr val="lt1"/>
            </a:solidFill>
          </a:ln>
          <a:effectLst/>
        </c:spPr>
      </c:pivotFmt>
      <c:pivotFmt>
        <c:idx val="243"/>
        <c:spPr>
          <a:solidFill>
            <a:schemeClr val="accent1"/>
          </a:solidFill>
          <a:ln w="19050">
            <a:solidFill>
              <a:schemeClr val="lt1"/>
            </a:solidFill>
          </a:ln>
          <a:effectLst/>
        </c:spPr>
      </c:pivotFmt>
      <c:pivotFmt>
        <c:idx val="244"/>
        <c:spPr>
          <a:solidFill>
            <a:schemeClr val="accent1"/>
          </a:solidFill>
          <a:ln w="19050">
            <a:solidFill>
              <a:schemeClr val="lt1"/>
            </a:solidFill>
          </a:ln>
          <a:effectLst/>
        </c:spPr>
      </c:pivotFmt>
      <c:pivotFmt>
        <c:idx val="245"/>
        <c:spPr>
          <a:solidFill>
            <a:schemeClr val="accent1"/>
          </a:solidFill>
          <a:ln w="19050">
            <a:solidFill>
              <a:schemeClr val="lt1"/>
            </a:solidFill>
          </a:ln>
          <a:effectLst/>
        </c:spPr>
      </c:pivotFmt>
      <c:pivotFmt>
        <c:idx val="246"/>
        <c:spPr>
          <a:solidFill>
            <a:schemeClr val="accent1"/>
          </a:solidFill>
          <a:ln w="19050">
            <a:solidFill>
              <a:schemeClr val="lt1"/>
            </a:solidFill>
          </a:ln>
          <a:effectLst/>
        </c:spPr>
      </c:pivotFmt>
      <c:pivotFmt>
        <c:idx val="247"/>
        <c:spPr>
          <a:solidFill>
            <a:schemeClr val="accent1"/>
          </a:solidFill>
          <a:ln w="19050">
            <a:solidFill>
              <a:schemeClr val="lt1"/>
            </a:solidFill>
          </a:ln>
          <a:effectLst/>
        </c:spPr>
      </c:pivotFmt>
      <c:pivotFmt>
        <c:idx val="248"/>
        <c:spPr>
          <a:solidFill>
            <a:schemeClr val="accent1"/>
          </a:solidFill>
          <a:ln w="19050">
            <a:solidFill>
              <a:schemeClr val="lt1"/>
            </a:solidFill>
          </a:ln>
          <a:effectLst/>
        </c:spPr>
      </c:pivotFmt>
      <c:pivotFmt>
        <c:idx val="249"/>
        <c:spPr>
          <a:solidFill>
            <a:schemeClr val="accent1"/>
          </a:solidFill>
          <a:ln w="19050">
            <a:solidFill>
              <a:schemeClr val="lt1"/>
            </a:solidFill>
          </a:ln>
          <a:effectLst/>
        </c:spPr>
      </c:pivotFmt>
      <c:pivotFmt>
        <c:idx val="250"/>
        <c:spPr>
          <a:solidFill>
            <a:schemeClr val="accent1"/>
          </a:solidFill>
          <a:ln w="19050">
            <a:solidFill>
              <a:schemeClr val="lt1"/>
            </a:solidFill>
          </a:ln>
          <a:effectLst/>
        </c:spPr>
      </c:pivotFmt>
      <c:pivotFmt>
        <c:idx val="251"/>
        <c:spPr>
          <a:solidFill>
            <a:schemeClr val="accent1"/>
          </a:solidFill>
          <a:ln w="19050">
            <a:solidFill>
              <a:schemeClr val="lt1"/>
            </a:solidFill>
          </a:ln>
          <a:effectLst/>
        </c:spPr>
      </c:pivotFmt>
      <c:pivotFmt>
        <c:idx val="252"/>
        <c:spPr>
          <a:solidFill>
            <a:schemeClr val="accent1"/>
          </a:solidFill>
          <a:ln w="19050">
            <a:solidFill>
              <a:schemeClr val="lt1"/>
            </a:solidFill>
          </a:ln>
          <a:effectLst/>
        </c:spPr>
      </c:pivotFmt>
      <c:pivotFmt>
        <c:idx val="253"/>
        <c:spPr>
          <a:solidFill>
            <a:schemeClr val="accent1"/>
          </a:solidFill>
          <a:ln w="19050">
            <a:solidFill>
              <a:schemeClr val="lt1"/>
            </a:solidFill>
          </a:ln>
          <a:effectLst/>
        </c:spPr>
      </c:pivotFmt>
      <c:pivotFmt>
        <c:idx val="254"/>
        <c:spPr>
          <a:solidFill>
            <a:schemeClr val="accent1"/>
          </a:solidFill>
          <a:ln w="19050">
            <a:solidFill>
              <a:schemeClr val="lt1"/>
            </a:solidFill>
          </a:ln>
          <a:effectLst/>
        </c:spPr>
      </c:pivotFmt>
      <c:pivotFmt>
        <c:idx val="255"/>
        <c:spPr>
          <a:solidFill>
            <a:schemeClr val="accent1"/>
          </a:solidFill>
          <a:ln w="19050">
            <a:solidFill>
              <a:schemeClr val="lt1"/>
            </a:solidFill>
          </a:ln>
          <a:effectLst/>
        </c:spPr>
      </c:pivotFmt>
      <c:pivotFmt>
        <c:idx val="256"/>
        <c:spPr>
          <a:solidFill>
            <a:schemeClr val="accent1"/>
          </a:solidFill>
          <a:ln w="19050">
            <a:solidFill>
              <a:schemeClr val="lt1"/>
            </a:solidFill>
          </a:ln>
          <a:effectLst/>
        </c:spPr>
      </c:pivotFmt>
      <c:pivotFmt>
        <c:idx val="257"/>
        <c:spPr>
          <a:solidFill>
            <a:schemeClr val="accent1"/>
          </a:solidFill>
          <a:ln w="19050">
            <a:solidFill>
              <a:schemeClr val="lt1"/>
            </a:solidFill>
          </a:ln>
          <a:effectLst/>
        </c:spPr>
      </c:pivotFmt>
      <c:pivotFmt>
        <c:idx val="258"/>
        <c:spPr>
          <a:solidFill>
            <a:schemeClr val="accent1"/>
          </a:solidFill>
          <a:ln w="19050">
            <a:solidFill>
              <a:schemeClr val="lt1"/>
            </a:solidFill>
          </a:ln>
          <a:effectLst/>
        </c:spPr>
      </c:pivotFmt>
      <c:pivotFmt>
        <c:idx val="259"/>
        <c:spPr>
          <a:solidFill>
            <a:schemeClr val="accent1"/>
          </a:solidFill>
          <a:ln w="19050">
            <a:solidFill>
              <a:schemeClr val="lt1"/>
            </a:solidFill>
          </a:ln>
          <a:effectLst/>
        </c:spPr>
      </c:pivotFmt>
      <c:pivotFmt>
        <c:idx val="260"/>
        <c:spPr>
          <a:solidFill>
            <a:schemeClr val="accent1"/>
          </a:solidFill>
          <a:ln w="19050">
            <a:solidFill>
              <a:schemeClr val="lt1"/>
            </a:solidFill>
          </a:ln>
          <a:effectLst/>
        </c:spPr>
      </c:pivotFmt>
      <c:pivotFmt>
        <c:idx val="261"/>
        <c:spPr>
          <a:solidFill>
            <a:schemeClr val="accent1"/>
          </a:solidFill>
          <a:ln w="19050">
            <a:solidFill>
              <a:schemeClr val="lt1"/>
            </a:solidFill>
          </a:ln>
          <a:effectLst/>
        </c:spPr>
      </c:pivotFmt>
      <c:pivotFmt>
        <c:idx val="262"/>
        <c:spPr>
          <a:solidFill>
            <a:schemeClr val="accent1"/>
          </a:solidFill>
          <a:ln w="19050">
            <a:solidFill>
              <a:schemeClr val="lt1"/>
            </a:solidFill>
          </a:ln>
          <a:effectLst/>
        </c:spPr>
      </c:pivotFmt>
      <c:pivotFmt>
        <c:idx val="263"/>
        <c:spPr>
          <a:solidFill>
            <a:schemeClr val="accent1"/>
          </a:solidFill>
          <a:ln w="19050">
            <a:solidFill>
              <a:schemeClr val="lt1"/>
            </a:solidFill>
          </a:ln>
          <a:effectLst/>
        </c:spPr>
      </c:pivotFmt>
      <c:pivotFmt>
        <c:idx val="264"/>
        <c:spPr>
          <a:solidFill>
            <a:schemeClr val="accent1"/>
          </a:solidFill>
          <a:ln w="19050">
            <a:solidFill>
              <a:schemeClr val="lt1"/>
            </a:solidFill>
          </a:ln>
          <a:effectLst/>
        </c:spPr>
      </c:pivotFmt>
      <c:pivotFmt>
        <c:idx val="265"/>
        <c:spPr>
          <a:solidFill>
            <a:schemeClr val="accent1"/>
          </a:solidFill>
          <a:ln w="19050">
            <a:solidFill>
              <a:schemeClr val="lt1"/>
            </a:solidFill>
          </a:ln>
          <a:effectLst/>
        </c:spPr>
      </c:pivotFmt>
      <c:pivotFmt>
        <c:idx val="266"/>
        <c:spPr>
          <a:solidFill>
            <a:schemeClr val="accent1"/>
          </a:solidFill>
          <a:ln w="19050">
            <a:solidFill>
              <a:schemeClr val="lt1"/>
            </a:solidFill>
          </a:ln>
          <a:effectLst/>
        </c:spPr>
      </c:pivotFmt>
      <c:pivotFmt>
        <c:idx val="267"/>
        <c:spPr>
          <a:solidFill>
            <a:schemeClr val="accent1"/>
          </a:solidFill>
          <a:ln w="19050">
            <a:solidFill>
              <a:schemeClr val="lt1"/>
            </a:solidFill>
          </a:ln>
          <a:effectLst/>
        </c:spPr>
        <c:marker>
          <c:symbol val="none"/>
        </c:marker>
        <c:dLbl>
          <c:idx val="0"/>
          <c:dLblPos val="bestFit"/>
          <c:showLegendKey val="0"/>
          <c:showVal val="0"/>
          <c:showCatName val="1"/>
          <c:showSerName val="0"/>
          <c:showPercent val="1"/>
          <c:showBubbleSize val="0"/>
          <c:extLst>
            <c:ext xmlns:c15="http://schemas.microsoft.com/office/drawing/2012/chart" uri="{CE6537A1-D6FC-4f65-9D91-7224C49458BB}"/>
          </c:extLst>
        </c:dLbl>
      </c:pivotFmt>
      <c:pivotFmt>
        <c:idx val="26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26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27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27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27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27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27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27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27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27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27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27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28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28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28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28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28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28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28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28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28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28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29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29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292"/>
        <c:spPr>
          <a:solidFill>
            <a:schemeClr val="accent1"/>
          </a:solidFill>
          <a:ln w="19050">
            <a:solidFill>
              <a:schemeClr val="lt1"/>
            </a:solidFill>
          </a:ln>
          <a:effectLst/>
        </c:spPr>
        <c:marker>
          <c:symbol val="none"/>
        </c:marker>
        <c:dLbl>
          <c:idx val="0"/>
          <c:dLblPos val="bestFit"/>
          <c:showLegendKey val="0"/>
          <c:showVal val="0"/>
          <c:showCatName val="1"/>
          <c:showSerName val="0"/>
          <c:showPercent val="1"/>
          <c:showBubbleSize val="0"/>
          <c:extLst>
            <c:ext xmlns:c15="http://schemas.microsoft.com/office/drawing/2012/chart" uri="{CE6537A1-D6FC-4f65-9D91-7224C49458BB}"/>
          </c:extLst>
        </c:dLbl>
      </c:pivotFmt>
      <c:pivotFmt>
        <c:idx val="293"/>
        <c:spPr>
          <a:solidFill>
            <a:schemeClr val="accent1"/>
          </a:solidFill>
          <a:ln w="19050">
            <a:solidFill>
              <a:schemeClr val="lt1"/>
            </a:solidFill>
          </a:ln>
          <a:effectLst/>
        </c:spPr>
        <c:marker>
          <c:symbol val="none"/>
        </c:marker>
        <c:dLbl>
          <c:idx val="0"/>
          <c:dLblPos val="bestFit"/>
          <c:showLegendKey val="0"/>
          <c:showVal val="0"/>
          <c:showCatName val="1"/>
          <c:showSerName val="0"/>
          <c:showPercent val="1"/>
          <c:showBubbleSize val="0"/>
          <c:extLst>
            <c:ext xmlns:c15="http://schemas.microsoft.com/office/drawing/2012/chart" uri="{CE6537A1-D6FC-4f65-9D91-7224C49458BB}"/>
          </c:extLst>
        </c:dLbl>
      </c:pivotFmt>
      <c:pivotFmt>
        <c:idx val="294"/>
        <c:spPr>
          <a:solidFill>
            <a:schemeClr val="accent1"/>
          </a:solidFill>
          <a:ln w="19050">
            <a:solidFill>
              <a:schemeClr val="lt1"/>
            </a:solidFill>
          </a:ln>
          <a:effectLst/>
        </c:spPr>
        <c:marker>
          <c:symbol val="none"/>
        </c:marker>
        <c:dLbl>
          <c:idx val="0"/>
          <c:dLblPos val="bestFit"/>
          <c:showLegendKey val="0"/>
          <c:showVal val="0"/>
          <c:showCatName val="1"/>
          <c:showSerName val="0"/>
          <c:showPercent val="1"/>
          <c:showBubbleSize val="0"/>
          <c:extLst>
            <c:ext xmlns:c15="http://schemas.microsoft.com/office/drawing/2012/chart" uri="{CE6537A1-D6FC-4f65-9D91-7224C49458BB}"/>
          </c:extLst>
        </c:dLbl>
      </c:pivotFmt>
      <c:pivotFmt>
        <c:idx val="295"/>
        <c:spPr>
          <a:solidFill>
            <a:schemeClr val="accent1"/>
          </a:solidFill>
          <a:ln w="19050">
            <a:solidFill>
              <a:schemeClr val="lt1"/>
            </a:solidFill>
          </a:ln>
          <a:effectLst/>
        </c:spPr>
        <c:marker>
          <c:symbol val="none"/>
        </c:marker>
        <c:dLbl>
          <c:idx val="0"/>
          <c:dLblPos val="bestFit"/>
          <c:showLegendKey val="0"/>
          <c:showVal val="0"/>
          <c:showCatName val="1"/>
          <c:showSerName val="0"/>
          <c:showPercent val="1"/>
          <c:showBubbleSize val="0"/>
          <c:extLst>
            <c:ext xmlns:c15="http://schemas.microsoft.com/office/drawing/2012/chart" uri="{CE6537A1-D6FC-4f65-9D91-7224C49458BB}"/>
          </c:extLst>
        </c:dLbl>
      </c:pivotFmt>
      <c:pivotFmt>
        <c:idx val="296"/>
        <c:spPr>
          <a:solidFill>
            <a:schemeClr val="accent1"/>
          </a:solidFill>
          <a:ln w="19050">
            <a:solidFill>
              <a:schemeClr val="lt1"/>
            </a:solidFill>
          </a:ln>
          <a:effectLst/>
        </c:spPr>
        <c:marker>
          <c:symbol val="none"/>
        </c:marker>
        <c:dLbl>
          <c:idx val="0"/>
          <c:dLblPos val="bestFit"/>
          <c:showLegendKey val="0"/>
          <c:showVal val="0"/>
          <c:showCatName val="1"/>
          <c:showSerName val="0"/>
          <c:showPercent val="1"/>
          <c:showBubbleSize val="0"/>
          <c:extLst>
            <c:ext xmlns:c15="http://schemas.microsoft.com/office/drawing/2012/chart" uri="{CE6537A1-D6FC-4f65-9D91-7224C49458BB}"/>
          </c:extLst>
        </c:dLbl>
      </c:pivotFmt>
      <c:pivotFmt>
        <c:idx val="297"/>
        <c:spPr>
          <a:solidFill>
            <a:schemeClr val="accent1"/>
          </a:solidFill>
          <a:ln w="19050">
            <a:solidFill>
              <a:schemeClr val="lt1"/>
            </a:solidFill>
          </a:ln>
          <a:effectLst/>
        </c:spPr>
        <c:marker>
          <c:symbol val="none"/>
        </c:marker>
        <c:dLbl>
          <c:idx val="0"/>
          <c:dLblPos val="bestFit"/>
          <c:showLegendKey val="0"/>
          <c:showVal val="0"/>
          <c:showCatName val="1"/>
          <c:showSerName val="0"/>
          <c:showPercent val="1"/>
          <c:showBubbleSize val="0"/>
          <c:extLst>
            <c:ext xmlns:c15="http://schemas.microsoft.com/office/drawing/2012/chart" uri="{CE6537A1-D6FC-4f65-9D91-7224C49458BB}"/>
          </c:extLst>
        </c:dLbl>
      </c:pivotFmt>
      <c:pivotFmt>
        <c:idx val="298"/>
        <c:spPr>
          <a:solidFill>
            <a:schemeClr val="accent1"/>
          </a:solidFill>
          <a:ln w="19050">
            <a:solidFill>
              <a:schemeClr val="lt1"/>
            </a:solidFill>
          </a:ln>
          <a:effectLst/>
        </c:spPr>
        <c:marker>
          <c:symbol val="none"/>
        </c:marker>
        <c:dLbl>
          <c:idx val="0"/>
          <c:dLblPos val="bestFit"/>
          <c:showLegendKey val="0"/>
          <c:showVal val="0"/>
          <c:showCatName val="1"/>
          <c:showSerName val="0"/>
          <c:showPercent val="1"/>
          <c:showBubbleSize val="0"/>
          <c:extLst>
            <c:ext xmlns:c15="http://schemas.microsoft.com/office/drawing/2012/chart" uri="{CE6537A1-D6FC-4f65-9D91-7224C49458BB}"/>
          </c:extLst>
        </c:dLbl>
      </c:pivotFmt>
      <c:pivotFmt>
        <c:idx val="299"/>
        <c:spPr>
          <a:solidFill>
            <a:schemeClr val="accent1"/>
          </a:solidFill>
          <a:ln w="19050">
            <a:solidFill>
              <a:schemeClr val="lt1"/>
            </a:solidFill>
          </a:ln>
          <a:effectLst/>
        </c:spPr>
        <c:marker>
          <c:symbol val="none"/>
        </c:marker>
        <c:dLbl>
          <c:idx val="0"/>
          <c:dLblPos val="bestFit"/>
          <c:showLegendKey val="0"/>
          <c:showVal val="0"/>
          <c:showCatName val="1"/>
          <c:showSerName val="0"/>
          <c:showPercent val="1"/>
          <c:showBubbleSize val="0"/>
          <c:extLst>
            <c:ext xmlns:c15="http://schemas.microsoft.com/office/drawing/2012/chart" uri="{CE6537A1-D6FC-4f65-9D91-7224C49458BB}"/>
          </c:extLst>
        </c:dLbl>
      </c:pivotFmt>
      <c:pivotFmt>
        <c:idx val="300"/>
        <c:spPr>
          <a:solidFill>
            <a:schemeClr val="accent1"/>
          </a:solidFill>
          <a:ln w="19050">
            <a:solidFill>
              <a:schemeClr val="lt1"/>
            </a:solidFill>
          </a:ln>
          <a:effectLst/>
        </c:spPr>
        <c:marker>
          <c:symbol val="none"/>
        </c:marker>
        <c:dLbl>
          <c:idx val="0"/>
          <c:dLblPos val="bestFit"/>
          <c:showLegendKey val="0"/>
          <c:showVal val="0"/>
          <c:showCatName val="1"/>
          <c:showSerName val="0"/>
          <c:showPercent val="1"/>
          <c:showBubbleSize val="0"/>
          <c:extLst>
            <c:ext xmlns:c15="http://schemas.microsoft.com/office/drawing/2012/chart" uri="{CE6537A1-D6FC-4f65-9D91-7224C49458BB}"/>
          </c:extLst>
        </c:dLbl>
      </c:pivotFmt>
      <c:pivotFmt>
        <c:idx val="301"/>
        <c:spPr>
          <a:solidFill>
            <a:schemeClr val="accent1"/>
          </a:solidFill>
          <a:ln w="19050">
            <a:solidFill>
              <a:schemeClr val="lt1"/>
            </a:solidFill>
          </a:ln>
          <a:effectLst/>
        </c:spPr>
        <c:marker>
          <c:symbol val="none"/>
        </c:marker>
        <c:dLbl>
          <c:idx val="0"/>
          <c:dLblPos val="bestFit"/>
          <c:showLegendKey val="0"/>
          <c:showVal val="0"/>
          <c:showCatName val="1"/>
          <c:showSerName val="0"/>
          <c:showPercent val="1"/>
          <c:showBubbleSize val="0"/>
          <c:extLst>
            <c:ext xmlns:c15="http://schemas.microsoft.com/office/drawing/2012/chart" uri="{CE6537A1-D6FC-4f65-9D91-7224C49458BB}"/>
          </c:extLst>
        </c:dLbl>
      </c:pivotFmt>
      <c:pivotFmt>
        <c:idx val="302"/>
        <c:spPr>
          <a:solidFill>
            <a:schemeClr val="accent1"/>
          </a:solidFill>
          <a:ln w="19050">
            <a:solidFill>
              <a:schemeClr val="lt1"/>
            </a:solidFill>
          </a:ln>
          <a:effectLst/>
        </c:spPr>
        <c:marker>
          <c:symbol val="none"/>
        </c:marker>
        <c:dLbl>
          <c:idx val="0"/>
          <c:dLblPos val="bestFit"/>
          <c:showLegendKey val="0"/>
          <c:showVal val="0"/>
          <c:showCatName val="1"/>
          <c:showSerName val="0"/>
          <c:showPercent val="1"/>
          <c:showBubbleSize val="0"/>
          <c:extLst>
            <c:ext xmlns:c15="http://schemas.microsoft.com/office/drawing/2012/chart" uri="{CE6537A1-D6FC-4f65-9D91-7224C49458BB}"/>
          </c:extLst>
        </c:dLbl>
      </c:pivotFmt>
      <c:pivotFmt>
        <c:idx val="303"/>
        <c:spPr>
          <a:solidFill>
            <a:schemeClr val="accent1"/>
          </a:solidFill>
          <a:ln w="19050">
            <a:solidFill>
              <a:schemeClr val="lt1"/>
            </a:solidFill>
          </a:ln>
          <a:effectLst/>
        </c:spPr>
        <c:marker>
          <c:symbol val="none"/>
        </c:marker>
        <c:dLbl>
          <c:idx val="0"/>
          <c:dLblPos val="bestFit"/>
          <c:showLegendKey val="0"/>
          <c:showVal val="0"/>
          <c:showCatName val="1"/>
          <c:showSerName val="0"/>
          <c:showPercent val="1"/>
          <c:showBubbleSize val="0"/>
          <c:extLst>
            <c:ext xmlns:c15="http://schemas.microsoft.com/office/drawing/2012/chart" uri="{CE6537A1-D6FC-4f65-9D91-7224C49458BB}"/>
          </c:extLst>
        </c:dLbl>
      </c:pivotFmt>
      <c:pivotFmt>
        <c:idx val="304"/>
        <c:spPr>
          <a:solidFill>
            <a:schemeClr val="accent1"/>
          </a:solidFill>
          <a:ln w="19050">
            <a:solidFill>
              <a:schemeClr val="lt1"/>
            </a:solidFill>
          </a:ln>
          <a:effectLst/>
        </c:spPr>
        <c:marker>
          <c:symbol val="none"/>
        </c:marker>
        <c:dLbl>
          <c:idx val="0"/>
          <c:dLblPos val="bestFit"/>
          <c:showLegendKey val="0"/>
          <c:showVal val="0"/>
          <c:showCatName val="1"/>
          <c:showSerName val="0"/>
          <c:showPercent val="1"/>
          <c:showBubbleSize val="0"/>
          <c:extLst>
            <c:ext xmlns:c15="http://schemas.microsoft.com/office/drawing/2012/chart" uri="{CE6537A1-D6FC-4f65-9D91-7224C49458BB}"/>
          </c:extLst>
        </c:dLbl>
      </c:pivotFmt>
      <c:pivotFmt>
        <c:idx val="305"/>
        <c:spPr>
          <a:solidFill>
            <a:schemeClr val="accent1"/>
          </a:solidFill>
          <a:ln w="19050">
            <a:solidFill>
              <a:schemeClr val="lt1"/>
            </a:solidFill>
          </a:ln>
          <a:effectLst/>
        </c:spPr>
        <c:marker>
          <c:symbol val="none"/>
        </c:marker>
        <c:dLbl>
          <c:idx val="0"/>
          <c:dLblPos val="bestFit"/>
          <c:showLegendKey val="0"/>
          <c:showVal val="0"/>
          <c:showCatName val="1"/>
          <c:showSerName val="0"/>
          <c:showPercent val="1"/>
          <c:showBubbleSize val="0"/>
          <c:extLst>
            <c:ext xmlns:c15="http://schemas.microsoft.com/office/drawing/2012/chart" uri="{CE6537A1-D6FC-4f65-9D91-7224C49458BB}"/>
          </c:extLst>
        </c:dLbl>
      </c:pivotFmt>
      <c:pivotFmt>
        <c:idx val="306"/>
        <c:spPr>
          <a:solidFill>
            <a:schemeClr val="accent1"/>
          </a:solidFill>
          <a:ln w="19050">
            <a:solidFill>
              <a:schemeClr val="lt1"/>
            </a:solidFill>
          </a:ln>
          <a:effectLst/>
        </c:spPr>
        <c:marker>
          <c:symbol val="none"/>
        </c:marker>
        <c:dLbl>
          <c:idx val="0"/>
          <c:dLblPos val="bestFit"/>
          <c:showLegendKey val="0"/>
          <c:showVal val="0"/>
          <c:showCatName val="1"/>
          <c:showSerName val="0"/>
          <c:showPercent val="1"/>
          <c:showBubbleSize val="0"/>
          <c:extLst>
            <c:ext xmlns:c15="http://schemas.microsoft.com/office/drawing/2012/chart" uri="{CE6537A1-D6FC-4f65-9D91-7224C49458BB}"/>
          </c:extLst>
        </c:dLbl>
      </c:pivotFmt>
      <c:pivotFmt>
        <c:idx val="307"/>
        <c:spPr>
          <a:solidFill>
            <a:schemeClr val="accent1"/>
          </a:solidFill>
          <a:ln w="19050">
            <a:solidFill>
              <a:schemeClr val="lt1"/>
            </a:solidFill>
          </a:ln>
          <a:effectLst/>
        </c:spPr>
        <c:marker>
          <c:symbol val="none"/>
        </c:marker>
        <c:dLbl>
          <c:idx val="0"/>
          <c:dLblPos val="bestFit"/>
          <c:showLegendKey val="0"/>
          <c:showVal val="0"/>
          <c:showCatName val="1"/>
          <c:showSerName val="0"/>
          <c:showPercent val="1"/>
          <c:showBubbleSize val="0"/>
          <c:extLst>
            <c:ext xmlns:c15="http://schemas.microsoft.com/office/drawing/2012/chart" uri="{CE6537A1-D6FC-4f65-9D91-7224C49458BB}"/>
          </c:extLst>
        </c:dLbl>
      </c:pivotFmt>
      <c:pivotFmt>
        <c:idx val="308"/>
        <c:spPr>
          <a:solidFill>
            <a:schemeClr val="accent1"/>
          </a:solidFill>
          <a:ln w="19050">
            <a:solidFill>
              <a:schemeClr val="lt1"/>
            </a:solidFill>
          </a:ln>
          <a:effectLst/>
        </c:spPr>
        <c:marker>
          <c:symbol val="none"/>
        </c:marker>
        <c:dLbl>
          <c:idx val="0"/>
          <c:dLblPos val="bestFit"/>
          <c:showLegendKey val="0"/>
          <c:showVal val="0"/>
          <c:showCatName val="1"/>
          <c:showSerName val="0"/>
          <c:showPercent val="1"/>
          <c:showBubbleSize val="0"/>
          <c:extLst>
            <c:ext xmlns:c15="http://schemas.microsoft.com/office/drawing/2012/chart" uri="{CE6537A1-D6FC-4f65-9D91-7224C49458BB}"/>
          </c:extLst>
        </c:dLbl>
      </c:pivotFmt>
      <c:pivotFmt>
        <c:idx val="309"/>
        <c:spPr>
          <a:solidFill>
            <a:schemeClr val="accent1"/>
          </a:solidFill>
          <a:ln w="19050">
            <a:solidFill>
              <a:schemeClr val="lt1"/>
            </a:solidFill>
          </a:ln>
          <a:effectLst/>
        </c:spPr>
        <c:marker>
          <c:symbol val="none"/>
        </c:marker>
        <c:dLbl>
          <c:idx val="0"/>
          <c:dLblPos val="bestFit"/>
          <c:showLegendKey val="0"/>
          <c:showVal val="0"/>
          <c:showCatName val="1"/>
          <c:showSerName val="0"/>
          <c:showPercent val="1"/>
          <c:showBubbleSize val="0"/>
          <c:extLst>
            <c:ext xmlns:c15="http://schemas.microsoft.com/office/drawing/2012/chart" uri="{CE6537A1-D6FC-4f65-9D91-7224C49458BB}"/>
          </c:extLst>
        </c:dLbl>
      </c:pivotFmt>
      <c:pivotFmt>
        <c:idx val="310"/>
        <c:spPr>
          <a:solidFill>
            <a:schemeClr val="accent1"/>
          </a:solidFill>
          <a:ln w="19050">
            <a:solidFill>
              <a:schemeClr val="lt1"/>
            </a:solidFill>
          </a:ln>
          <a:effectLst/>
        </c:spPr>
        <c:marker>
          <c:symbol val="none"/>
        </c:marker>
        <c:dLbl>
          <c:idx val="0"/>
          <c:dLblPos val="bestFit"/>
          <c:showLegendKey val="0"/>
          <c:showVal val="0"/>
          <c:showCatName val="1"/>
          <c:showSerName val="0"/>
          <c:showPercent val="1"/>
          <c:showBubbleSize val="0"/>
          <c:extLst>
            <c:ext xmlns:c15="http://schemas.microsoft.com/office/drawing/2012/chart" uri="{CE6537A1-D6FC-4f65-9D91-7224C49458BB}"/>
          </c:extLst>
        </c:dLbl>
      </c:pivotFmt>
      <c:pivotFmt>
        <c:idx val="311"/>
        <c:spPr>
          <a:solidFill>
            <a:schemeClr val="accent1"/>
          </a:solidFill>
          <a:ln w="19050">
            <a:solidFill>
              <a:schemeClr val="lt1"/>
            </a:solidFill>
          </a:ln>
          <a:effectLst/>
        </c:spPr>
        <c:marker>
          <c:symbol val="none"/>
        </c:marker>
        <c:dLbl>
          <c:idx val="0"/>
          <c:dLblPos val="bestFit"/>
          <c:showLegendKey val="0"/>
          <c:showVal val="0"/>
          <c:showCatName val="1"/>
          <c:showSerName val="0"/>
          <c:showPercent val="1"/>
          <c:showBubbleSize val="0"/>
          <c:extLst>
            <c:ext xmlns:c15="http://schemas.microsoft.com/office/drawing/2012/chart" uri="{CE6537A1-D6FC-4f65-9D91-7224C49458BB}"/>
          </c:extLst>
        </c:dLbl>
      </c:pivotFmt>
      <c:pivotFmt>
        <c:idx val="312"/>
        <c:spPr>
          <a:solidFill>
            <a:schemeClr val="accent1"/>
          </a:solidFill>
          <a:ln w="19050">
            <a:solidFill>
              <a:schemeClr val="lt1"/>
            </a:solidFill>
          </a:ln>
          <a:effectLst/>
        </c:spPr>
        <c:marker>
          <c:symbol val="none"/>
        </c:marker>
        <c:dLbl>
          <c:idx val="0"/>
          <c:dLblPos val="bestFit"/>
          <c:showLegendKey val="0"/>
          <c:showVal val="0"/>
          <c:showCatName val="1"/>
          <c:showSerName val="0"/>
          <c:showPercent val="1"/>
          <c:showBubbleSize val="0"/>
          <c:extLst>
            <c:ext xmlns:c15="http://schemas.microsoft.com/office/drawing/2012/chart" uri="{CE6537A1-D6FC-4f65-9D91-7224C49458BB}"/>
          </c:extLst>
        </c:dLbl>
      </c:pivotFmt>
      <c:pivotFmt>
        <c:idx val="313"/>
        <c:spPr>
          <a:solidFill>
            <a:schemeClr val="accent1"/>
          </a:solidFill>
          <a:ln w="19050">
            <a:solidFill>
              <a:schemeClr val="lt1"/>
            </a:solidFill>
          </a:ln>
          <a:effectLst/>
        </c:spPr>
        <c:marker>
          <c:symbol val="none"/>
        </c:marker>
        <c:dLbl>
          <c:idx val="0"/>
          <c:dLblPos val="bestFit"/>
          <c:showLegendKey val="0"/>
          <c:showVal val="0"/>
          <c:showCatName val="1"/>
          <c:showSerName val="0"/>
          <c:showPercent val="1"/>
          <c:showBubbleSize val="0"/>
          <c:extLst>
            <c:ext xmlns:c15="http://schemas.microsoft.com/office/drawing/2012/chart" uri="{CE6537A1-D6FC-4f65-9D91-7224C49458BB}"/>
          </c:extLst>
        </c:dLbl>
      </c:pivotFmt>
      <c:pivotFmt>
        <c:idx val="314"/>
        <c:spPr>
          <a:solidFill>
            <a:schemeClr val="accent1"/>
          </a:solidFill>
          <a:ln w="19050">
            <a:solidFill>
              <a:schemeClr val="lt1"/>
            </a:solidFill>
          </a:ln>
          <a:effectLst/>
        </c:spPr>
        <c:marker>
          <c:symbol val="none"/>
        </c:marker>
        <c:dLbl>
          <c:idx val="0"/>
          <c:dLblPos val="bestFit"/>
          <c:showLegendKey val="0"/>
          <c:showVal val="0"/>
          <c:showCatName val="1"/>
          <c:showSerName val="0"/>
          <c:showPercent val="1"/>
          <c:showBubbleSize val="0"/>
          <c:extLst>
            <c:ext xmlns:c15="http://schemas.microsoft.com/office/drawing/2012/chart" uri="{CE6537A1-D6FC-4f65-9D91-7224C49458BB}"/>
          </c:extLst>
        </c:dLbl>
      </c:pivotFmt>
      <c:pivotFmt>
        <c:idx val="315"/>
        <c:spPr>
          <a:solidFill>
            <a:schemeClr val="accent1"/>
          </a:solidFill>
          <a:ln w="19050">
            <a:solidFill>
              <a:schemeClr val="lt1"/>
            </a:solidFill>
          </a:ln>
          <a:effectLst/>
        </c:spPr>
        <c:marker>
          <c:symbol val="none"/>
        </c:marker>
        <c:dLbl>
          <c:idx val="0"/>
          <c:dLblPos val="bestFit"/>
          <c:showLegendKey val="0"/>
          <c:showVal val="0"/>
          <c:showCatName val="1"/>
          <c:showSerName val="0"/>
          <c:showPercent val="1"/>
          <c:showBubbleSize val="0"/>
          <c:extLst>
            <c:ext xmlns:c15="http://schemas.microsoft.com/office/drawing/2012/chart" uri="{CE6537A1-D6FC-4f65-9D91-7224C49458BB}"/>
          </c:extLst>
        </c:dLbl>
      </c:pivotFmt>
      <c:pivotFmt>
        <c:idx val="316"/>
        <c:spPr>
          <a:solidFill>
            <a:schemeClr val="accent1"/>
          </a:solidFill>
          <a:ln w="19050">
            <a:solidFill>
              <a:schemeClr val="lt1"/>
            </a:solidFill>
          </a:ln>
          <a:effectLst/>
        </c:spPr>
        <c:marker>
          <c:symbol val="none"/>
        </c:marker>
        <c:dLbl>
          <c:idx val="0"/>
          <c:dLblPos val="bestFit"/>
          <c:showLegendKey val="0"/>
          <c:showVal val="0"/>
          <c:showCatName val="1"/>
          <c:showSerName val="0"/>
          <c:showPercent val="1"/>
          <c:showBubbleSize val="0"/>
          <c:extLst>
            <c:ext xmlns:c15="http://schemas.microsoft.com/office/drawing/2012/chart" uri="{CE6537A1-D6FC-4f65-9D91-7224C49458BB}"/>
          </c:extLst>
        </c:dLbl>
      </c:pivotFmt>
      <c:pivotFmt>
        <c:idx val="317"/>
        <c:spPr>
          <a:solidFill>
            <a:schemeClr val="accent1"/>
          </a:solidFill>
          <a:ln w="19050">
            <a:solidFill>
              <a:schemeClr val="lt1"/>
            </a:solidFill>
          </a:ln>
          <a:effectLst/>
        </c:spPr>
        <c:marker>
          <c:symbol val="none"/>
        </c:marker>
        <c:dLbl>
          <c:idx val="0"/>
          <c:dLblPos val="bestFit"/>
          <c:showLegendKey val="0"/>
          <c:showVal val="0"/>
          <c:showCatName val="1"/>
          <c:showSerName val="0"/>
          <c:showPercent val="1"/>
          <c:showBubbleSize val="0"/>
          <c:extLst>
            <c:ext xmlns:c15="http://schemas.microsoft.com/office/drawing/2012/chart" uri="{CE6537A1-D6FC-4f65-9D91-7224C49458BB}"/>
          </c:extLst>
        </c:dLbl>
      </c:pivotFmt>
      <c:pivotFmt>
        <c:idx val="318"/>
        <c:spPr>
          <a:solidFill>
            <a:schemeClr val="accent1"/>
          </a:solidFill>
          <a:ln w="19050">
            <a:solidFill>
              <a:schemeClr val="lt1"/>
            </a:solidFill>
          </a:ln>
          <a:effectLst/>
        </c:spPr>
        <c:marker>
          <c:symbol val="none"/>
        </c:marker>
        <c:dLbl>
          <c:idx val="0"/>
          <c:dLblPos val="bestFit"/>
          <c:showLegendKey val="0"/>
          <c:showVal val="0"/>
          <c:showCatName val="1"/>
          <c:showSerName val="0"/>
          <c:showPercent val="1"/>
          <c:showBubbleSize val="0"/>
          <c:extLst>
            <c:ext xmlns:c15="http://schemas.microsoft.com/office/drawing/2012/chart" uri="{CE6537A1-D6FC-4f65-9D91-7224C49458BB}"/>
          </c:extLst>
        </c:dLbl>
      </c:pivotFmt>
      <c:pivotFmt>
        <c:idx val="319"/>
        <c:spPr>
          <a:solidFill>
            <a:schemeClr val="accent1"/>
          </a:solidFill>
          <a:ln w="19050">
            <a:solidFill>
              <a:schemeClr val="lt1"/>
            </a:solidFill>
          </a:ln>
          <a:effectLst/>
        </c:spPr>
        <c:marker>
          <c:symbol val="none"/>
        </c:marker>
        <c:dLbl>
          <c:idx val="0"/>
          <c:dLblPos val="bestFit"/>
          <c:showLegendKey val="0"/>
          <c:showVal val="0"/>
          <c:showCatName val="1"/>
          <c:showSerName val="0"/>
          <c:showPercent val="1"/>
          <c:showBubbleSize val="0"/>
          <c:extLst>
            <c:ext xmlns:c15="http://schemas.microsoft.com/office/drawing/2012/chart" uri="{CE6537A1-D6FC-4f65-9D91-7224C49458BB}"/>
          </c:extLst>
        </c:dLbl>
      </c:pivotFmt>
      <c:pivotFmt>
        <c:idx val="320"/>
        <c:spPr>
          <a:solidFill>
            <a:schemeClr val="accent1"/>
          </a:solidFill>
          <a:ln w="19050">
            <a:solidFill>
              <a:schemeClr val="lt1"/>
            </a:solidFill>
          </a:ln>
          <a:effectLst/>
        </c:spPr>
        <c:marker>
          <c:symbol val="none"/>
        </c:marker>
        <c:dLbl>
          <c:idx val="0"/>
          <c:dLblPos val="bestFit"/>
          <c:showLegendKey val="0"/>
          <c:showVal val="0"/>
          <c:showCatName val="1"/>
          <c:showSerName val="0"/>
          <c:showPercent val="1"/>
          <c:showBubbleSize val="0"/>
          <c:extLst>
            <c:ext xmlns:c15="http://schemas.microsoft.com/office/drawing/2012/chart" uri="{CE6537A1-D6FC-4f65-9D91-7224C49458BB}"/>
          </c:extLst>
        </c:dLbl>
      </c:pivotFmt>
      <c:pivotFmt>
        <c:idx val="321"/>
        <c:spPr>
          <a:solidFill>
            <a:schemeClr val="accent1"/>
          </a:solidFill>
          <a:ln w="19050">
            <a:solidFill>
              <a:schemeClr val="lt1"/>
            </a:solidFill>
          </a:ln>
          <a:effectLst/>
        </c:spPr>
        <c:marker>
          <c:symbol val="none"/>
        </c:marker>
        <c:dLbl>
          <c:idx val="0"/>
          <c:dLblPos val="bestFit"/>
          <c:showLegendKey val="0"/>
          <c:showVal val="0"/>
          <c:showCatName val="1"/>
          <c:showSerName val="0"/>
          <c:showPercent val="1"/>
          <c:showBubbleSize val="0"/>
          <c:extLst>
            <c:ext xmlns:c15="http://schemas.microsoft.com/office/drawing/2012/chart" uri="{CE6537A1-D6FC-4f65-9D91-7224C49458BB}"/>
          </c:extLst>
        </c:dLbl>
      </c:pivotFmt>
      <c:pivotFmt>
        <c:idx val="322"/>
        <c:spPr>
          <a:solidFill>
            <a:schemeClr val="accent1"/>
          </a:solidFill>
          <a:ln w="19050">
            <a:solidFill>
              <a:schemeClr val="lt1"/>
            </a:solidFill>
          </a:ln>
          <a:effectLst/>
        </c:spPr>
        <c:marker>
          <c:symbol val="none"/>
        </c:marker>
        <c:dLbl>
          <c:idx val="0"/>
          <c:dLblPos val="bestFit"/>
          <c:showLegendKey val="0"/>
          <c:showVal val="0"/>
          <c:showCatName val="1"/>
          <c:showSerName val="0"/>
          <c:showPercent val="1"/>
          <c:showBubbleSize val="0"/>
          <c:extLst>
            <c:ext xmlns:c15="http://schemas.microsoft.com/office/drawing/2012/chart" uri="{CE6537A1-D6FC-4f65-9D91-7224C49458BB}"/>
          </c:extLst>
        </c:dLbl>
      </c:pivotFmt>
      <c:pivotFmt>
        <c:idx val="323"/>
        <c:spPr>
          <a:solidFill>
            <a:schemeClr val="accent1"/>
          </a:solidFill>
          <a:ln w="19050">
            <a:solidFill>
              <a:schemeClr val="lt1"/>
            </a:solidFill>
          </a:ln>
          <a:effectLst/>
        </c:spPr>
        <c:marker>
          <c:symbol val="none"/>
        </c:marker>
        <c:dLbl>
          <c:idx val="0"/>
          <c:dLblPos val="bestFit"/>
          <c:showLegendKey val="0"/>
          <c:showVal val="0"/>
          <c:showCatName val="1"/>
          <c:showSerName val="0"/>
          <c:showPercent val="1"/>
          <c:showBubbleSize val="0"/>
          <c:extLst>
            <c:ext xmlns:c15="http://schemas.microsoft.com/office/drawing/2012/chart" uri="{CE6537A1-D6FC-4f65-9D91-7224C49458BB}"/>
          </c:extLst>
        </c:dLbl>
      </c:pivotFmt>
      <c:pivotFmt>
        <c:idx val="324"/>
        <c:spPr>
          <a:solidFill>
            <a:schemeClr val="accent1"/>
          </a:solidFill>
          <a:ln w="19050">
            <a:solidFill>
              <a:schemeClr val="lt1"/>
            </a:solidFill>
          </a:ln>
          <a:effectLst/>
        </c:spPr>
        <c:marker>
          <c:symbol val="none"/>
        </c:marker>
        <c:dLbl>
          <c:idx val="0"/>
          <c:dLblPos val="bestFit"/>
          <c:showLegendKey val="0"/>
          <c:showVal val="0"/>
          <c:showCatName val="1"/>
          <c:showSerName val="0"/>
          <c:showPercent val="1"/>
          <c:showBubbleSize val="0"/>
          <c:extLst>
            <c:ext xmlns:c15="http://schemas.microsoft.com/office/drawing/2012/chart" uri="{CE6537A1-D6FC-4f65-9D91-7224C49458BB}"/>
          </c:extLst>
        </c:dLbl>
      </c:pivotFmt>
      <c:pivotFmt>
        <c:idx val="325"/>
        <c:spPr>
          <a:solidFill>
            <a:schemeClr val="accent1"/>
          </a:solidFill>
          <a:ln w="19050">
            <a:solidFill>
              <a:schemeClr val="lt1"/>
            </a:solidFill>
          </a:ln>
          <a:effectLst/>
        </c:spPr>
        <c:marker>
          <c:symbol val="none"/>
        </c:marker>
        <c:dLbl>
          <c:idx val="0"/>
          <c:dLblPos val="bestFit"/>
          <c:showLegendKey val="0"/>
          <c:showVal val="0"/>
          <c:showCatName val="1"/>
          <c:showSerName val="0"/>
          <c:showPercent val="1"/>
          <c:showBubbleSize val="0"/>
          <c:extLst>
            <c:ext xmlns:c15="http://schemas.microsoft.com/office/drawing/2012/chart" uri="{CE6537A1-D6FC-4f65-9D91-7224C49458BB}"/>
          </c:extLst>
        </c:dLbl>
      </c:pivotFmt>
      <c:pivotFmt>
        <c:idx val="326"/>
        <c:spPr>
          <a:solidFill>
            <a:schemeClr val="accent1"/>
          </a:solidFill>
          <a:ln w="19050">
            <a:solidFill>
              <a:schemeClr val="lt1"/>
            </a:solidFill>
          </a:ln>
          <a:effectLst/>
        </c:spPr>
        <c:marker>
          <c:symbol val="none"/>
        </c:marker>
        <c:dLbl>
          <c:idx val="0"/>
          <c:dLblPos val="bestFit"/>
          <c:showLegendKey val="0"/>
          <c:showVal val="0"/>
          <c:showCatName val="1"/>
          <c:showSerName val="0"/>
          <c:showPercent val="1"/>
          <c:showBubbleSize val="0"/>
          <c:extLst>
            <c:ext xmlns:c15="http://schemas.microsoft.com/office/drawing/2012/chart" uri="{CE6537A1-D6FC-4f65-9D91-7224C49458BB}"/>
          </c:extLst>
        </c:dLbl>
      </c:pivotFmt>
      <c:pivotFmt>
        <c:idx val="327"/>
        <c:spPr>
          <a:solidFill>
            <a:schemeClr val="accent1"/>
          </a:solidFill>
          <a:ln w="19050">
            <a:solidFill>
              <a:schemeClr val="lt1"/>
            </a:solidFill>
          </a:ln>
          <a:effectLst/>
        </c:spPr>
        <c:marker>
          <c:symbol val="none"/>
        </c:marker>
        <c:dLbl>
          <c:idx val="0"/>
          <c:dLblPos val="bestFit"/>
          <c:showLegendKey val="0"/>
          <c:showVal val="0"/>
          <c:showCatName val="1"/>
          <c:showSerName val="0"/>
          <c:showPercent val="1"/>
          <c:showBubbleSize val="0"/>
          <c:extLst>
            <c:ext xmlns:c15="http://schemas.microsoft.com/office/drawing/2012/chart" uri="{CE6537A1-D6FC-4f65-9D91-7224C49458BB}"/>
          </c:extLst>
        </c:dLbl>
      </c:pivotFmt>
      <c:pivotFmt>
        <c:idx val="328"/>
        <c:spPr>
          <a:solidFill>
            <a:schemeClr val="accent1"/>
          </a:solidFill>
          <a:ln w="19050">
            <a:solidFill>
              <a:schemeClr val="lt1"/>
            </a:solidFill>
          </a:ln>
          <a:effectLst/>
        </c:spPr>
        <c:marker>
          <c:symbol val="none"/>
        </c:marker>
        <c:dLbl>
          <c:idx val="0"/>
          <c:dLblPos val="bestFit"/>
          <c:showLegendKey val="0"/>
          <c:showVal val="0"/>
          <c:showCatName val="1"/>
          <c:showSerName val="0"/>
          <c:showPercent val="1"/>
          <c:showBubbleSize val="0"/>
          <c:extLst>
            <c:ext xmlns:c15="http://schemas.microsoft.com/office/drawing/2012/chart" uri="{CE6537A1-D6FC-4f65-9D91-7224C49458BB}"/>
          </c:extLst>
        </c:dLbl>
      </c:pivotFmt>
      <c:pivotFmt>
        <c:idx val="329"/>
        <c:spPr>
          <a:solidFill>
            <a:schemeClr val="accent1"/>
          </a:solidFill>
          <a:ln w="19050">
            <a:solidFill>
              <a:schemeClr val="lt1"/>
            </a:solidFill>
          </a:ln>
          <a:effectLst/>
        </c:spPr>
        <c:marker>
          <c:symbol val="none"/>
        </c:marker>
        <c:dLbl>
          <c:idx val="0"/>
          <c:dLblPos val="bestFit"/>
          <c:showLegendKey val="0"/>
          <c:showVal val="0"/>
          <c:showCatName val="1"/>
          <c:showSerName val="0"/>
          <c:showPercent val="1"/>
          <c:showBubbleSize val="0"/>
          <c:extLst>
            <c:ext xmlns:c15="http://schemas.microsoft.com/office/drawing/2012/chart" uri="{CE6537A1-D6FC-4f65-9D91-7224C49458BB}"/>
          </c:extLst>
        </c:dLbl>
      </c:pivotFmt>
      <c:pivotFmt>
        <c:idx val="330"/>
        <c:spPr>
          <a:solidFill>
            <a:schemeClr val="accent1"/>
          </a:solidFill>
          <a:ln w="19050">
            <a:solidFill>
              <a:schemeClr val="lt1"/>
            </a:solidFill>
          </a:ln>
          <a:effectLst/>
        </c:spPr>
        <c:marker>
          <c:symbol val="none"/>
        </c:marker>
        <c:dLbl>
          <c:idx val="0"/>
          <c:dLblPos val="bestFit"/>
          <c:showLegendKey val="0"/>
          <c:showVal val="0"/>
          <c:showCatName val="1"/>
          <c:showSerName val="0"/>
          <c:showPercent val="1"/>
          <c:showBubbleSize val="0"/>
          <c:extLst>
            <c:ext xmlns:c15="http://schemas.microsoft.com/office/drawing/2012/chart" uri="{CE6537A1-D6FC-4f65-9D91-7224C49458BB}"/>
          </c:extLst>
        </c:dLbl>
      </c:pivotFmt>
      <c:pivotFmt>
        <c:idx val="33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33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33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33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33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33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33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33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33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34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34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34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34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34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34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34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34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34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34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35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35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35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35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35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35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35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35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35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35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36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36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36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36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36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36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36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36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36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36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37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37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37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37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37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37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376"/>
        <c:spPr>
          <a:solidFill>
            <a:schemeClr val="accent1"/>
          </a:solidFill>
          <a:ln w="19050">
            <a:solidFill>
              <a:schemeClr val="lt1"/>
            </a:solidFill>
          </a:ln>
          <a:effectLst/>
        </c:spPr>
      </c:pivotFmt>
      <c:pivotFmt>
        <c:idx val="377"/>
        <c:spPr>
          <a:solidFill>
            <a:schemeClr val="accent1"/>
          </a:solidFill>
          <a:ln w="19050">
            <a:solidFill>
              <a:schemeClr val="lt1"/>
            </a:solidFill>
          </a:ln>
          <a:effectLst/>
        </c:spPr>
      </c:pivotFmt>
      <c:pivotFmt>
        <c:idx val="378"/>
        <c:spPr>
          <a:solidFill>
            <a:schemeClr val="accent1"/>
          </a:solidFill>
          <a:ln w="19050">
            <a:solidFill>
              <a:schemeClr val="lt1"/>
            </a:solidFill>
          </a:ln>
          <a:effectLst/>
        </c:spPr>
      </c:pivotFmt>
      <c:pivotFmt>
        <c:idx val="379"/>
        <c:spPr>
          <a:solidFill>
            <a:schemeClr val="accent1"/>
          </a:solidFill>
          <a:ln w="19050">
            <a:solidFill>
              <a:schemeClr val="lt1"/>
            </a:solidFill>
          </a:ln>
          <a:effectLst/>
        </c:spPr>
      </c:pivotFmt>
      <c:pivotFmt>
        <c:idx val="380"/>
        <c:spPr>
          <a:solidFill>
            <a:schemeClr val="accent1"/>
          </a:solidFill>
          <a:ln w="19050">
            <a:solidFill>
              <a:schemeClr val="lt1"/>
            </a:solidFill>
          </a:ln>
          <a:effectLst/>
        </c:spPr>
      </c:pivotFmt>
      <c:pivotFmt>
        <c:idx val="381"/>
        <c:spPr>
          <a:solidFill>
            <a:schemeClr val="accent1"/>
          </a:solidFill>
          <a:ln w="19050">
            <a:solidFill>
              <a:schemeClr val="lt1"/>
            </a:solidFill>
          </a:ln>
          <a:effectLst/>
        </c:spPr>
      </c:pivotFmt>
      <c:pivotFmt>
        <c:idx val="382"/>
        <c:spPr>
          <a:solidFill>
            <a:schemeClr val="accent1"/>
          </a:solidFill>
          <a:ln w="19050">
            <a:solidFill>
              <a:schemeClr val="lt1"/>
            </a:solidFill>
          </a:ln>
          <a:effectLst/>
        </c:spPr>
      </c:pivotFmt>
      <c:pivotFmt>
        <c:idx val="383"/>
        <c:spPr>
          <a:solidFill>
            <a:schemeClr val="accent1"/>
          </a:solidFill>
          <a:ln w="19050">
            <a:solidFill>
              <a:schemeClr val="lt1"/>
            </a:solidFill>
          </a:ln>
          <a:effectLst/>
        </c:spPr>
      </c:pivotFmt>
      <c:pivotFmt>
        <c:idx val="384"/>
        <c:spPr>
          <a:solidFill>
            <a:schemeClr val="accent1"/>
          </a:solidFill>
          <a:ln w="19050">
            <a:solidFill>
              <a:schemeClr val="lt1"/>
            </a:solidFill>
          </a:ln>
          <a:effectLst/>
        </c:spPr>
      </c:pivotFmt>
      <c:pivotFmt>
        <c:idx val="385"/>
        <c:spPr>
          <a:solidFill>
            <a:schemeClr val="accent1"/>
          </a:solidFill>
          <a:ln w="19050">
            <a:solidFill>
              <a:schemeClr val="lt1"/>
            </a:solidFill>
          </a:ln>
          <a:effectLst/>
        </c:spPr>
      </c:pivotFmt>
      <c:pivotFmt>
        <c:idx val="386"/>
        <c:spPr>
          <a:solidFill>
            <a:schemeClr val="accent1"/>
          </a:solidFill>
          <a:ln w="19050">
            <a:solidFill>
              <a:schemeClr val="lt1"/>
            </a:solidFill>
          </a:ln>
          <a:effectLst/>
        </c:spPr>
      </c:pivotFmt>
      <c:pivotFmt>
        <c:idx val="387"/>
        <c:spPr>
          <a:solidFill>
            <a:schemeClr val="accent1"/>
          </a:solidFill>
          <a:ln w="19050">
            <a:solidFill>
              <a:schemeClr val="lt1"/>
            </a:solidFill>
          </a:ln>
          <a:effectLst/>
        </c:spPr>
      </c:pivotFmt>
      <c:pivotFmt>
        <c:idx val="388"/>
        <c:spPr>
          <a:solidFill>
            <a:schemeClr val="accent1"/>
          </a:solidFill>
          <a:ln w="19050">
            <a:solidFill>
              <a:schemeClr val="lt1"/>
            </a:solidFill>
          </a:ln>
          <a:effectLst/>
        </c:spPr>
      </c:pivotFmt>
      <c:pivotFmt>
        <c:idx val="389"/>
        <c:spPr>
          <a:solidFill>
            <a:schemeClr val="accent1"/>
          </a:solidFill>
          <a:ln w="19050">
            <a:solidFill>
              <a:schemeClr val="lt1"/>
            </a:solidFill>
          </a:ln>
          <a:effectLst/>
        </c:spPr>
      </c:pivotFmt>
      <c:pivotFmt>
        <c:idx val="390"/>
        <c:spPr>
          <a:solidFill>
            <a:schemeClr val="accent1"/>
          </a:solidFill>
          <a:ln w="19050">
            <a:solidFill>
              <a:schemeClr val="lt1"/>
            </a:solidFill>
          </a:ln>
          <a:effectLst/>
        </c:spPr>
      </c:pivotFmt>
      <c:pivotFmt>
        <c:idx val="391"/>
        <c:spPr>
          <a:solidFill>
            <a:schemeClr val="accent1"/>
          </a:solidFill>
          <a:ln w="19050">
            <a:solidFill>
              <a:schemeClr val="lt1"/>
            </a:solidFill>
          </a:ln>
          <a:effectLst/>
        </c:spPr>
      </c:pivotFmt>
      <c:pivotFmt>
        <c:idx val="392"/>
        <c:spPr>
          <a:solidFill>
            <a:schemeClr val="accent1"/>
          </a:solidFill>
          <a:ln w="19050">
            <a:solidFill>
              <a:schemeClr val="lt1"/>
            </a:solidFill>
          </a:ln>
          <a:effectLst/>
        </c:spPr>
      </c:pivotFmt>
      <c:pivotFmt>
        <c:idx val="393"/>
        <c:spPr>
          <a:solidFill>
            <a:schemeClr val="accent1"/>
          </a:solidFill>
          <a:ln w="19050">
            <a:solidFill>
              <a:schemeClr val="lt1"/>
            </a:solidFill>
          </a:ln>
          <a:effectLst/>
        </c:spPr>
      </c:pivotFmt>
      <c:pivotFmt>
        <c:idx val="39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95"/>
        <c:spPr>
          <a:solidFill>
            <a:schemeClr val="accent1"/>
          </a:solidFill>
          <a:ln w="19050">
            <a:solidFill>
              <a:schemeClr val="lt1"/>
            </a:solidFill>
          </a:ln>
          <a:effectLst/>
        </c:spPr>
      </c:pivotFmt>
      <c:pivotFmt>
        <c:idx val="396"/>
        <c:spPr>
          <a:solidFill>
            <a:schemeClr val="accent1"/>
          </a:solidFill>
          <a:ln w="19050">
            <a:solidFill>
              <a:schemeClr val="lt1"/>
            </a:solidFill>
          </a:ln>
          <a:effectLst/>
        </c:spPr>
      </c:pivotFmt>
      <c:pivotFmt>
        <c:idx val="397"/>
        <c:spPr>
          <a:solidFill>
            <a:schemeClr val="accent1"/>
          </a:solidFill>
          <a:ln w="19050">
            <a:solidFill>
              <a:schemeClr val="lt1"/>
            </a:solidFill>
          </a:ln>
          <a:effectLst/>
        </c:spPr>
      </c:pivotFmt>
      <c:pivotFmt>
        <c:idx val="398"/>
        <c:spPr>
          <a:solidFill>
            <a:schemeClr val="accent1"/>
          </a:solidFill>
          <a:ln w="19050">
            <a:solidFill>
              <a:schemeClr val="lt1"/>
            </a:solidFill>
          </a:ln>
          <a:effectLst/>
        </c:spPr>
      </c:pivotFmt>
      <c:pivotFmt>
        <c:idx val="399"/>
        <c:spPr>
          <a:solidFill>
            <a:schemeClr val="accent1"/>
          </a:solidFill>
          <a:ln w="19050">
            <a:solidFill>
              <a:schemeClr val="lt1"/>
            </a:solidFill>
          </a:ln>
          <a:effectLst/>
        </c:spPr>
      </c:pivotFmt>
      <c:pivotFmt>
        <c:idx val="400"/>
        <c:spPr>
          <a:solidFill>
            <a:schemeClr val="accent1"/>
          </a:solidFill>
          <a:ln w="19050">
            <a:solidFill>
              <a:schemeClr val="lt1"/>
            </a:solidFill>
          </a:ln>
          <a:effectLst/>
        </c:spPr>
      </c:pivotFmt>
      <c:pivotFmt>
        <c:idx val="401"/>
        <c:spPr>
          <a:solidFill>
            <a:schemeClr val="accent1"/>
          </a:solidFill>
          <a:ln w="19050">
            <a:solidFill>
              <a:schemeClr val="lt1"/>
            </a:solidFill>
          </a:ln>
          <a:effectLst/>
        </c:spPr>
      </c:pivotFmt>
      <c:pivotFmt>
        <c:idx val="402"/>
        <c:spPr>
          <a:solidFill>
            <a:schemeClr val="accent1"/>
          </a:solidFill>
          <a:ln w="19050">
            <a:solidFill>
              <a:schemeClr val="lt1"/>
            </a:solidFill>
          </a:ln>
          <a:effectLst/>
        </c:spPr>
      </c:pivotFmt>
      <c:pivotFmt>
        <c:idx val="403"/>
        <c:spPr>
          <a:solidFill>
            <a:schemeClr val="accent1"/>
          </a:solidFill>
          <a:ln w="19050">
            <a:solidFill>
              <a:schemeClr val="lt1"/>
            </a:solidFill>
          </a:ln>
          <a:effectLst/>
        </c:spPr>
      </c:pivotFmt>
      <c:pivotFmt>
        <c:idx val="404"/>
        <c:spPr>
          <a:solidFill>
            <a:schemeClr val="accent1"/>
          </a:solidFill>
          <a:ln w="19050">
            <a:solidFill>
              <a:schemeClr val="lt1"/>
            </a:solidFill>
          </a:ln>
          <a:effectLst/>
        </c:spPr>
      </c:pivotFmt>
      <c:pivotFmt>
        <c:idx val="405"/>
        <c:spPr>
          <a:solidFill>
            <a:schemeClr val="accent1"/>
          </a:solidFill>
          <a:ln w="19050">
            <a:solidFill>
              <a:schemeClr val="lt1"/>
            </a:solidFill>
          </a:ln>
          <a:effectLst/>
        </c:spPr>
      </c:pivotFmt>
      <c:pivotFmt>
        <c:idx val="406"/>
        <c:spPr>
          <a:solidFill>
            <a:schemeClr val="accent1"/>
          </a:solidFill>
          <a:ln w="19050">
            <a:solidFill>
              <a:schemeClr val="lt1"/>
            </a:solidFill>
          </a:ln>
          <a:effectLst/>
        </c:spPr>
      </c:pivotFmt>
      <c:pivotFmt>
        <c:idx val="407"/>
        <c:spPr>
          <a:solidFill>
            <a:schemeClr val="accent1"/>
          </a:solidFill>
          <a:ln w="19050">
            <a:solidFill>
              <a:schemeClr val="lt1"/>
            </a:solidFill>
          </a:ln>
          <a:effectLst/>
        </c:spPr>
      </c:pivotFmt>
      <c:pivotFmt>
        <c:idx val="408"/>
        <c:spPr>
          <a:solidFill>
            <a:schemeClr val="accent1"/>
          </a:solidFill>
          <a:ln w="19050">
            <a:solidFill>
              <a:schemeClr val="lt1"/>
            </a:solidFill>
          </a:ln>
          <a:effectLst/>
        </c:spPr>
      </c:pivotFmt>
      <c:pivotFmt>
        <c:idx val="409"/>
        <c:spPr>
          <a:solidFill>
            <a:schemeClr val="accent1"/>
          </a:solidFill>
          <a:ln w="19050">
            <a:solidFill>
              <a:schemeClr val="lt1"/>
            </a:solidFill>
          </a:ln>
          <a:effectLst/>
        </c:spPr>
      </c:pivotFmt>
      <c:pivotFmt>
        <c:idx val="410"/>
        <c:spPr>
          <a:solidFill>
            <a:schemeClr val="accent1"/>
          </a:solidFill>
          <a:ln w="19050">
            <a:solidFill>
              <a:schemeClr val="lt1"/>
            </a:solidFill>
          </a:ln>
          <a:effectLst/>
        </c:spPr>
      </c:pivotFmt>
      <c:pivotFmt>
        <c:idx val="411"/>
        <c:spPr>
          <a:solidFill>
            <a:schemeClr val="accent1"/>
          </a:solidFill>
          <a:ln w="19050">
            <a:solidFill>
              <a:schemeClr val="lt1"/>
            </a:solidFill>
          </a:ln>
          <a:effectLst/>
        </c:spPr>
      </c:pivotFmt>
      <c:pivotFmt>
        <c:idx val="412"/>
        <c:spPr>
          <a:solidFill>
            <a:schemeClr val="accent1"/>
          </a:solidFill>
          <a:ln w="19050">
            <a:solidFill>
              <a:schemeClr val="lt1"/>
            </a:solidFill>
          </a:ln>
          <a:effectLst/>
        </c:spPr>
      </c:pivotFmt>
      <c:pivotFmt>
        <c:idx val="413"/>
        <c:spPr>
          <a:solidFill>
            <a:schemeClr val="accent1"/>
          </a:solidFill>
          <a:ln w="19050">
            <a:solidFill>
              <a:schemeClr val="lt1"/>
            </a:solidFill>
          </a:ln>
          <a:effectLst/>
        </c:spPr>
      </c:pivotFmt>
      <c:pivotFmt>
        <c:idx val="414"/>
        <c:spPr>
          <a:solidFill>
            <a:schemeClr val="accent1"/>
          </a:solidFill>
          <a:ln w="19050">
            <a:solidFill>
              <a:schemeClr val="lt1"/>
            </a:solidFill>
          </a:ln>
          <a:effectLst/>
        </c:spPr>
      </c:pivotFmt>
      <c:pivotFmt>
        <c:idx val="415"/>
        <c:spPr>
          <a:solidFill>
            <a:schemeClr val="accent1"/>
          </a:solidFill>
          <a:ln w="19050">
            <a:solidFill>
              <a:schemeClr val="lt1"/>
            </a:solidFill>
          </a:ln>
          <a:effectLst/>
        </c:spPr>
      </c:pivotFmt>
      <c:pivotFmt>
        <c:idx val="416"/>
        <c:spPr>
          <a:solidFill>
            <a:schemeClr val="accent1"/>
          </a:solidFill>
          <a:ln w="19050">
            <a:solidFill>
              <a:schemeClr val="lt1"/>
            </a:solidFill>
          </a:ln>
          <a:effectLst/>
        </c:spPr>
      </c:pivotFmt>
      <c:pivotFmt>
        <c:idx val="417"/>
        <c:spPr>
          <a:solidFill>
            <a:schemeClr val="accent1"/>
          </a:solidFill>
          <a:ln w="19050">
            <a:solidFill>
              <a:schemeClr val="lt1"/>
            </a:solidFill>
          </a:ln>
          <a:effectLst/>
        </c:spPr>
      </c:pivotFmt>
      <c:pivotFmt>
        <c:idx val="418"/>
        <c:spPr>
          <a:solidFill>
            <a:schemeClr val="accent1"/>
          </a:solidFill>
          <a:ln w="19050">
            <a:solidFill>
              <a:schemeClr val="lt1"/>
            </a:solidFill>
          </a:ln>
          <a:effectLst/>
        </c:spPr>
      </c:pivotFmt>
      <c:pivotFmt>
        <c:idx val="419"/>
        <c:spPr>
          <a:solidFill>
            <a:schemeClr val="accent1"/>
          </a:solidFill>
          <a:ln w="19050">
            <a:solidFill>
              <a:schemeClr val="lt1"/>
            </a:solidFill>
          </a:ln>
          <a:effectLst/>
        </c:spPr>
      </c:pivotFmt>
      <c:pivotFmt>
        <c:idx val="420"/>
        <c:spPr>
          <a:solidFill>
            <a:schemeClr val="accent1"/>
          </a:solidFill>
          <a:ln w="19050">
            <a:solidFill>
              <a:schemeClr val="lt1"/>
            </a:solidFill>
          </a:ln>
          <a:effectLst/>
        </c:spPr>
      </c:pivotFmt>
      <c:pivotFmt>
        <c:idx val="421"/>
        <c:spPr>
          <a:solidFill>
            <a:schemeClr val="accent1"/>
          </a:solidFill>
          <a:ln w="19050">
            <a:solidFill>
              <a:schemeClr val="lt1"/>
            </a:solidFill>
          </a:ln>
          <a:effectLst/>
        </c:spPr>
      </c:pivotFmt>
      <c:pivotFmt>
        <c:idx val="422"/>
        <c:spPr>
          <a:solidFill>
            <a:schemeClr val="accent1"/>
          </a:solidFill>
          <a:ln w="19050">
            <a:solidFill>
              <a:schemeClr val="lt1"/>
            </a:solidFill>
          </a:ln>
          <a:effectLst/>
        </c:spPr>
      </c:pivotFmt>
      <c:pivotFmt>
        <c:idx val="423"/>
        <c:spPr>
          <a:solidFill>
            <a:schemeClr val="accent1"/>
          </a:solidFill>
          <a:ln w="19050">
            <a:solidFill>
              <a:schemeClr val="lt1"/>
            </a:solidFill>
          </a:ln>
          <a:effectLst/>
        </c:spPr>
      </c:pivotFmt>
      <c:pivotFmt>
        <c:idx val="424"/>
        <c:spPr>
          <a:solidFill>
            <a:schemeClr val="accent1"/>
          </a:solidFill>
          <a:ln w="19050">
            <a:solidFill>
              <a:schemeClr val="lt1"/>
            </a:solidFill>
          </a:ln>
          <a:effectLst/>
        </c:spPr>
      </c:pivotFmt>
      <c:pivotFmt>
        <c:idx val="425"/>
        <c:spPr>
          <a:solidFill>
            <a:schemeClr val="accent1"/>
          </a:solidFill>
          <a:ln w="19050">
            <a:solidFill>
              <a:schemeClr val="lt1"/>
            </a:solidFill>
          </a:ln>
          <a:effectLst/>
        </c:spPr>
      </c:pivotFmt>
      <c:pivotFmt>
        <c:idx val="426"/>
        <c:spPr>
          <a:solidFill>
            <a:schemeClr val="accent1"/>
          </a:solidFill>
          <a:ln w="19050">
            <a:solidFill>
              <a:schemeClr val="lt1"/>
            </a:solidFill>
          </a:ln>
          <a:effectLst/>
        </c:spPr>
      </c:pivotFmt>
      <c:pivotFmt>
        <c:idx val="427"/>
        <c:spPr>
          <a:solidFill>
            <a:schemeClr val="accent1"/>
          </a:solidFill>
          <a:ln w="19050">
            <a:solidFill>
              <a:schemeClr val="lt1"/>
            </a:solidFill>
          </a:ln>
          <a:effectLst/>
        </c:spPr>
      </c:pivotFmt>
      <c:pivotFmt>
        <c:idx val="428"/>
        <c:spPr>
          <a:solidFill>
            <a:schemeClr val="accent1"/>
          </a:solidFill>
          <a:ln w="19050">
            <a:solidFill>
              <a:schemeClr val="lt1"/>
            </a:solidFill>
          </a:ln>
          <a:effectLst/>
        </c:spPr>
      </c:pivotFmt>
      <c:pivotFmt>
        <c:idx val="429"/>
        <c:spPr>
          <a:solidFill>
            <a:schemeClr val="accent1"/>
          </a:solidFill>
          <a:ln w="19050">
            <a:solidFill>
              <a:schemeClr val="lt1"/>
            </a:solidFill>
          </a:ln>
          <a:effectLst/>
        </c:spPr>
      </c:pivotFmt>
      <c:pivotFmt>
        <c:idx val="430"/>
        <c:spPr>
          <a:solidFill>
            <a:schemeClr val="accent1"/>
          </a:solidFill>
          <a:ln w="19050">
            <a:solidFill>
              <a:schemeClr val="lt1"/>
            </a:solidFill>
          </a:ln>
          <a:effectLst/>
        </c:spPr>
      </c:pivotFmt>
      <c:pivotFmt>
        <c:idx val="431"/>
        <c:spPr>
          <a:solidFill>
            <a:schemeClr val="accent1"/>
          </a:solidFill>
          <a:ln w="19050">
            <a:solidFill>
              <a:schemeClr val="lt1"/>
            </a:solidFill>
          </a:ln>
          <a:effectLst/>
        </c:spPr>
      </c:pivotFmt>
      <c:pivotFmt>
        <c:idx val="432"/>
        <c:spPr>
          <a:solidFill>
            <a:schemeClr val="accent1"/>
          </a:solidFill>
          <a:ln w="19050">
            <a:solidFill>
              <a:schemeClr val="lt1"/>
            </a:solidFill>
          </a:ln>
          <a:effectLst/>
        </c:spPr>
      </c:pivotFmt>
      <c:pivotFmt>
        <c:idx val="433"/>
        <c:spPr>
          <a:solidFill>
            <a:schemeClr val="accent1"/>
          </a:solidFill>
          <a:ln w="19050">
            <a:solidFill>
              <a:schemeClr val="lt1"/>
            </a:solidFill>
          </a:ln>
          <a:effectLst/>
        </c:spPr>
      </c:pivotFmt>
      <c:pivotFmt>
        <c:idx val="434"/>
        <c:spPr>
          <a:solidFill>
            <a:schemeClr val="accent1"/>
          </a:solidFill>
          <a:ln w="19050">
            <a:solidFill>
              <a:schemeClr val="lt1"/>
            </a:solidFill>
          </a:ln>
          <a:effectLst/>
        </c:spPr>
      </c:pivotFmt>
      <c:pivotFmt>
        <c:idx val="435"/>
        <c:spPr>
          <a:solidFill>
            <a:schemeClr val="accent1"/>
          </a:solidFill>
          <a:ln w="19050">
            <a:solidFill>
              <a:schemeClr val="lt1"/>
            </a:solidFill>
          </a:ln>
          <a:effectLst/>
        </c:spPr>
      </c:pivotFmt>
      <c:pivotFmt>
        <c:idx val="436"/>
        <c:spPr>
          <a:solidFill>
            <a:schemeClr val="accent1"/>
          </a:solidFill>
          <a:ln w="19050">
            <a:solidFill>
              <a:schemeClr val="lt1"/>
            </a:solidFill>
          </a:ln>
          <a:effectLst/>
        </c:spPr>
      </c:pivotFmt>
      <c:pivotFmt>
        <c:idx val="437"/>
        <c:spPr>
          <a:solidFill>
            <a:schemeClr val="accent1"/>
          </a:solidFill>
          <a:ln w="19050">
            <a:solidFill>
              <a:schemeClr val="lt1"/>
            </a:solidFill>
          </a:ln>
          <a:effectLst/>
        </c:spPr>
      </c:pivotFmt>
      <c:pivotFmt>
        <c:idx val="438"/>
        <c:spPr>
          <a:solidFill>
            <a:schemeClr val="accent1"/>
          </a:solidFill>
          <a:ln w="19050">
            <a:solidFill>
              <a:schemeClr val="lt1"/>
            </a:solidFill>
          </a:ln>
          <a:effectLst/>
        </c:spPr>
      </c:pivotFmt>
      <c:pivotFmt>
        <c:idx val="439"/>
        <c:spPr>
          <a:solidFill>
            <a:schemeClr val="accent1"/>
          </a:solidFill>
          <a:ln w="19050">
            <a:solidFill>
              <a:schemeClr val="lt1"/>
            </a:solidFill>
          </a:ln>
          <a:effectLst/>
        </c:spPr>
      </c:pivotFmt>
      <c:pivotFmt>
        <c:idx val="440"/>
        <c:spPr>
          <a:solidFill>
            <a:schemeClr val="accent1"/>
          </a:solidFill>
          <a:ln w="19050">
            <a:solidFill>
              <a:schemeClr val="lt1"/>
            </a:solidFill>
          </a:ln>
          <a:effectLst/>
        </c:spPr>
      </c:pivotFmt>
      <c:pivotFmt>
        <c:idx val="441"/>
        <c:spPr>
          <a:solidFill>
            <a:schemeClr val="accent1"/>
          </a:solidFill>
          <a:ln w="19050">
            <a:solidFill>
              <a:schemeClr val="lt1"/>
            </a:solidFill>
          </a:ln>
          <a:effectLst/>
        </c:spPr>
      </c:pivotFmt>
      <c:pivotFmt>
        <c:idx val="442"/>
        <c:spPr>
          <a:solidFill>
            <a:schemeClr val="accent1"/>
          </a:solidFill>
          <a:ln w="19050">
            <a:solidFill>
              <a:schemeClr val="lt1"/>
            </a:solidFill>
          </a:ln>
          <a:effectLst/>
        </c:spPr>
      </c:pivotFmt>
      <c:pivotFmt>
        <c:idx val="443"/>
        <c:spPr>
          <a:solidFill>
            <a:schemeClr val="accent1"/>
          </a:solidFill>
          <a:ln w="19050">
            <a:solidFill>
              <a:schemeClr val="lt1"/>
            </a:solidFill>
          </a:ln>
          <a:effectLst/>
        </c:spPr>
      </c:pivotFmt>
      <c:pivotFmt>
        <c:idx val="444"/>
        <c:spPr>
          <a:solidFill>
            <a:schemeClr val="accent1"/>
          </a:solidFill>
          <a:ln w="19050">
            <a:solidFill>
              <a:schemeClr val="lt1"/>
            </a:solidFill>
          </a:ln>
          <a:effectLst/>
        </c:spPr>
      </c:pivotFmt>
      <c:pivotFmt>
        <c:idx val="445"/>
        <c:spPr>
          <a:solidFill>
            <a:schemeClr val="accent1"/>
          </a:solidFill>
          <a:ln w="19050">
            <a:solidFill>
              <a:schemeClr val="lt1"/>
            </a:solidFill>
          </a:ln>
          <a:effectLst/>
        </c:spPr>
      </c:pivotFmt>
      <c:pivotFmt>
        <c:idx val="446"/>
        <c:spPr>
          <a:solidFill>
            <a:schemeClr val="accent1"/>
          </a:solidFill>
          <a:ln w="19050">
            <a:solidFill>
              <a:schemeClr val="lt1"/>
            </a:solidFill>
          </a:ln>
          <a:effectLst/>
        </c:spPr>
      </c:pivotFmt>
      <c:pivotFmt>
        <c:idx val="447"/>
        <c:spPr>
          <a:solidFill>
            <a:schemeClr val="accent1"/>
          </a:solidFill>
          <a:ln w="19050">
            <a:solidFill>
              <a:schemeClr val="lt1"/>
            </a:solidFill>
          </a:ln>
          <a:effectLst/>
        </c:spPr>
      </c:pivotFmt>
      <c:pivotFmt>
        <c:idx val="448"/>
        <c:spPr>
          <a:solidFill>
            <a:schemeClr val="accent1"/>
          </a:solidFill>
          <a:ln w="19050">
            <a:solidFill>
              <a:schemeClr val="lt1"/>
            </a:solidFill>
          </a:ln>
          <a:effectLst/>
        </c:spPr>
      </c:pivotFmt>
      <c:pivotFmt>
        <c:idx val="449"/>
        <c:spPr>
          <a:solidFill>
            <a:schemeClr val="accent1"/>
          </a:solidFill>
          <a:ln w="19050">
            <a:solidFill>
              <a:schemeClr val="lt1"/>
            </a:solidFill>
          </a:ln>
          <a:effectLst/>
        </c:spPr>
      </c:pivotFmt>
      <c:pivotFmt>
        <c:idx val="450"/>
        <c:spPr>
          <a:solidFill>
            <a:schemeClr val="accent1"/>
          </a:solidFill>
          <a:ln w="19050">
            <a:solidFill>
              <a:schemeClr val="lt1"/>
            </a:solidFill>
          </a:ln>
          <a:effectLst/>
        </c:spPr>
      </c:pivotFmt>
      <c:pivotFmt>
        <c:idx val="451"/>
        <c:spPr>
          <a:solidFill>
            <a:schemeClr val="accent1"/>
          </a:solidFill>
          <a:ln w="19050">
            <a:solidFill>
              <a:schemeClr val="lt1"/>
            </a:solidFill>
          </a:ln>
          <a:effectLst/>
        </c:spPr>
      </c:pivotFmt>
      <c:pivotFmt>
        <c:idx val="452"/>
        <c:spPr>
          <a:solidFill>
            <a:schemeClr val="accent1"/>
          </a:solidFill>
          <a:ln w="19050">
            <a:solidFill>
              <a:schemeClr val="lt1"/>
            </a:solidFill>
          </a:ln>
          <a:effectLst/>
        </c:spPr>
      </c:pivotFmt>
      <c:pivotFmt>
        <c:idx val="453"/>
        <c:spPr>
          <a:solidFill>
            <a:schemeClr val="accent1"/>
          </a:solidFill>
          <a:ln w="19050">
            <a:solidFill>
              <a:schemeClr val="lt1"/>
            </a:solidFill>
          </a:ln>
          <a:effectLst/>
        </c:spPr>
      </c:pivotFmt>
      <c:pivotFmt>
        <c:idx val="454"/>
        <c:spPr>
          <a:solidFill>
            <a:schemeClr val="accent1"/>
          </a:solidFill>
          <a:ln w="19050">
            <a:solidFill>
              <a:schemeClr val="lt1"/>
            </a:solidFill>
          </a:ln>
          <a:effectLst/>
        </c:spPr>
      </c:pivotFmt>
      <c:pivotFmt>
        <c:idx val="455"/>
        <c:spPr>
          <a:solidFill>
            <a:schemeClr val="accent1"/>
          </a:solidFill>
          <a:ln w="19050">
            <a:solidFill>
              <a:schemeClr val="lt1"/>
            </a:solidFill>
          </a:ln>
          <a:effectLst/>
        </c:spPr>
      </c:pivotFmt>
      <c:pivotFmt>
        <c:idx val="456"/>
        <c:spPr>
          <a:solidFill>
            <a:schemeClr val="accent1"/>
          </a:solidFill>
          <a:ln w="19050">
            <a:solidFill>
              <a:schemeClr val="lt1"/>
            </a:solidFill>
          </a:ln>
          <a:effectLst/>
        </c:spPr>
      </c:pivotFmt>
      <c:pivotFmt>
        <c:idx val="457"/>
        <c:spPr>
          <a:solidFill>
            <a:schemeClr val="accent1"/>
          </a:solidFill>
          <a:ln w="19050">
            <a:solidFill>
              <a:schemeClr val="lt1"/>
            </a:solidFill>
          </a:ln>
          <a:effectLst/>
        </c:spPr>
      </c:pivotFmt>
      <c:pivotFmt>
        <c:idx val="458"/>
        <c:spPr>
          <a:solidFill>
            <a:schemeClr val="accent1"/>
          </a:solidFill>
          <a:ln w="19050">
            <a:solidFill>
              <a:schemeClr val="lt1"/>
            </a:solidFill>
          </a:ln>
          <a:effectLst/>
        </c:spPr>
      </c:pivotFmt>
      <c:pivotFmt>
        <c:idx val="459"/>
        <c:spPr>
          <a:solidFill>
            <a:schemeClr val="accent1"/>
          </a:solidFill>
          <a:ln w="19050">
            <a:solidFill>
              <a:schemeClr val="lt1"/>
            </a:solidFill>
          </a:ln>
          <a:effectLst/>
        </c:spPr>
      </c:pivotFmt>
      <c:pivotFmt>
        <c:idx val="460"/>
        <c:spPr>
          <a:solidFill>
            <a:schemeClr val="accent1"/>
          </a:solidFill>
          <a:ln w="19050">
            <a:solidFill>
              <a:schemeClr val="lt1"/>
            </a:solidFill>
          </a:ln>
          <a:effectLst/>
        </c:spPr>
      </c:pivotFmt>
      <c:pivotFmt>
        <c:idx val="461"/>
        <c:spPr>
          <a:solidFill>
            <a:schemeClr val="accent1"/>
          </a:solidFill>
          <a:ln w="19050">
            <a:solidFill>
              <a:schemeClr val="lt1"/>
            </a:solidFill>
          </a:ln>
          <a:effectLst/>
        </c:spPr>
      </c:pivotFmt>
      <c:pivotFmt>
        <c:idx val="462"/>
        <c:spPr>
          <a:solidFill>
            <a:schemeClr val="accent1"/>
          </a:solidFill>
          <a:ln w="19050">
            <a:solidFill>
              <a:schemeClr val="lt1"/>
            </a:solidFill>
          </a:ln>
          <a:effectLst/>
        </c:spPr>
      </c:pivotFmt>
      <c:pivotFmt>
        <c:idx val="463"/>
        <c:spPr>
          <a:solidFill>
            <a:schemeClr val="accent1"/>
          </a:solidFill>
          <a:ln w="19050">
            <a:solidFill>
              <a:schemeClr val="lt1"/>
            </a:solidFill>
          </a:ln>
          <a:effectLst/>
        </c:spPr>
      </c:pivotFmt>
      <c:pivotFmt>
        <c:idx val="464"/>
        <c:spPr>
          <a:solidFill>
            <a:schemeClr val="accent1"/>
          </a:solidFill>
          <a:ln w="19050">
            <a:solidFill>
              <a:schemeClr val="lt1"/>
            </a:solidFill>
          </a:ln>
          <a:effectLst/>
        </c:spPr>
      </c:pivotFmt>
      <c:pivotFmt>
        <c:idx val="465"/>
        <c:spPr>
          <a:solidFill>
            <a:schemeClr val="accent1"/>
          </a:solidFill>
          <a:ln w="19050">
            <a:solidFill>
              <a:schemeClr val="lt1"/>
            </a:solidFill>
          </a:ln>
          <a:effectLst/>
        </c:spPr>
      </c:pivotFmt>
      <c:pivotFmt>
        <c:idx val="466"/>
        <c:spPr>
          <a:solidFill>
            <a:schemeClr val="accent1"/>
          </a:solidFill>
          <a:ln w="19050">
            <a:solidFill>
              <a:schemeClr val="lt1"/>
            </a:solidFill>
          </a:ln>
          <a:effectLst/>
        </c:spPr>
      </c:pivotFmt>
      <c:pivotFmt>
        <c:idx val="467"/>
        <c:spPr>
          <a:solidFill>
            <a:schemeClr val="accent1"/>
          </a:solidFill>
          <a:ln w="19050">
            <a:solidFill>
              <a:schemeClr val="lt1"/>
            </a:solidFill>
          </a:ln>
          <a:effectLst/>
        </c:spPr>
      </c:pivotFmt>
      <c:pivotFmt>
        <c:idx val="468"/>
        <c:spPr>
          <a:solidFill>
            <a:schemeClr val="accent1"/>
          </a:solidFill>
          <a:ln w="19050">
            <a:solidFill>
              <a:schemeClr val="lt1"/>
            </a:solidFill>
          </a:ln>
          <a:effectLst/>
        </c:spPr>
      </c:pivotFmt>
      <c:pivotFmt>
        <c:idx val="469"/>
        <c:spPr>
          <a:solidFill>
            <a:schemeClr val="accent1"/>
          </a:solidFill>
          <a:ln w="19050">
            <a:solidFill>
              <a:schemeClr val="lt1"/>
            </a:solidFill>
          </a:ln>
          <a:effectLst/>
        </c:spPr>
      </c:pivotFmt>
      <c:pivotFmt>
        <c:idx val="470"/>
        <c:spPr>
          <a:solidFill>
            <a:schemeClr val="accent1"/>
          </a:solidFill>
          <a:ln w="19050">
            <a:solidFill>
              <a:schemeClr val="lt1"/>
            </a:solidFill>
          </a:ln>
          <a:effectLst/>
        </c:spPr>
      </c:pivotFmt>
      <c:pivotFmt>
        <c:idx val="471"/>
        <c:spPr>
          <a:solidFill>
            <a:schemeClr val="accent1"/>
          </a:solidFill>
          <a:ln w="19050">
            <a:solidFill>
              <a:schemeClr val="lt1"/>
            </a:solidFill>
          </a:ln>
          <a:effectLst/>
        </c:spPr>
      </c:pivotFmt>
      <c:pivotFmt>
        <c:idx val="472"/>
        <c:spPr>
          <a:solidFill>
            <a:schemeClr val="accent1"/>
          </a:solidFill>
          <a:ln w="19050">
            <a:solidFill>
              <a:schemeClr val="lt1"/>
            </a:solidFill>
          </a:ln>
          <a:effectLst/>
        </c:spPr>
      </c:pivotFmt>
      <c:pivotFmt>
        <c:idx val="473"/>
        <c:spPr>
          <a:solidFill>
            <a:schemeClr val="accent1"/>
          </a:solidFill>
          <a:ln w="19050">
            <a:solidFill>
              <a:schemeClr val="lt1"/>
            </a:solidFill>
          </a:ln>
          <a:effectLst/>
        </c:spPr>
      </c:pivotFmt>
      <c:pivotFmt>
        <c:idx val="474"/>
        <c:spPr>
          <a:solidFill>
            <a:schemeClr val="accent1"/>
          </a:solidFill>
          <a:ln w="19050">
            <a:solidFill>
              <a:schemeClr val="lt1"/>
            </a:solidFill>
          </a:ln>
          <a:effectLst/>
        </c:spPr>
      </c:pivotFmt>
      <c:pivotFmt>
        <c:idx val="475"/>
        <c:spPr>
          <a:solidFill>
            <a:schemeClr val="accent1"/>
          </a:solidFill>
          <a:ln w="19050">
            <a:solidFill>
              <a:schemeClr val="lt1"/>
            </a:solidFill>
          </a:ln>
          <a:effectLst/>
        </c:spPr>
      </c:pivotFmt>
      <c:pivotFmt>
        <c:idx val="476"/>
        <c:spPr>
          <a:solidFill>
            <a:schemeClr val="accent1"/>
          </a:solidFill>
          <a:ln w="19050">
            <a:solidFill>
              <a:schemeClr val="lt1"/>
            </a:solidFill>
          </a:ln>
          <a:effectLst/>
        </c:spPr>
      </c:pivotFmt>
      <c:pivotFmt>
        <c:idx val="477"/>
        <c:spPr>
          <a:solidFill>
            <a:schemeClr val="accent1"/>
          </a:solidFill>
          <a:ln w="19050">
            <a:solidFill>
              <a:schemeClr val="lt1"/>
            </a:solidFill>
          </a:ln>
          <a:effectLst/>
        </c:spPr>
      </c:pivotFmt>
      <c:pivotFmt>
        <c:idx val="478"/>
        <c:spPr>
          <a:solidFill>
            <a:schemeClr val="accent1"/>
          </a:solidFill>
          <a:ln w="19050">
            <a:solidFill>
              <a:schemeClr val="lt1"/>
            </a:solidFill>
          </a:ln>
          <a:effectLst/>
        </c:spPr>
      </c:pivotFmt>
      <c:pivotFmt>
        <c:idx val="479"/>
        <c:spPr>
          <a:solidFill>
            <a:schemeClr val="accent1"/>
          </a:solidFill>
          <a:ln w="19050">
            <a:solidFill>
              <a:schemeClr val="lt1"/>
            </a:solidFill>
          </a:ln>
          <a:effectLst/>
        </c:spPr>
      </c:pivotFmt>
      <c:pivotFmt>
        <c:idx val="480"/>
        <c:spPr>
          <a:solidFill>
            <a:schemeClr val="accent1"/>
          </a:solidFill>
          <a:ln w="19050">
            <a:solidFill>
              <a:schemeClr val="lt1"/>
            </a:solidFill>
          </a:ln>
          <a:effectLst/>
        </c:spPr>
      </c:pivotFmt>
      <c:pivotFmt>
        <c:idx val="481"/>
        <c:spPr>
          <a:solidFill>
            <a:schemeClr val="accent1"/>
          </a:solidFill>
          <a:ln w="19050">
            <a:solidFill>
              <a:schemeClr val="lt1"/>
            </a:solidFill>
          </a:ln>
          <a:effectLst/>
        </c:spPr>
      </c:pivotFmt>
      <c:pivotFmt>
        <c:idx val="482"/>
        <c:spPr>
          <a:solidFill>
            <a:schemeClr val="accent1"/>
          </a:solidFill>
          <a:ln w="19050">
            <a:solidFill>
              <a:schemeClr val="lt1"/>
            </a:solidFill>
          </a:ln>
          <a:effectLst/>
        </c:spPr>
      </c:pivotFmt>
      <c:pivotFmt>
        <c:idx val="483"/>
        <c:spPr>
          <a:solidFill>
            <a:schemeClr val="accent1"/>
          </a:solidFill>
          <a:ln w="19050">
            <a:solidFill>
              <a:schemeClr val="lt1"/>
            </a:solidFill>
          </a:ln>
          <a:effectLst/>
        </c:spPr>
      </c:pivotFmt>
      <c:pivotFmt>
        <c:idx val="484"/>
        <c:spPr>
          <a:solidFill>
            <a:schemeClr val="accent1"/>
          </a:solidFill>
          <a:ln w="19050">
            <a:solidFill>
              <a:schemeClr val="lt1"/>
            </a:solidFill>
          </a:ln>
          <a:effectLst/>
        </c:spPr>
      </c:pivotFmt>
      <c:pivotFmt>
        <c:idx val="485"/>
        <c:spPr>
          <a:solidFill>
            <a:schemeClr val="accent1"/>
          </a:solidFill>
          <a:ln w="19050">
            <a:solidFill>
              <a:schemeClr val="lt1"/>
            </a:solidFill>
          </a:ln>
          <a:effectLst/>
        </c:spPr>
      </c:pivotFmt>
      <c:pivotFmt>
        <c:idx val="486"/>
        <c:spPr>
          <a:solidFill>
            <a:schemeClr val="accent1"/>
          </a:solidFill>
          <a:ln w="19050">
            <a:solidFill>
              <a:schemeClr val="lt1"/>
            </a:solidFill>
          </a:ln>
          <a:effectLst/>
        </c:spPr>
      </c:pivotFmt>
      <c:pivotFmt>
        <c:idx val="487"/>
        <c:spPr>
          <a:solidFill>
            <a:schemeClr val="accent1"/>
          </a:solidFill>
          <a:ln w="19050">
            <a:solidFill>
              <a:schemeClr val="lt1"/>
            </a:solidFill>
          </a:ln>
          <a:effectLst/>
        </c:spPr>
      </c:pivotFmt>
      <c:pivotFmt>
        <c:idx val="488"/>
        <c:spPr>
          <a:solidFill>
            <a:schemeClr val="accent1"/>
          </a:solidFill>
          <a:ln w="19050">
            <a:solidFill>
              <a:schemeClr val="lt1"/>
            </a:solidFill>
          </a:ln>
          <a:effectLst/>
        </c:spPr>
      </c:pivotFmt>
      <c:pivotFmt>
        <c:idx val="489"/>
        <c:spPr>
          <a:solidFill>
            <a:schemeClr val="accent1"/>
          </a:solidFill>
          <a:ln w="19050">
            <a:solidFill>
              <a:schemeClr val="lt1"/>
            </a:solidFill>
          </a:ln>
          <a:effectLst/>
        </c:spPr>
      </c:pivotFmt>
      <c:pivotFmt>
        <c:idx val="490"/>
        <c:spPr>
          <a:solidFill>
            <a:schemeClr val="accent1"/>
          </a:solidFill>
          <a:ln w="19050">
            <a:solidFill>
              <a:schemeClr val="lt1"/>
            </a:solidFill>
          </a:ln>
          <a:effectLst/>
        </c:spPr>
      </c:pivotFmt>
      <c:pivotFmt>
        <c:idx val="491"/>
        <c:spPr>
          <a:solidFill>
            <a:schemeClr val="accent1"/>
          </a:solidFill>
          <a:ln w="19050">
            <a:solidFill>
              <a:schemeClr val="lt1"/>
            </a:solidFill>
          </a:ln>
          <a:effectLst/>
        </c:spPr>
      </c:pivotFmt>
      <c:pivotFmt>
        <c:idx val="492"/>
        <c:spPr>
          <a:solidFill>
            <a:schemeClr val="accent1"/>
          </a:solidFill>
          <a:ln w="19050">
            <a:solidFill>
              <a:schemeClr val="lt1"/>
            </a:solidFill>
          </a:ln>
          <a:effectLst/>
        </c:spPr>
      </c:pivotFmt>
      <c:pivotFmt>
        <c:idx val="493"/>
        <c:spPr>
          <a:solidFill>
            <a:schemeClr val="accent1"/>
          </a:solidFill>
          <a:ln w="19050">
            <a:solidFill>
              <a:schemeClr val="lt1"/>
            </a:solidFill>
          </a:ln>
          <a:effectLst/>
        </c:spPr>
      </c:pivotFmt>
      <c:pivotFmt>
        <c:idx val="494"/>
        <c:spPr>
          <a:solidFill>
            <a:schemeClr val="accent1"/>
          </a:solidFill>
          <a:ln w="19050">
            <a:solidFill>
              <a:schemeClr val="lt1"/>
            </a:solidFill>
          </a:ln>
          <a:effectLst/>
        </c:spPr>
      </c:pivotFmt>
      <c:pivotFmt>
        <c:idx val="495"/>
        <c:spPr>
          <a:solidFill>
            <a:schemeClr val="accent1"/>
          </a:solidFill>
          <a:ln w="19050">
            <a:solidFill>
              <a:schemeClr val="lt1"/>
            </a:solidFill>
          </a:ln>
          <a:effectLst/>
        </c:spPr>
      </c:pivotFmt>
      <c:pivotFmt>
        <c:idx val="496"/>
        <c:spPr>
          <a:solidFill>
            <a:schemeClr val="accent1"/>
          </a:solidFill>
          <a:ln w="19050">
            <a:solidFill>
              <a:schemeClr val="lt1"/>
            </a:solidFill>
          </a:ln>
          <a:effectLst/>
        </c:spPr>
      </c:pivotFmt>
      <c:pivotFmt>
        <c:idx val="497"/>
        <c:spPr>
          <a:solidFill>
            <a:schemeClr val="accent1"/>
          </a:solidFill>
          <a:ln w="19050">
            <a:solidFill>
              <a:schemeClr val="lt1"/>
            </a:solidFill>
          </a:ln>
          <a:effectLst/>
        </c:spPr>
      </c:pivotFmt>
      <c:pivotFmt>
        <c:idx val="498"/>
        <c:spPr>
          <a:solidFill>
            <a:schemeClr val="accent1"/>
          </a:solidFill>
          <a:ln w="19050">
            <a:solidFill>
              <a:schemeClr val="lt1"/>
            </a:solidFill>
          </a:ln>
          <a:effectLst/>
        </c:spPr>
      </c:pivotFmt>
      <c:pivotFmt>
        <c:idx val="499"/>
        <c:spPr>
          <a:solidFill>
            <a:schemeClr val="accent1"/>
          </a:solidFill>
          <a:ln w="19050">
            <a:solidFill>
              <a:schemeClr val="lt1"/>
            </a:solidFill>
          </a:ln>
          <a:effectLst/>
        </c:spPr>
      </c:pivotFmt>
      <c:pivotFmt>
        <c:idx val="500"/>
        <c:spPr>
          <a:solidFill>
            <a:schemeClr val="accent1"/>
          </a:solidFill>
          <a:ln w="19050">
            <a:solidFill>
              <a:schemeClr val="lt1"/>
            </a:solidFill>
          </a:ln>
          <a:effectLst/>
        </c:spPr>
      </c:pivotFmt>
      <c:pivotFmt>
        <c:idx val="501"/>
        <c:spPr>
          <a:solidFill>
            <a:schemeClr val="accent1"/>
          </a:solidFill>
          <a:ln w="19050">
            <a:solidFill>
              <a:schemeClr val="lt1"/>
            </a:solidFill>
          </a:ln>
          <a:effectLst/>
        </c:spPr>
      </c:pivotFmt>
      <c:pivotFmt>
        <c:idx val="502"/>
        <c:spPr>
          <a:solidFill>
            <a:schemeClr val="accent1"/>
          </a:solidFill>
          <a:ln w="19050">
            <a:solidFill>
              <a:schemeClr val="lt1"/>
            </a:solidFill>
          </a:ln>
          <a:effectLst/>
        </c:spPr>
      </c:pivotFmt>
      <c:pivotFmt>
        <c:idx val="503"/>
        <c:spPr>
          <a:solidFill>
            <a:schemeClr val="accent1"/>
          </a:solidFill>
          <a:ln w="19050">
            <a:solidFill>
              <a:schemeClr val="lt1"/>
            </a:solidFill>
          </a:ln>
          <a:effectLst/>
        </c:spPr>
      </c:pivotFmt>
      <c:pivotFmt>
        <c:idx val="504"/>
        <c:spPr>
          <a:solidFill>
            <a:schemeClr val="accent1"/>
          </a:solidFill>
          <a:ln w="19050">
            <a:solidFill>
              <a:schemeClr val="lt1"/>
            </a:solidFill>
          </a:ln>
          <a:effectLst/>
        </c:spPr>
      </c:pivotFmt>
      <c:pivotFmt>
        <c:idx val="505"/>
        <c:spPr>
          <a:solidFill>
            <a:schemeClr val="accent1"/>
          </a:solidFill>
          <a:ln w="19050">
            <a:solidFill>
              <a:schemeClr val="lt1"/>
            </a:solidFill>
          </a:ln>
          <a:effectLst/>
        </c:spPr>
      </c:pivotFmt>
      <c:pivotFmt>
        <c:idx val="506"/>
        <c:spPr>
          <a:solidFill>
            <a:schemeClr val="accent1"/>
          </a:solidFill>
          <a:ln w="19050">
            <a:solidFill>
              <a:schemeClr val="lt1"/>
            </a:solidFill>
          </a:ln>
          <a:effectLst/>
        </c:spPr>
      </c:pivotFmt>
      <c:pivotFmt>
        <c:idx val="507"/>
        <c:spPr>
          <a:solidFill>
            <a:schemeClr val="accent1"/>
          </a:solidFill>
          <a:ln w="19050">
            <a:solidFill>
              <a:schemeClr val="lt1"/>
            </a:solidFill>
          </a:ln>
          <a:effectLst/>
        </c:spPr>
      </c:pivotFmt>
      <c:pivotFmt>
        <c:idx val="508"/>
        <c:spPr>
          <a:solidFill>
            <a:schemeClr val="accent1"/>
          </a:solidFill>
          <a:ln w="19050">
            <a:solidFill>
              <a:schemeClr val="lt1"/>
            </a:solidFill>
          </a:ln>
          <a:effectLst/>
        </c:spPr>
      </c:pivotFmt>
      <c:pivotFmt>
        <c:idx val="509"/>
        <c:spPr>
          <a:solidFill>
            <a:schemeClr val="accent1"/>
          </a:solidFill>
          <a:ln w="19050">
            <a:solidFill>
              <a:schemeClr val="lt1"/>
            </a:solidFill>
          </a:ln>
          <a:effectLst/>
        </c:spPr>
      </c:pivotFmt>
      <c:pivotFmt>
        <c:idx val="510"/>
        <c:spPr>
          <a:solidFill>
            <a:schemeClr val="accent1"/>
          </a:solidFill>
          <a:ln w="19050">
            <a:solidFill>
              <a:schemeClr val="lt1"/>
            </a:solidFill>
          </a:ln>
          <a:effectLst/>
        </c:spPr>
      </c:pivotFmt>
      <c:pivotFmt>
        <c:idx val="511"/>
        <c:spPr>
          <a:solidFill>
            <a:schemeClr val="accent1"/>
          </a:solidFill>
          <a:ln w="19050">
            <a:solidFill>
              <a:schemeClr val="lt1"/>
            </a:solidFill>
          </a:ln>
          <a:effectLst/>
        </c:spPr>
      </c:pivotFmt>
      <c:pivotFmt>
        <c:idx val="512"/>
        <c:spPr>
          <a:solidFill>
            <a:schemeClr val="accent1"/>
          </a:solidFill>
          <a:ln w="19050">
            <a:solidFill>
              <a:schemeClr val="lt1"/>
            </a:solidFill>
          </a:ln>
          <a:effectLst/>
        </c:spPr>
      </c:pivotFmt>
      <c:pivotFmt>
        <c:idx val="513"/>
        <c:spPr>
          <a:solidFill>
            <a:schemeClr val="accent1"/>
          </a:solidFill>
          <a:ln w="19050">
            <a:solidFill>
              <a:schemeClr val="lt1"/>
            </a:solidFill>
          </a:ln>
          <a:effectLst/>
        </c:spPr>
      </c:pivotFmt>
      <c:pivotFmt>
        <c:idx val="514"/>
        <c:spPr>
          <a:solidFill>
            <a:schemeClr val="accent1"/>
          </a:solidFill>
          <a:ln w="19050">
            <a:solidFill>
              <a:schemeClr val="lt1"/>
            </a:solidFill>
          </a:ln>
          <a:effectLst/>
        </c:spPr>
      </c:pivotFmt>
      <c:pivotFmt>
        <c:idx val="515"/>
        <c:spPr>
          <a:solidFill>
            <a:schemeClr val="accent1"/>
          </a:solidFill>
          <a:ln w="19050">
            <a:solidFill>
              <a:schemeClr val="lt1"/>
            </a:solidFill>
          </a:ln>
          <a:effectLst/>
        </c:spPr>
      </c:pivotFmt>
      <c:pivotFmt>
        <c:idx val="516"/>
        <c:spPr>
          <a:solidFill>
            <a:schemeClr val="accent1"/>
          </a:solidFill>
          <a:ln w="19050">
            <a:solidFill>
              <a:schemeClr val="lt1"/>
            </a:solidFill>
          </a:ln>
          <a:effectLst/>
        </c:spPr>
      </c:pivotFmt>
      <c:pivotFmt>
        <c:idx val="517"/>
        <c:spPr>
          <a:solidFill>
            <a:schemeClr val="accent1"/>
          </a:solidFill>
          <a:ln w="19050">
            <a:solidFill>
              <a:schemeClr val="lt1"/>
            </a:solidFill>
          </a:ln>
          <a:effectLst/>
        </c:spPr>
      </c:pivotFmt>
      <c:pivotFmt>
        <c:idx val="518"/>
        <c:spPr>
          <a:solidFill>
            <a:schemeClr val="accent1"/>
          </a:solidFill>
          <a:ln w="19050">
            <a:solidFill>
              <a:schemeClr val="lt1"/>
            </a:solidFill>
          </a:ln>
          <a:effectLst/>
        </c:spPr>
      </c:pivotFmt>
      <c:pivotFmt>
        <c:idx val="519"/>
        <c:spPr>
          <a:solidFill>
            <a:schemeClr val="accent1"/>
          </a:solidFill>
          <a:ln w="19050">
            <a:solidFill>
              <a:schemeClr val="lt1"/>
            </a:solidFill>
          </a:ln>
          <a:effectLst/>
        </c:spPr>
      </c:pivotFmt>
      <c:pivotFmt>
        <c:idx val="520"/>
        <c:spPr>
          <a:solidFill>
            <a:schemeClr val="accent1"/>
          </a:solidFill>
          <a:ln w="19050">
            <a:solidFill>
              <a:schemeClr val="lt1"/>
            </a:solidFill>
          </a:ln>
          <a:effectLst/>
        </c:spPr>
      </c:pivotFmt>
      <c:pivotFmt>
        <c:idx val="521"/>
        <c:spPr>
          <a:solidFill>
            <a:schemeClr val="accent1"/>
          </a:solidFill>
          <a:ln w="19050">
            <a:solidFill>
              <a:schemeClr val="lt1"/>
            </a:solidFill>
          </a:ln>
          <a:effectLst/>
        </c:spPr>
      </c:pivotFmt>
      <c:pivotFmt>
        <c:idx val="522"/>
        <c:spPr>
          <a:solidFill>
            <a:schemeClr val="accent1"/>
          </a:solidFill>
          <a:ln w="19050">
            <a:solidFill>
              <a:schemeClr val="lt1"/>
            </a:solidFill>
          </a:ln>
          <a:effectLst/>
        </c:spPr>
      </c:pivotFmt>
      <c:pivotFmt>
        <c:idx val="523"/>
        <c:spPr>
          <a:solidFill>
            <a:schemeClr val="accent1"/>
          </a:solidFill>
          <a:ln w="19050">
            <a:solidFill>
              <a:schemeClr val="lt1"/>
            </a:solidFill>
          </a:ln>
          <a:effectLst/>
        </c:spPr>
      </c:pivotFmt>
      <c:pivotFmt>
        <c:idx val="524"/>
        <c:spPr>
          <a:solidFill>
            <a:schemeClr val="accent1"/>
          </a:solidFill>
          <a:ln w="19050">
            <a:solidFill>
              <a:schemeClr val="lt1"/>
            </a:solidFill>
          </a:ln>
          <a:effectLst/>
        </c:spPr>
      </c:pivotFmt>
      <c:pivotFmt>
        <c:idx val="525"/>
        <c:spPr>
          <a:solidFill>
            <a:schemeClr val="accent1"/>
          </a:solidFill>
          <a:ln w="19050">
            <a:solidFill>
              <a:schemeClr val="lt1"/>
            </a:solidFill>
          </a:ln>
          <a:effectLst/>
        </c:spPr>
      </c:pivotFmt>
      <c:pivotFmt>
        <c:idx val="526"/>
        <c:spPr>
          <a:solidFill>
            <a:schemeClr val="accent1"/>
          </a:solidFill>
          <a:ln w="19050">
            <a:solidFill>
              <a:schemeClr val="lt1"/>
            </a:solidFill>
          </a:ln>
          <a:effectLst/>
        </c:spPr>
      </c:pivotFmt>
      <c:pivotFmt>
        <c:idx val="527"/>
        <c:spPr>
          <a:solidFill>
            <a:schemeClr val="accent1"/>
          </a:solidFill>
          <a:ln w="19050">
            <a:solidFill>
              <a:schemeClr val="lt1"/>
            </a:solidFill>
          </a:ln>
          <a:effectLst/>
        </c:spPr>
      </c:pivotFmt>
      <c:pivotFmt>
        <c:idx val="528"/>
        <c:spPr>
          <a:solidFill>
            <a:schemeClr val="accent1"/>
          </a:solidFill>
          <a:ln w="19050">
            <a:solidFill>
              <a:schemeClr val="lt1"/>
            </a:solidFill>
          </a:ln>
          <a:effectLst/>
        </c:spPr>
      </c:pivotFmt>
      <c:pivotFmt>
        <c:idx val="529"/>
        <c:spPr>
          <a:solidFill>
            <a:schemeClr val="accent1"/>
          </a:solidFill>
          <a:ln w="19050">
            <a:solidFill>
              <a:schemeClr val="lt1"/>
            </a:solidFill>
          </a:ln>
          <a:effectLst/>
        </c:spPr>
      </c:pivotFmt>
      <c:pivotFmt>
        <c:idx val="530"/>
        <c:spPr>
          <a:solidFill>
            <a:schemeClr val="accent1"/>
          </a:solidFill>
          <a:ln w="19050">
            <a:solidFill>
              <a:schemeClr val="lt1"/>
            </a:solidFill>
          </a:ln>
          <a:effectLst/>
        </c:spPr>
      </c:pivotFmt>
      <c:pivotFmt>
        <c:idx val="531"/>
        <c:spPr>
          <a:solidFill>
            <a:schemeClr val="accent1"/>
          </a:solidFill>
          <a:ln w="19050">
            <a:solidFill>
              <a:schemeClr val="lt1"/>
            </a:solidFill>
          </a:ln>
          <a:effectLst/>
        </c:spPr>
      </c:pivotFmt>
      <c:pivotFmt>
        <c:idx val="532"/>
        <c:spPr>
          <a:solidFill>
            <a:schemeClr val="accent1"/>
          </a:solidFill>
          <a:ln w="19050">
            <a:solidFill>
              <a:schemeClr val="lt1"/>
            </a:solidFill>
          </a:ln>
          <a:effectLst/>
        </c:spPr>
      </c:pivotFmt>
      <c:pivotFmt>
        <c:idx val="533"/>
        <c:spPr>
          <a:solidFill>
            <a:schemeClr val="accent1"/>
          </a:solidFill>
          <a:ln w="19050">
            <a:solidFill>
              <a:schemeClr val="lt1"/>
            </a:solidFill>
          </a:ln>
          <a:effectLst/>
        </c:spPr>
      </c:pivotFmt>
      <c:pivotFmt>
        <c:idx val="534"/>
        <c:spPr>
          <a:solidFill>
            <a:schemeClr val="accent1"/>
          </a:solidFill>
          <a:ln w="19050">
            <a:solidFill>
              <a:schemeClr val="lt1"/>
            </a:solidFill>
          </a:ln>
          <a:effectLst/>
        </c:spPr>
      </c:pivotFmt>
      <c:pivotFmt>
        <c:idx val="535"/>
        <c:spPr>
          <a:solidFill>
            <a:schemeClr val="accent1"/>
          </a:solidFill>
          <a:ln w="19050">
            <a:solidFill>
              <a:schemeClr val="lt1"/>
            </a:solidFill>
          </a:ln>
          <a:effectLst/>
        </c:spPr>
      </c:pivotFmt>
      <c:pivotFmt>
        <c:idx val="536"/>
        <c:spPr>
          <a:solidFill>
            <a:schemeClr val="accent1"/>
          </a:solidFill>
          <a:ln w="19050">
            <a:solidFill>
              <a:schemeClr val="lt1"/>
            </a:solidFill>
          </a:ln>
          <a:effectLst/>
        </c:spPr>
      </c:pivotFmt>
      <c:pivotFmt>
        <c:idx val="537"/>
        <c:spPr>
          <a:solidFill>
            <a:schemeClr val="accent1"/>
          </a:solidFill>
          <a:ln w="19050">
            <a:solidFill>
              <a:schemeClr val="lt1"/>
            </a:solidFill>
          </a:ln>
          <a:effectLst/>
        </c:spPr>
      </c:pivotFmt>
      <c:pivotFmt>
        <c:idx val="538"/>
        <c:spPr>
          <a:solidFill>
            <a:schemeClr val="accent1"/>
          </a:solidFill>
          <a:ln w="19050">
            <a:solidFill>
              <a:schemeClr val="lt1"/>
            </a:solidFill>
          </a:ln>
          <a:effectLst/>
        </c:spPr>
      </c:pivotFmt>
      <c:pivotFmt>
        <c:idx val="539"/>
        <c:spPr>
          <a:solidFill>
            <a:schemeClr val="accent1"/>
          </a:solidFill>
          <a:ln w="19050">
            <a:solidFill>
              <a:schemeClr val="lt1"/>
            </a:solidFill>
          </a:ln>
          <a:effectLst/>
        </c:spPr>
      </c:pivotFmt>
      <c:pivotFmt>
        <c:idx val="540"/>
        <c:spPr>
          <a:solidFill>
            <a:schemeClr val="accent1"/>
          </a:solidFill>
          <a:ln w="19050">
            <a:solidFill>
              <a:schemeClr val="lt1"/>
            </a:solidFill>
          </a:ln>
          <a:effectLst/>
        </c:spPr>
      </c:pivotFmt>
      <c:pivotFmt>
        <c:idx val="541"/>
        <c:spPr>
          <a:solidFill>
            <a:schemeClr val="accent1"/>
          </a:solidFill>
          <a:ln w="19050">
            <a:solidFill>
              <a:schemeClr val="lt1"/>
            </a:solidFill>
          </a:ln>
          <a:effectLst/>
        </c:spPr>
      </c:pivotFmt>
      <c:pivotFmt>
        <c:idx val="542"/>
        <c:spPr>
          <a:solidFill>
            <a:schemeClr val="accent1"/>
          </a:solidFill>
          <a:ln w="19050">
            <a:solidFill>
              <a:schemeClr val="lt1"/>
            </a:solidFill>
          </a:ln>
          <a:effectLst/>
        </c:spPr>
      </c:pivotFmt>
      <c:pivotFmt>
        <c:idx val="543"/>
        <c:spPr>
          <a:solidFill>
            <a:schemeClr val="accent1"/>
          </a:solidFill>
          <a:ln w="19050">
            <a:solidFill>
              <a:schemeClr val="lt1"/>
            </a:solidFill>
          </a:ln>
          <a:effectLst/>
        </c:spPr>
      </c:pivotFmt>
      <c:pivotFmt>
        <c:idx val="544"/>
        <c:spPr>
          <a:solidFill>
            <a:schemeClr val="accent1"/>
          </a:solidFill>
          <a:ln w="19050">
            <a:solidFill>
              <a:schemeClr val="lt1"/>
            </a:solidFill>
          </a:ln>
          <a:effectLst/>
        </c:spPr>
      </c:pivotFmt>
      <c:pivotFmt>
        <c:idx val="545"/>
        <c:spPr>
          <a:solidFill>
            <a:schemeClr val="accent1"/>
          </a:solidFill>
          <a:ln w="19050">
            <a:solidFill>
              <a:schemeClr val="lt1"/>
            </a:solidFill>
          </a:ln>
          <a:effectLst/>
        </c:spPr>
      </c:pivotFmt>
      <c:pivotFmt>
        <c:idx val="546"/>
        <c:spPr>
          <a:solidFill>
            <a:schemeClr val="accent1"/>
          </a:solidFill>
          <a:ln w="19050">
            <a:solidFill>
              <a:schemeClr val="lt1"/>
            </a:solidFill>
          </a:ln>
          <a:effectLst/>
        </c:spPr>
      </c:pivotFmt>
      <c:pivotFmt>
        <c:idx val="547"/>
        <c:spPr>
          <a:solidFill>
            <a:schemeClr val="accent1"/>
          </a:solidFill>
          <a:ln w="19050">
            <a:solidFill>
              <a:schemeClr val="lt1"/>
            </a:solidFill>
          </a:ln>
          <a:effectLst/>
        </c:spPr>
      </c:pivotFmt>
      <c:pivotFmt>
        <c:idx val="548"/>
        <c:spPr>
          <a:solidFill>
            <a:schemeClr val="accent1"/>
          </a:solidFill>
          <a:ln w="19050">
            <a:solidFill>
              <a:schemeClr val="lt1"/>
            </a:solidFill>
          </a:ln>
          <a:effectLst/>
        </c:spPr>
      </c:pivotFmt>
      <c:pivotFmt>
        <c:idx val="549"/>
        <c:spPr>
          <a:solidFill>
            <a:schemeClr val="accent1"/>
          </a:solidFill>
          <a:ln w="19050">
            <a:solidFill>
              <a:schemeClr val="lt1"/>
            </a:solidFill>
          </a:ln>
          <a:effectLst/>
        </c:spPr>
      </c:pivotFmt>
      <c:pivotFmt>
        <c:idx val="550"/>
        <c:spPr>
          <a:solidFill>
            <a:schemeClr val="accent1"/>
          </a:solidFill>
          <a:ln w="19050">
            <a:solidFill>
              <a:schemeClr val="lt1"/>
            </a:solidFill>
          </a:ln>
          <a:effectLst/>
        </c:spPr>
      </c:pivotFmt>
      <c:pivotFmt>
        <c:idx val="551"/>
        <c:spPr>
          <a:solidFill>
            <a:schemeClr val="accent1"/>
          </a:solidFill>
          <a:ln w="19050">
            <a:solidFill>
              <a:schemeClr val="lt1"/>
            </a:solidFill>
          </a:ln>
          <a:effectLst/>
        </c:spPr>
      </c:pivotFmt>
      <c:pivotFmt>
        <c:idx val="552"/>
        <c:spPr>
          <a:solidFill>
            <a:schemeClr val="accent1"/>
          </a:solidFill>
          <a:ln w="19050">
            <a:solidFill>
              <a:schemeClr val="lt1"/>
            </a:solidFill>
          </a:ln>
          <a:effectLst/>
        </c:spPr>
      </c:pivotFmt>
      <c:pivotFmt>
        <c:idx val="553"/>
        <c:spPr>
          <a:solidFill>
            <a:schemeClr val="accent1"/>
          </a:solidFill>
          <a:ln w="19050">
            <a:solidFill>
              <a:schemeClr val="lt1"/>
            </a:solidFill>
          </a:ln>
          <a:effectLst/>
        </c:spPr>
      </c:pivotFmt>
      <c:pivotFmt>
        <c:idx val="554"/>
        <c:spPr>
          <a:solidFill>
            <a:schemeClr val="accent1"/>
          </a:solidFill>
          <a:ln w="19050">
            <a:solidFill>
              <a:schemeClr val="lt1"/>
            </a:solidFill>
          </a:ln>
          <a:effectLst/>
        </c:spPr>
      </c:pivotFmt>
      <c:pivotFmt>
        <c:idx val="555"/>
        <c:spPr>
          <a:solidFill>
            <a:schemeClr val="accent1"/>
          </a:solidFill>
          <a:ln w="19050">
            <a:solidFill>
              <a:schemeClr val="lt1"/>
            </a:solidFill>
          </a:ln>
          <a:effectLst/>
        </c:spPr>
      </c:pivotFmt>
      <c:pivotFmt>
        <c:idx val="556"/>
        <c:spPr>
          <a:solidFill>
            <a:schemeClr val="accent1"/>
          </a:solidFill>
          <a:ln w="19050">
            <a:solidFill>
              <a:schemeClr val="lt1"/>
            </a:solidFill>
          </a:ln>
          <a:effectLst/>
        </c:spPr>
      </c:pivotFmt>
      <c:pivotFmt>
        <c:idx val="557"/>
        <c:spPr>
          <a:solidFill>
            <a:schemeClr val="accent1"/>
          </a:solidFill>
          <a:ln w="19050">
            <a:solidFill>
              <a:schemeClr val="lt1"/>
            </a:solidFill>
          </a:ln>
          <a:effectLst/>
        </c:spPr>
      </c:pivotFmt>
      <c:pivotFmt>
        <c:idx val="558"/>
        <c:spPr>
          <a:solidFill>
            <a:schemeClr val="accent1"/>
          </a:solidFill>
          <a:ln w="19050">
            <a:solidFill>
              <a:schemeClr val="lt1"/>
            </a:solidFill>
          </a:ln>
          <a:effectLst/>
        </c:spPr>
      </c:pivotFmt>
      <c:pivotFmt>
        <c:idx val="559"/>
        <c:spPr>
          <a:solidFill>
            <a:schemeClr val="accent1"/>
          </a:solidFill>
          <a:ln w="19050">
            <a:solidFill>
              <a:schemeClr val="lt1"/>
            </a:solidFill>
          </a:ln>
          <a:effectLst/>
        </c:spPr>
      </c:pivotFmt>
      <c:pivotFmt>
        <c:idx val="560"/>
        <c:spPr>
          <a:solidFill>
            <a:schemeClr val="accent1"/>
          </a:solidFill>
          <a:ln w="19050">
            <a:solidFill>
              <a:schemeClr val="lt1"/>
            </a:solidFill>
          </a:ln>
          <a:effectLst/>
        </c:spPr>
      </c:pivotFmt>
      <c:pivotFmt>
        <c:idx val="561"/>
        <c:spPr>
          <a:solidFill>
            <a:schemeClr val="accent1"/>
          </a:solidFill>
          <a:ln w="19050">
            <a:solidFill>
              <a:schemeClr val="lt1"/>
            </a:solidFill>
          </a:ln>
          <a:effectLst/>
        </c:spPr>
      </c:pivotFmt>
      <c:pivotFmt>
        <c:idx val="562"/>
        <c:spPr>
          <a:solidFill>
            <a:schemeClr val="accent1"/>
          </a:solidFill>
          <a:ln w="19050">
            <a:solidFill>
              <a:schemeClr val="lt1"/>
            </a:solidFill>
          </a:ln>
          <a:effectLst/>
        </c:spPr>
      </c:pivotFmt>
      <c:pivotFmt>
        <c:idx val="563"/>
        <c:spPr>
          <a:solidFill>
            <a:schemeClr val="accent1"/>
          </a:solidFill>
          <a:ln w="19050">
            <a:solidFill>
              <a:schemeClr val="lt1"/>
            </a:solidFill>
          </a:ln>
          <a:effectLst/>
        </c:spPr>
      </c:pivotFmt>
      <c:pivotFmt>
        <c:idx val="564"/>
        <c:spPr>
          <a:solidFill>
            <a:schemeClr val="accent1"/>
          </a:solidFill>
          <a:ln w="19050">
            <a:solidFill>
              <a:schemeClr val="lt1"/>
            </a:solidFill>
          </a:ln>
          <a:effectLst/>
        </c:spPr>
      </c:pivotFmt>
      <c:pivotFmt>
        <c:idx val="565"/>
        <c:spPr>
          <a:solidFill>
            <a:schemeClr val="accent1"/>
          </a:solidFill>
          <a:ln w="19050">
            <a:solidFill>
              <a:schemeClr val="lt1"/>
            </a:solidFill>
          </a:ln>
          <a:effectLst/>
        </c:spPr>
      </c:pivotFmt>
      <c:pivotFmt>
        <c:idx val="566"/>
        <c:spPr>
          <a:solidFill>
            <a:schemeClr val="accent1"/>
          </a:solidFill>
          <a:ln w="19050">
            <a:solidFill>
              <a:schemeClr val="lt1"/>
            </a:solidFill>
          </a:ln>
          <a:effectLst/>
        </c:spPr>
      </c:pivotFmt>
      <c:pivotFmt>
        <c:idx val="567"/>
        <c:spPr>
          <a:solidFill>
            <a:schemeClr val="accent1"/>
          </a:solidFill>
          <a:ln w="19050">
            <a:solidFill>
              <a:schemeClr val="lt1"/>
            </a:solidFill>
          </a:ln>
          <a:effectLst/>
        </c:spPr>
      </c:pivotFmt>
      <c:pivotFmt>
        <c:idx val="568"/>
        <c:spPr>
          <a:solidFill>
            <a:schemeClr val="accent1"/>
          </a:solidFill>
          <a:ln w="19050">
            <a:solidFill>
              <a:schemeClr val="lt1"/>
            </a:solidFill>
          </a:ln>
          <a:effectLst/>
        </c:spPr>
      </c:pivotFmt>
      <c:pivotFmt>
        <c:idx val="569"/>
        <c:spPr>
          <a:solidFill>
            <a:schemeClr val="accent1"/>
          </a:solidFill>
          <a:ln w="19050">
            <a:solidFill>
              <a:schemeClr val="lt1"/>
            </a:solidFill>
          </a:ln>
          <a:effectLst/>
        </c:spPr>
      </c:pivotFmt>
      <c:pivotFmt>
        <c:idx val="570"/>
        <c:spPr>
          <a:solidFill>
            <a:schemeClr val="accent1"/>
          </a:solidFill>
          <a:ln w="19050">
            <a:solidFill>
              <a:schemeClr val="lt1"/>
            </a:solidFill>
          </a:ln>
          <a:effectLst/>
        </c:spPr>
      </c:pivotFmt>
      <c:pivotFmt>
        <c:idx val="571"/>
        <c:spPr>
          <a:solidFill>
            <a:schemeClr val="accent1"/>
          </a:solidFill>
          <a:ln w="19050">
            <a:solidFill>
              <a:schemeClr val="lt1"/>
            </a:solidFill>
          </a:ln>
          <a:effectLst/>
        </c:spPr>
      </c:pivotFmt>
      <c:pivotFmt>
        <c:idx val="572"/>
        <c:spPr>
          <a:solidFill>
            <a:schemeClr val="accent1"/>
          </a:solidFill>
          <a:ln w="19050">
            <a:solidFill>
              <a:schemeClr val="lt1"/>
            </a:solidFill>
          </a:ln>
          <a:effectLst/>
        </c:spPr>
      </c:pivotFmt>
      <c:pivotFmt>
        <c:idx val="573"/>
        <c:spPr>
          <a:solidFill>
            <a:schemeClr val="accent1"/>
          </a:solidFill>
          <a:ln w="19050">
            <a:solidFill>
              <a:schemeClr val="lt1"/>
            </a:solidFill>
          </a:ln>
          <a:effectLst/>
        </c:spPr>
      </c:pivotFmt>
      <c:pivotFmt>
        <c:idx val="574"/>
        <c:spPr>
          <a:solidFill>
            <a:schemeClr val="accent1"/>
          </a:solidFill>
          <a:ln w="19050">
            <a:solidFill>
              <a:schemeClr val="lt1"/>
            </a:solidFill>
          </a:ln>
          <a:effectLst/>
        </c:spPr>
      </c:pivotFmt>
      <c:pivotFmt>
        <c:idx val="575"/>
        <c:spPr>
          <a:solidFill>
            <a:schemeClr val="accent1"/>
          </a:solidFill>
          <a:ln w="19050">
            <a:solidFill>
              <a:schemeClr val="lt1"/>
            </a:solidFill>
          </a:ln>
          <a:effectLst/>
        </c:spPr>
      </c:pivotFmt>
      <c:pivotFmt>
        <c:idx val="576"/>
        <c:spPr>
          <a:solidFill>
            <a:schemeClr val="accent1"/>
          </a:solidFill>
          <a:ln w="19050">
            <a:solidFill>
              <a:schemeClr val="lt1"/>
            </a:solidFill>
          </a:ln>
          <a:effectLst/>
        </c:spPr>
      </c:pivotFmt>
      <c:pivotFmt>
        <c:idx val="577"/>
        <c:spPr>
          <a:solidFill>
            <a:schemeClr val="accent1"/>
          </a:solidFill>
          <a:ln w="19050">
            <a:solidFill>
              <a:schemeClr val="lt1"/>
            </a:solidFill>
          </a:ln>
          <a:effectLst/>
        </c:spPr>
      </c:pivotFmt>
      <c:pivotFmt>
        <c:idx val="578"/>
        <c:spPr>
          <a:solidFill>
            <a:schemeClr val="accent1"/>
          </a:solidFill>
          <a:ln w="19050">
            <a:solidFill>
              <a:schemeClr val="lt1"/>
            </a:solidFill>
          </a:ln>
          <a:effectLst/>
        </c:spPr>
      </c:pivotFmt>
      <c:pivotFmt>
        <c:idx val="579"/>
        <c:spPr>
          <a:solidFill>
            <a:schemeClr val="accent1"/>
          </a:solidFill>
          <a:ln w="19050">
            <a:solidFill>
              <a:schemeClr val="lt1"/>
            </a:solidFill>
          </a:ln>
          <a:effectLst/>
        </c:spPr>
      </c:pivotFmt>
      <c:pivotFmt>
        <c:idx val="580"/>
        <c:spPr>
          <a:solidFill>
            <a:schemeClr val="accent1"/>
          </a:solidFill>
          <a:ln w="19050">
            <a:solidFill>
              <a:schemeClr val="lt1"/>
            </a:solidFill>
          </a:ln>
          <a:effectLst/>
        </c:spPr>
      </c:pivotFmt>
      <c:pivotFmt>
        <c:idx val="581"/>
        <c:spPr>
          <a:solidFill>
            <a:schemeClr val="accent1"/>
          </a:solidFill>
          <a:ln w="19050">
            <a:solidFill>
              <a:schemeClr val="lt1"/>
            </a:solidFill>
          </a:ln>
          <a:effectLst/>
        </c:spPr>
      </c:pivotFmt>
      <c:pivotFmt>
        <c:idx val="582"/>
        <c:spPr>
          <a:solidFill>
            <a:schemeClr val="accent1"/>
          </a:solidFill>
          <a:ln w="19050">
            <a:solidFill>
              <a:schemeClr val="lt1"/>
            </a:solidFill>
          </a:ln>
          <a:effectLst/>
        </c:spPr>
      </c:pivotFmt>
      <c:pivotFmt>
        <c:idx val="583"/>
        <c:spPr>
          <a:solidFill>
            <a:schemeClr val="accent1"/>
          </a:solidFill>
          <a:ln w="19050">
            <a:solidFill>
              <a:schemeClr val="lt1"/>
            </a:solidFill>
          </a:ln>
          <a:effectLst/>
        </c:spPr>
      </c:pivotFmt>
      <c:pivotFmt>
        <c:idx val="584"/>
        <c:spPr>
          <a:solidFill>
            <a:schemeClr val="accent1"/>
          </a:solidFill>
          <a:ln w="19050">
            <a:solidFill>
              <a:schemeClr val="lt1"/>
            </a:solidFill>
          </a:ln>
          <a:effectLst/>
        </c:spPr>
      </c:pivotFmt>
      <c:pivotFmt>
        <c:idx val="585"/>
        <c:spPr>
          <a:solidFill>
            <a:schemeClr val="accent1"/>
          </a:solidFill>
          <a:ln w="19050">
            <a:solidFill>
              <a:schemeClr val="lt1"/>
            </a:solidFill>
          </a:ln>
          <a:effectLst/>
        </c:spPr>
      </c:pivotFmt>
      <c:pivotFmt>
        <c:idx val="586"/>
        <c:spPr>
          <a:solidFill>
            <a:schemeClr val="accent1"/>
          </a:solidFill>
          <a:ln w="19050">
            <a:solidFill>
              <a:schemeClr val="lt1"/>
            </a:solidFill>
          </a:ln>
          <a:effectLst/>
        </c:spPr>
      </c:pivotFmt>
      <c:pivotFmt>
        <c:idx val="587"/>
        <c:spPr>
          <a:solidFill>
            <a:schemeClr val="accent1"/>
          </a:solidFill>
          <a:ln w="19050">
            <a:solidFill>
              <a:schemeClr val="lt1"/>
            </a:solidFill>
          </a:ln>
          <a:effectLst/>
        </c:spPr>
      </c:pivotFmt>
      <c:pivotFmt>
        <c:idx val="588"/>
        <c:spPr>
          <a:solidFill>
            <a:schemeClr val="accent1"/>
          </a:solidFill>
          <a:ln w="19050">
            <a:solidFill>
              <a:schemeClr val="lt1"/>
            </a:solidFill>
          </a:ln>
          <a:effectLst/>
        </c:spPr>
      </c:pivotFmt>
      <c:pivotFmt>
        <c:idx val="589"/>
        <c:spPr>
          <a:solidFill>
            <a:schemeClr val="accent1"/>
          </a:solidFill>
          <a:ln w="19050">
            <a:solidFill>
              <a:schemeClr val="lt1"/>
            </a:solidFill>
          </a:ln>
          <a:effectLst/>
        </c:spPr>
      </c:pivotFmt>
      <c:pivotFmt>
        <c:idx val="590"/>
        <c:spPr>
          <a:solidFill>
            <a:schemeClr val="accent1"/>
          </a:solidFill>
          <a:ln w="19050">
            <a:solidFill>
              <a:schemeClr val="lt1"/>
            </a:solidFill>
          </a:ln>
          <a:effectLst/>
        </c:spPr>
      </c:pivotFmt>
      <c:pivotFmt>
        <c:idx val="591"/>
        <c:spPr>
          <a:solidFill>
            <a:schemeClr val="accent1"/>
          </a:solidFill>
          <a:ln w="19050">
            <a:solidFill>
              <a:schemeClr val="lt1"/>
            </a:solidFill>
          </a:ln>
          <a:effectLst/>
        </c:spPr>
      </c:pivotFmt>
      <c:pivotFmt>
        <c:idx val="592"/>
        <c:spPr>
          <a:solidFill>
            <a:schemeClr val="accent1"/>
          </a:solidFill>
          <a:ln w="19050">
            <a:solidFill>
              <a:schemeClr val="lt1"/>
            </a:solidFill>
          </a:ln>
          <a:effectLst/>
        </c:spPr>
      </c:pivotFmt>
      <c:pivotFmt>
        <c:idx val="593"/>
        <c:spPr>
          <a:solidFill>
            <a:schemeClr val="accent1"/>
          </a:solidFill>
          <a:ln w="19050">
            <a:solidFill>
              <a:schemeClr val="lt1"/>
            </a:solidFill>
          </a:ln>
          <a:effectLst/>
        </c:spPr>
      </c:pivotFmt>
      <c:pivotFmt>
        <c:idx val="594"/>
        <c:spPr>
          <a:solidFill>
            <a:schemeClr val="accent1"/>
          </a:solidFill>
          <a:ln w="19050">
            <a:solidFill>
              <a:schemeClr val="lt1"/>
            </a:solidFill>
          </a:ln>
          <a:effectLst/>
        </c:spPr>
      </c:pivotFmt>
      <c:pivotFmt>
        <c:idx val="595"/>
        <c:spPr>
          <a:solidFill>
            <a:schemeClr val="accent1"/>
          </a:solidFill>
          <a:ln w="19050">
            <a:solidFill>
              <a:schemeClr val="lt1"/>
            </a:solidFill>
          </a:ln>
          <a:effectLst/>
        </c:spPr>
      </c:pivotFmt>
      <c:pivotFmt>
        <c:idx val="596"/>
        <c:spPr>
          <a:solidFill>
            <a:schemeClr val="accent1"/>
          </a:solidFill>
          <a:ln w="19050">
            <a:solidFill>
              <a:schemeClr val="lt1"/>
            </a:solidFill>
          </a:ln>
          <a:effectLst/>
        </c:spPr>
      </c:pivotFmt>
      <c:pivotFmt>
        <c:idx val="597"/>
        <c:spPr>
          <a:solidFill>
            <a:schemeClr val="accent1"/>
          </a:solidFill>
          <a:ln w="19050">
            <a:solidFill>
              <a:schemeClr val="lt1"/>
            </a:solidFill>
          </a:ln>
          <a:effectLst/>
        </c:spPr>
      </c:pivotFmt>
      <c:pivotFmt>
        <c:idx val="598"/>
        <c:spPr>
          <a:solidFill>
            <a:schemeClr val="accent1"/>
          </a:solidFill>
          <a:ln w="19050">
            <a:solidFill>
              <a:schemeClr val="lt1"/>
            </a:solidFill>
          </a:ln>
          <a:effectLst/>
        </c:spPr>
      </c:pivotFmt>
      <c:pivotFmt>
        <c:idx val="599"/>
        <c:spPr>
          <a:solidFill>
            <a:schemeClr val="accent1"/>
          </a:solidFill>
          <a:ln w="19050">
            <a:solidFill>
              <a:schemeClr val="lt1"/>
            </a:solidFill>
          </a:ln>
          <a:effectLst/>
        </c:spPr>
      </c:pivotFmt>
      <c:pivotFmt>
        <c:idx val="600"/>
        <c:spPr>
          <a:solidFill>
            <a:schemeClr val="accent1"/>
          </a:solidFill>
          <a:ln w="19050">
            <a:solidFill>
              <a:schemeClr val="lt1"/>
            </a:solidFill>
          </a:ln>
          <a:effectLst/>
        </c:spPr>
      </c:pivotFmt>
      <c:pivotFmt>
        <c:idx val="601"/>
        <c:spPr>
          <a:solidFill>
            <a:schemeClr val="accent1"/>
          </a:solidFill>
          <a:ln w="19050">
            <a:solidFill>
              <a:schemeClr val="lt1"/>
            </a:solidFill>
          </a:ln>
          <a:effectLst/>
        </c:spPr>
      </c:pivotFmt>
      <c:pivotFmt>
        <c:idx val="602"/>
        <c:spPr>
          <a:solidFill>
            <a:schemeClr val="accent1"/>
          </a:solidFill>
          <a:ln w="19050">
            <a:solidFill>
              <a:schemeClr val="lt1"/>
            </a:solidFill>
          </a:ln>
          <a:effectLst/>
        </c:spPr>
      </c:pivotFmt>
      <c:pivotFmt>
        <c:idx val="603"/>
        <c:spPr>
          <a:solidFill>
            <a:schemeClr val="accent1"/>
          </a:solidFill>
          <a:ln w="19050">
            <a:solidFill>
              <a:schemeClr val="lt1"/>
            </a:solidFill>
          </a:ln>
          <a:effectLst/>
        </c:spPr>
      </c:pivotFmt>
      <c:pivotFmt>
        <c:idx val="604"/>
        <c:spPr>
          <a:solidFill>
            <a:schemeClr val="accent1"/>
          </a:solidFill>
          <a:ln w="19050">
            <a:solidFill>
              <a:schemeClr val="lt1"/>
            </a:solidFill>
          </a:ln>
          <a:effectLst/>
        </c:spPr>
      </c:pivotFmt>
      <c:pivotFmt>
        <c:idx val="605"/>
        <c:spPr>
          <a:solidFill>
            <a:schemeClr val="accent1"/>
          </a:solidFill>
          <a:ln w="19050">
            <a:solidFill>
              <a:schemeClr val="lt1"/>
            </a:solidFill>
          </a:ln>
          <a:effectLst/>
        </c:spPr>
      </c:pivotFmt>
      <c:pivotFmt>
        <c:idx val="606"/>
        <c:spPr>
          <a:solidFill>
            <a:schemeClr val="accent1"/>
          </a:solidFill>
          <a:ln w="19050">
            <a:solidFill>
              <a:schemeClr val="lt1"/>
            </a:solidFill>
          </a:ln>
          <a:effectLst/>
        </c:spPr>
      </c:pivotFmt>
      <c:pivotFmt>
        <c:idx val="607"/>
        <c:spPr>
          <a:solidFill>
            <a:schemeClr val="accent1"/>
          </a:solidFill>
          <a:ln w="19050">
            <a:solidFill>
              <a:schemeClr val="lt1"/>
            </a:solidFill>
          </a:ln>
          <a:effectLst/>
        </c:spPr>
      </c:pivotFmt>
      <c:pivotFmt>
        <c:idx val="608"/>
        <c:spPr>
          <a:solidFill>
            <a:schemeClr val="accent1"/>
          </a:solidFill>
          <a:ln w="19050">
            <a:solidFill>
              <a:schemeClr val="lt1"/>
            </a:solidFill>
          </a:ln>
          <a:effectLst/>
        </c:spPr>
      </c:pivotFmt>
      <c:pivotFmt>
        <c:idx val="609"/>
        <c:spPr>
          <a:solidFill>
            <a:schemeClr val="accent1"/>
          </a:solidFill>
          <a:ln w="19050">
            <a:solidFill>
              <a:schemeClr val="lt1"/>
            </a:solidFill>
          </a:ln>
          <a:effectLst/>
        </c:spPr>
      </c:pivotFmt>
      <c:pivotFmt>
        <c:idx val="610"/>
        <c:spPr>
          <a:solidFill>
            <a:schemeClr val="accent1"/>
          </a:solidFill>
          <a:ln w="19050">
            <a:solidFill>
              <a:schemeClr val="lt1"/>
            </a:solidFill>
          </a:ln>
          <a:effectLst/>
        </c:spPr>
      </c:pivotFmt>
      <c:pivotFmt>
        <c:idx val="611"/>
        <c:spPr>
          <a:solidFill>
            <a:schemeClr val="accent1"/>
          </a:solidFill>
          <a:ln w="19050">
            <a:solidFill>
              <a:schemeClr val="lt1"/>
            </a:solidFill>
          </a:ln>
          <a:effectLst/>
        </c:spPr>
      </c:pivotFmt>
      <c:pivotFmt>
        <c:idx val="612"/>
        <c:spPr>
          <a:solidFill>
            <a:schemeClr val="accent1"/>
          </a:solidFill>
          <a:ln w="19050">
            <a:solidFill>
              <a:schemeClr val="lt1"/>
            </a:solidFill>
          </a:ln>
          <a:effectLst/>
        </c:spPr>
      </c:pivotFmt>
      <c:pivotFmt>
        <c:idx val="613"/>
        <c:spPr>
          <a:solidFill>
            <a:schemeClr val="accent1"/>
          </a:solidFill>
          <a:ln w="19050">
            <a:solidFill>
              <a:schemeClr val="lt1"/>
            </a:solidFill>
          </a:ln>
          <a:effectLst/>
        </c:spPr>
      </c:pivotFmt>
      <c:pivotFmt>
        <c:idx val="614"/>
        <c:spPr>
          <a:solidFill>
            <a:schemeClr val="accent1"/>
          </a:solidFill>
          <a:ln w="19050">
            <a:solidFill>
              <a:schemeClr val="lt1"/>
            </a:solidFill>
          </a:ln>
          <a:effectLst/>
        </c:spPr>
      </c:pivotFmt>
      <c:pivotFmt>
        <c:idx val="615"/>
        <c:spPr>
          <a:solidFill>
            <a:schemeClr val="accent1"/>
          </a:solidFill>
          <a:ln w="19050">
            <a:solidFill>
              <a:schemeClr val="lt1"/>
            </a:solidFill>
          </a:ln>
          <a:effectLst/>
        </c:spPr>
      </c:pivotFmt>
      <c:pivotFmt>
        <c:idx val="616"/>
        <c:spPr>
          <a:solidFill>
            <a:schemeClr val="accent1"/>
          </a:solidFill>
          <a:ln w="19050">
            <a:solidFill>
              <a:schemeClr val="lt1"/>
            </a:solidFill>
          </a:ln>
          <a:effectLst/>
        </c:spPr>
      </c:pivotFmt>
      <c:pivotFmt>
        <c:idx val="617"/>
        <c:spPr>
          <a:solidFill>
            <a:schemeClr val="accent1"/>
          </a:solidFill>
          <a:ln w="19050">
            <a:solidFill>
              <a:schemeClr val="lt1"/>
            </a:solidFill>
          </a:ln>
          <a:effectLst/>
        </c:spPr>
      </c:pivotFmt>
      <c:pivotFmt>
        <c:idx val="618"/>
        <c:spPr>
          <a:solidFill>
            <a:schemeClr val="accent1"/>
          </a:solidFill>
          <a:ln w="19050">
            <a:solidFill>
              <a:schemeClr val="lt1"/>
            </a:solidFill>
          </a:ln>
          <a:effectLst/>
        </c:spPr>
      </c:pivotFmt>
      <c:pivotFmt>
        <c:idx val="619"/>
        <c:spPr>
          <a:solidFill>
            <a:schemeClr val="accent1"/>
          </a:solidFill>
          <a:ln w="19050">
            <a:solidFill>
              <a:schemeClr val="lt1"/>
            </a:solidFill>
          </a:ln>
          <a:effectLst/>
        </c:spPr>
      </c:pivotFmt>
      <c:pivotFmt>
        <c:idx val="620"/>
        <c:spPr>
          <a:solidFill>
            <a:schemeClr val="accent1"/>
          </a:solidFill>
          <a:ln w="19050">
            <a:solidFill>
              <a:schemeClr val="lt1"/>
            </a:solidFill>
          </a:ln>
          <a:effectLst/>
        </c:spPr>
      </c:pivotFmt>
      <c:pivotFmt>
        <c:idx val="621"/>
        <c:spPr>
          <a:solidFill>
            <a:schemeClr val="accent1"/>
          </a:solidFill>
          <a:ln w="19050">
            <a:solidFill>
              <a:schemeClr val="lt1"/>
            </a:solidFill>
          </a:ln>
          <a:effectLst/>
        </c:spPr>
      </c:pivotFmt>
      <c:pivotFmt>
        <c:idx val="622"/>
        <c:spPr>
          <a:solidFill>
            <a:schemeClr val="accent1"/>
          </a:solidFill>
          <a:ln w="19050">
            <a:solidFill>
              <a:schemeClr val="lt1"/>
            </a:solidFill>
          </a:ln>
          <a:effectLst/>
        </c:spPr>
      </c:pivotFmt>
      <c:pivotFmt>
        <c:idx val="623"/>
        <c:spPr>
          <a:solidFill>
            <a:schemeClr val="accent1"/>
          </a:solidFill>
          <a:ln w="19050">
            <a:solidFill>
              <a:schemeClr val="lt1"/>
            </a:solidFill>
          </a:ln>
          <a:effectLst/>
        </c:spPr>
      </c:pivotFmt>
      <c:pivotFmt>
        <c:idx val="624"/>
        <c:spPr>
          <a:solidFill>
            <a:schemeClr val="accent1"/>
          </a:solidFill>
          <a:ln w="19050">
            <a:solidFill>
              <a:schemeClr val="lt1"/>
            </a:solidFill>
          </a:ln>
          <a:effectLst/>
        </c:spPr>
      </c:pivotFmt>
      <c:pivotFmt>
        <c:idx val="625"/>
        <c:spPr>
          <a:solidFill>
            <a:schemeClr val="accent1"/>
          </a:solidFill>
          <a:ln w="19050">
            <a:solidFill>
              <a:schemeClr val="lt1"/>
            </a:solidFill>
          </a:ln>
          <a:effectLst/>
        </c:spPr>
      </c:pivotFmt>
      <c:pivotFmt>
        <c:idx val="626"/>
        <c:spPr>
          <a:solidFill>
            <a:schemeClr val="accent1"/>
          </a:solidFill>
          <a:ln w="19050">
            <a:solidFill>
              <a:schemeClr val="lt1"/>
            </a:solidFill>
          </a:ln>
          <a:effectLst/>
        </c:spPr>
      </c:pivotFmt>
      <c:pivotFmt>
        <c:idx val="627"/>
        <c:spPr>
          <a:solidFill>
            <a:schemeClr val="accent1"/>
          </a:solidFill>
          <a:ln w="19050">
            <a:solidFill>
              <a:schemeClr val="lt1"/>
            </a:solidFill>
          </a:ln>
          <a:effectLst/>
        </c:spPr>
      </c:pivotFmt>
      <c:pivotFmt>
        <c:idx val="628"/>
        <c:spPr>
          <a:solidFill>
            <a:schemeClr val="accent1"/>
          </a:solidFill>
          <a:ln w="19050">
            <a:solidFill>
              <a:schemeClr val="lt1"/>
            </a:solidFill>
          </a:ln>
          <a:effectLst/>
        </c:spPr>
      </c:pivotFmt>
      <c:pivotFmt>
        <c:idx val="629"/>
        <c:spPr>
          <a:solidFill>
            <a:schemeClr val="accent1"/>
          </a:solidFill>
          <a:ln w="19050">
            <a:solidFill>
              <a:schemeClr val="lt1"/>
            </a:solidFill>
          </a:ln>
          <a:effectLst/>
        </c:spPr>
      </c:pivotFmt>
      <c:pivotFmt>
        <c:idx val="630"/>
        <c:spPr>
          <a:solidFill>
            <a:schemeClr val="accent1"/>
          </a:solidFill>
          <a:ln w="19050">
            <a:solidFill>
              <a:schemeClr val="lt1"/>
            </a:solidFill>
          </a:ln>
          <a:effectLst/>
        </c:spPr>
      </c:pivotFmt>
      <c:pivotFmt>
        <c:idx val="631"/>
        <c:spPr>
          <a:solidFill>
            <a:schemeClr val="accent1"/>
          </a:solidFill>
          <a:ln w="19050">
            <a:solidFill>
              <a:schemeClr val="lt1"/>
            </a:solidFill>
          </a:ln>
          <a:effectLst/>
        </c:spPr>
      </c:pivotFmt>
      <c:pivotFmt>
        <c:idx val="632"/>
        <c:spPr>
          <a:solidFill>
            <a:schemeClr val="accent1"/>
          </a:solidFill>
          <a:ln w="19050">
            <a:solidFill>
              <a:schemeClr val="lt1"/>
            </a:solidFill>
          </a:ln>
          <a:effectLst/>
        </c:spPr>
      </c:pivotFmt>
      <c:pivotFmt>
        <c:idx val="633"/>
        <c:spPr>
          <a:solidFill>
            <a:schemeClr val="accent1"/>
          </a:solidFill>
          <a:ln w="19050">
            <a:solidFill>
              <a:schemeClr val="lt1"/>
            </a:solidFill>
          </a:ln>
          <a:effectLst/>
        </c:spPr>
      </c:pivotFmt>
      <c:pivotFmt>
        <c:idx val="634"/>
        <c:spPr>
          <a:solidFill>
            <a:schemeClr val="accent1"/>
          </a:solidFill>
          <a:ln w="19050">
            <a:solidFill>
              <a:schemeClr val="lt1"/>
            </a:solidFill>
          </a:ln>
          <a:effectLst/>
        </c:spPr>
      </c:pivotFmt>
      <c:pivotFmt>
        <c:idx val="635"/>
        <c:spPr>
          <a:solidFill>
            <a:schemeClr val="accent1"/>
          </a:solidFill>
          <a:ln w="19050">
            <a:solidFill>
              <a:schemeClr val="lt1"/>
            </a:solidFill>
          </a:ln>
          <a:effectLst/>
        </c:spPr>
      </c:pivotFmt>
      <c:pivotFmt>
        <c:idx val="636"/>
        <c:spPr>
          <a:solidFill>
            <a:schemeClr val="accent1"/>
          </a:solidFill>
          <a:ln w="19050">
            <a:solidFill>
              <a:schemeClr val="lt1"/>
            </a:solidFill>
          </a:ln>
          <a:effectLst/>
        </c:spPr>
      </c:pivotFmt>
      <c:pivotFmt>
        <c:idx val="637"/>
        <c:spPr>
          <a:solidFill>
            <a:schemeClr val="accent1"/>
          </a:solidFill>
          <a:ln w="19050">
            <a:solidFill>
              <a:schemeClr val="lt1"/>
            </a:solidFill>
          </a:ln>
          <a:effectLst/>
        </c:spPr>
      </c:pivotFmt>
      <c:pivotFmt>
        <c:idx val="638"/>
        <c:spPr>
          <a:solidFill>
            <a:schemeClr val="accent1"/>
          </a:solidFill>
          <a:ln w="19050">
            <a:solidFill>
              <a:schemeClr val="lt1"/>
            </a:solidFill>
          </a:ln>
          <a:effectLst/>
        </c:spPr>
      </c:pivotFmt>
      <c:pivotFmt>
        <c:idx val="639"/>
        <c:spPr>
          <a:solidFill>
            <a:schemeClr val="accent1"/>
          </a:solidFill>
          <a:ln w="19050">
            <a:solidFill>
              <a:schemeClr val="lt1"/>
            </a:solidFill>
          </a:ln>
          <a:effectLst/>
        </c:spPr>
      </c:pivotFmt>
      <c:pivotFmt>
        <c:idx val="640"/>
        <c:spPr>
          <a:solidFill>
            <a:schemeClr val="accent1"/>
          </a:solidFill>
          <a:ln w="19050">
            <a:solidFill>
              <a:schemeClr val="lt1"/>
            </a:solidFill>
          </a:ln>
          <a:effectLst/>
        </c:spPr>
      </c:pivotFmt>
      <c:pivotFmt>
        <c:idx val="641"/>
        <c:spPr>
          <a:solidFill>
            <a:schemeClr val="accent1"/>
          </a:solidFill>
          <a:ln w="19050">
            <a:solidFill>
              <a:schemeClr val="lt1"/>
            </a:solidFill>
          </a:ln>
          <a:effectLst/>
        </c:spPr>
      </c:pivotFmt>
      <c:pivotFmt>
        <c:idx val="642"/>
        <c:spPr>
          <a:solidFill>
            <a:schemeClr val="accent1"/>
          </a:solidFill>
          <a:ln w="19050">
            <a:solidFill>
              <a:schemeClr val="lt1"/>
            </a:solidFill>
          </a:ln>
          <a:effectLst/>
        </c:spPr>
      </c:pivotFmt>
      <c:pivotFmt>
        <c:idx val="643"/>
        <c:spPr>
          <a:solidFill>
            <a:schemeClr val="accent1"/>
          </a:solidFill>
          <a:ln w="19050">
            <a:solidFill>
              <a:schemeClr val="lt1"/>
            </a:solidFill>
          </a:ln>
          <a:effectLst/>
        </c:spPr>
      </c:pivotFmt>
      <c:pivotFmt>
        <c:idx val="644"/>
        <c:spPr>
          <a:solidFill>
            <a:schemeClr val="accent1"/>
          </a:solidFill>
          <a:ln w="19050">
            <a:solidFill>
              <a:schemeClr val="lt1"/>
            </a:solidFill>
          </a:ln>
          <a:effectLst/>
        </c:spPr>
      </c:pivotFmt>
      <c:pivotFmt>
        <c:idx val="645"/>
        <c:spPr>
          <a:solidFill>
            <a:schemeClr val="accent1"/>
          </a:solidFill>
          <a:ln w="19050">
            <a:solidFill>
              <a:schemeClr val="lt1"/>
            </a:solidFill>
          </a:ln>
          <a:effectLst/>
        </c:spPr>
      </c:pivotFmt>
      <c:pivotFmt>
        <c:idx val="646"/>
        <c:spPr>
          <a:solidFill>
            <a:schemeClr val="accent1"/>
          </a:solidFill>
          <a:ln w="19050">
            <a:solidFill>
              <a:schemeClr val="lt1"/>
            </a:solidFill>
          </a:ln>
          <a:effectLst/>
        </c:spPr>
      </c:pivotFmt>
      <c:pivotFmt>
        <c:idx val="647"/>
        <c:spPr>
          <a:solidFill>
            <a:schemeClr val="accent1"/>
          </a:solidFill>
          <a:ln w="19050">
            <a:solidFill>
              <a:schemeClr val="lt1"/>
            </a:solidFill>
          </a:ln>
          <a:effectLst/>
        </c:spPr>
      </c:pivotFmt>
      <c:pivotFmt>
        <c:idx val="648"/>
        <c:spPr>
          <a:solidFill>
            <a:schemeClr val="accent1"/>
          </a:solidFill>
          <a:ln w="19050">
            <a:solidFill>
              <a:schemeClr val="lt1"/>
            </a:solidFill>
          </a:ln>
          <a:effectLst/>
        </c:spPr>
      </c:pivotFmt>
      <c:pivotFmt>
        <c:idx val="649"/>
        <c:spPr>
          <a:solidFill>
            <a:schemeClr val="accent1"/>
          </a:solidFill>
          <a:ln w="19050">
            <a:solidFill>
              <a:schemeClr val="lt1"/>
            </a:solidFill>
          </a:ln>
          <a:effectLst/>
        </c:spPr>
      </c:pivotFmt>
      <c:pivotFmt>
        <c:idx val="650"/>
        <c:spPr>
          <a:solidFill>
            <a:schemeClr val="accent1"/>
          </a:solidFill>
          <a:ln w="19050">
            <a:solidFill>
              <a:schemeClr val="lt1"/>
            </a:solidFill>
          </a:ln>
          <a:effectLst/>
        </c:spPr>
      </c:pivotFmt>
      <c:pivotFmt>
        <c:idx val="651"/>
        <c:spPr>
          <a:solidFill>
            <a:schemeClr val="accent1"/>
          </a:solidFill>
          <a:ln w="19050">
            <a:solidFill>
              <a:schemeClr val="lt1"/>
            </a:solidFill>
          </a:ln>
          <a:effectLst/>
        </c:spPr>
      </c:pivotFmt>
      <c:pivotFmt>
        <c:idx val="652"/>
        <c:spPr>
          <a:solidFill>
            <a:schemeClr val="accent1"/>
          </a:solidFill>
          <a:ln w="19050">
            <a:solidFill>
              <a:schemeClr val="lt1"/>
            </a:solidFill>
          </a:ln>
          <a:effectLst/>
        </c:spPr>
      </c:pivotFmt>
      <c:pivotFmt>
        <c:idx val="653"/>
        <c:spPr>
          <a:solidFill>
            <a:schemeClr val="accent1"/>
          </a:solidFill>
          <a:ln w="19050">
            <a:solidFill>
              <a:schemeClr val="lt1"/>
            </a:solidFill>
          </a:ln>
          <a:effectLst/>
        </c:spPr>
      </c:pivotFmt>
      <c:pivotFmt>
        <c:idx val="654"/>
        <c:spPr>
          <a:solidFill>
            <a:schemeClr val="accent1"/>
          </a:solidFill>
          <a:ln w="19050">
            <a:solidFill>
              <a:schemeClr val="lt1"/>
            </a:solidFill>
          </a:ln>
          <a:effectLst/>
        </c:spPr>
      </c:pivotFmt>
      <c:pivotFmt>
        <c:idx val="655"/>
        <c:spPr>
          <a:solidFill>
            <a:schemeClr val="accent1"/>
          </a:solidFill>
          <a:ln w="19050">
            <a:solidFill>
              <a:schemeClr val="lt1"/>
            </a:solidFill>
          </a:ln>
          <a:effectLst/>
        </c:spPr>
      </c:pivotFmt>
      <c:pivotFmt>
        <c:idx val="656"/>
        <c:spPr>
          <a:solidFill>
            <a:schemeClr val="accent1"/>
          </a:solidFill>
          <a:ln w="19050">
            <a:solidFill>
              <a:schemeClr val="lt1"/>
            </a:solidFill>
          </a:ln>
          <a:effectLst/>
        </c:spPr>
      </c:pivotFmt>
      <c:pivotFmt>
        <c:idx val="657"/>
        <c:spPr>
          <a:solidFill>
            <a:schemeClr val="accent1"/>
          </a:solidFill>
          <a:ln w="19050">
            <a:solidFill>
              <a:schemeClr val="lt1"/>
            </a:solidFill>
          </a:ln>
          <a:effectLst/>
        </c:spPr>
      </c:pivotFmt>
      <c:pivotFmt>
        <c:idx val="658"/>
        <c:spPr>
          <a:solidFill>
            <a:schemeClr val="accent1"/>
          </a:solidFill>
          <a:ln w="19050">
            <a:solidFill>
              <a:schemeClr val="lt1"/>
            </a:solidFill>
          </a:ln>
          <a:effectLst/>
        </c:spPr>
      </c:pivotFmt>
      <c:pivotFmt>
        <c:idx val="659"/>
        <c:spPr>
          <a:solidFill>
            <a:schemeClr val="accent1"/>
          </a:solidFill>
          <a:ln w="19050">
            <a:solidFill>
              <a:schemeClr val="lt1"/>
            </a:solidFill>
          </a:ln>
          <a:effectLst/>
        </c:spPr>
      </c:pivotFmt>
      <c:pivotFmt>
        <c:idx val="660"/>
        <c:spPr>
          <a:solidFill>
            <a:schemeClr val="accent1"/>
          </a:solidFill>
          <a:ln w="19050">
            <a:solidFill>
              <a:schemeClr val="lt1"/>
            </a:solidFill>
          </a:ln>
          <a:effectLst/>
        </c:spPr>
      </c:pivotFmt>
      <c:pivotFmt>
        <c:idx val="661"/>
        <c:spPr>
          <a:solidFill>
            <a:schemeClr val="accent1"/>
          </a:solidFill>
          <a:ln w="19050">
            <a:solidFill>
              <a:schemeClr val="lt1"/>
            </a:solidFill>
          </a:ln>
          <a:effectLst/>
        </c:spPr>
      </c:pivotFmt>
      <c:pivotFmt>
        <c:idx val="662"/>
        <c:spPr>
          <a:solidFill>
            <a:schemeClr val="accent1"/>
          </a:solidFill>
          <a:ln w="19050">
            <a:solidFill>
              <a:schemeClr val="lt1"/>
            </a:solidFill>
          </a:ln>
          <a:effectLst/>
        </c:spPr>
      </c:pivotFmt>
      <c:pivotFmt>
        <c:idx val="663"/>
        <c:spPr>
          <a:solidFill>
            <a:schemeClr val="accent1"/>
          </a:solidFill>
          <a:ln w="19050">
            <a:solidFill>
              <a:schemeClr val="lt1"/>
            </a:solidFill>
          </a:ln>
          <a:effectLst/>
        </c:spPr>
      </c:pivotFmt>
      <c:pivotFmt>
        <c:idx val="664"/>
        <c:spPr>
          <a:solidFill>
            <a:schemeClr val="accent1"/>
          </a:solidFill>
          <a:ln w="19050">
            <a:solidFill>
              <a:schemeClr val="lt1"/>
            </a:solidFill>
          </a:ln>
          <a:effectLst/>
        </c:spPr>
      </c:pivotFmt>
      <c:pivotFmt>
        <c:idx val="665"/>
        <c:spPr>
          <a:solidFill>
            <a:schemeClr val="accent1"/>
          </a:solidFill>
          <a:ln w="19050">
            <a:solidFill>
              <a:schemeClr val="lt1"/>
            </a:solidFill>
          </a:ln>
          <a:effectLst/>
        </c:spPr>
      </c:pivotFmt>
      <c:pivotFmt>
        <c:idx val="666"/>
        <c:spPr>
          <a:solidFill>
            <a:schemeClr val="accent1"/>
          </a:solidFill>
          <a:ln w="19050">
            <a:solidFill>
              <a:schemeClr val="lt1"/>
            </a:solidFill>
          </a:ln>
          <a:effectLst/>
        </c:spPr>
      </c:pivotFmt>
      <c:pivotFmt>
        <c:idx val="667"/>
        <c:spPr>
          <a:solidFill>
            <a:schemeClr val="accent1"/>
          </a:solidFill>
          <a:ln w="19050">
            <a:solidFill>
              <a:schemeClr val="lt1"/>
            </a:solidFill>
          </a:ln>
          <a:effectLst/>
        </c:spPr>
      </c:pivotFmt>
      <c:pivotFmt>
        <c:idx val="668"/>
        <c:spPr>
          <a:solidFill>
            <a:schemeClr val="accent1"/>
          </a:solidFill>
          <a:ln w="19050">
            <a:solidFill>
              <a:schemeClr val="lt1"/>
            </a:solidFill>
          </a:ln>
          <a:effectLst/>
        </c:spPr>
      </c:pivotFmt>
      <c:pivotFmt>
        <c:idx val="669"/>
        <c:spPr>
          <a:solidFill>
            <a:schemeClr val="accent1"/>
          </a:solidFill>
          <a:ln w="19050">
            <a:solidFill>
              <a:schemeClr val="lt1"/>
            </a:solidFill>
          </a:ln>
          <a:effectLst/>
        </c:spPr>
      </c:pivotFmt>
      <c:pivotFmt>
        <c:idx val="670"/>
        <c:spPr>
          <a:solidFill>
            <a:schemeClr val="accent1"/>
          </a:solidFill>
          <a:ln w="19050">
            <a:solidFill>
              <a:schemeClr val="lt1"/>
            </a:solidFill>
          </a:ln>
          <a:effectLst/>
        </c:spPr>
      </c:pivotFmt>
      <c:pivotFmt>
        <c:idx val="671"/>
        <c:spPr>
          <a:solidFill>
            <a:schemeClr val="accent1"/>
          </a:solidFill>
          <a:ln w="19050">
            <a:solidFill>
              <a:schemeClr val="lt1"/>
            </a:solidFill>
          </a:ln>
          <a:effectLst/>
        </c:spPr>
      </c:pivotFmt>
      <c:pivotFmt>
        <c:idx val="672"/>
        <c:spPr>
          <a:solidFill>
            <a:schemeClr val="accent1"/>
          </a:solidFill>
          <a:ln w="19050">
            <a:solidFill>
              <a:schemeClr val="lt1"/>
            </a:solidFill>
          </a:ln>
          <a:effectLst/>
        </c:spPr>
      </c:pivotFmt>
      <c:pivotFmt>
        <c:idx val="673"/>
        <c:spPr>
          <a:solidFill>
            <a:schemeClr val="accent1"/>
          </a:solidFill>
          <a:ln w="19050">
            <a:solidFill>
              <a:schemeClr val="lt1"/>
            </a:solidFill>
          </a:ln>
          <a:effectLst/>
        </c:spPr>
      </c:pivotFmt>
      <c:pivotFmt>
        <c:idx val="674"/>
        <c:spPr>
          <a:solidFill>
            <a:schemeClr val="accent1"/>
          </a:solidFill>
          <a:ln w="19050">
            <a:solidFill>
              <a:schemeClr val="lt1"/>
            </a:solidFill>
          </a:ln>
          <a:effectLst/>
        </c:spPr>
      </c:pivotFmt>
      <c:pivotFmt>
        <c:idx val="675"/>
        <c:spPr>
          <a:solidFill>
            <a:schemeClr val="accent1"/>
          </a:solidFill>
          <a:ln w="19050">
            <a:solidFill>
              <a:schemeClr val="lt1"/>
            </a:solidFill>
          </a:ln>
          <a:effectLst/>
        </c:spPr>
      </c:pivotFmt>
      <c:pivotFmt>
        <c:idx val="676"/>
        <c:spPr>
          <a:solidFill>
            <a:schemeClr val="accent1"/>
          </a:solidFill>
          <a:ln w="19050">
            <a:solidFill>
              <a:schemeClr val="lt1"/>
            </a:solidFill>
          </a:ln>
          <a:effectLst/>
        </c:spPr>
      </c:pivotFmt>
      <c:pivotFmt>
        <c:idx val="677"/>
        <c:spPr>
          <a:solidFill>
            <a:schemeClr val="accent1"/>
          </a:solidFill>
          <a:ln w="19050">
            <a:solidFill>
              <a:schemeClr val="lt1"/>
            </a:solidFill>
          </a:ln>
          <a:effectLst/>
        </c:spPr>
      </c:pivotFmt>
      <c:pivotFmt>
        <c:idx val="678"/>
        <c:spPr>
          <a:solidFill>
            <a:schemeClr val="accent1"/>
          </a:solidFill>
          <a:ln w="19050">
            <a:solidFill>
              <a:schemeClr val="lt1"/>
            </a:solidFill>
          </a:ln>
          <a:effectLst/>
        </c:spPr>
      </c:pivotFmt>
      <c:pivotFmt>
        <c:idx val="679"/>
        <c:spPr>
          <a:solidFill>
            <a:schemeClr val="accent1"/>
          </a:solidFill>
          <a:ln w="19050">
            <a:solidFill>
              <a:schemeClr val="lt1"/>
            </a:solidFill>
          </a:ln>
          <a:effectLst/>
        </c:spPr>
      </c:pivotFmt>
      <c:pivotFmt>
        <c:idx val="680"/>
        <c:spPr>
          <a:solidFill>
            <a:schemeClr val="accent1"/>
          </a:solidFill>
          <a:ln w="19050">
            <a:solidFill>
              <a:schemeClr val="lt1"/>
            </a:solidFill>
          </a:ln>
          <a:effectLst/>
        </c:spPr>
      </c:pivotFmt>
      <c:pivotFmt>
        <c:idx val="681"/>
        <c:spPr>
          <a:solidFill>
            <a:schemeClr val="accent1"/>
          </a:solidFill>
          <a:ln w="19050">
            <a:solidFill>
              <a:schemeClr val="lt1"/>
            </a:solidFill>
          </a:ln>
          <a:effectLst/>
        </c:spPr>
      </c:pivotFmt>
      <c:pivotFmt>
        <c:idx val="682"/>
        <c:spPr>
          <a:solidFill>
            <a:schemeClr val="accent1"/>
          </a:solidFill>
          <a:ln w="19050">
            <a:solidFill>
              <a:schemeClr val="lt1"/>
            </a:solidFill>
          </a:ln>
          <a:effectLst/>
        </c:spPr>
      </c:pivotFmt>
      <c:pivotFmt>
        <c:idx val="683"/>
        <c:spPr>
          <a:solidFill>
            <a:schemeClr val="accent1"/>
          </a:solidFill>
          <a:ln w="19050">
            <a:solidFill>
              <a:schemeClr val="lt1"/>
            </a:solidFill>
          </a:ln>
          <a:effectLst/>
        </c:spPr>
      </c:pivotFmt>
      <c:pivotFmt>
        <c:idx val="684"/>
        <c:spPr>
          <a:solidFill>
            <a:schemeClr val="accent1"/>
          </a:solidFill>
          <a:ln w="19050">
            <a:solidFill>
              <a:schemeClr val="lt1"/>
            </a:solidFill>
          </a:ln>
          <a:effectLst/>
        </c:spPr>
      </c:pivotFmt>
      <c:pivotFmt>
        <c:idx val="685"/>
        <c:spPr>
          <a:solidFill>
            <a:schemeClr val="accent1"/>
          </a:solidFill>
          <a:ln w="19050">
            <a:solidFill>
              <a:schemeClr val="lt1"/>
            </a:solidFill>
          </a:ln>
          <a:effectLst/>
        </c:spPr>
      </c:pivotFmt>
      <c:pivotFmt>
        <c:idx val="686"/>
        <c:spPr>
          <a:solidFill>
            <a:schemeClr val="accent1"/>
          </a:solidFill>
          <a:ln w="19050">
            <a:solidFill>
              <a:schemeClr val="lt1"/>
            </a:solidFill>
          </a:ln>
          <a:effectLst/>
        </c:spPr>
      </c:pivotFmt>
      <c:pivotFmt>
        <c:idx val="687"/>
        <c:spPr>
          <a:solidFill>
            <a:schemeClr val="accent1"/>
          </a:solidFill>
          <a:ln w="19050">
            <a:solidFill>
              <a:schemeClr val="lt1"/>
            </a:solidFill>
          </a:ln>
          <a:effectLst/>
        </c:spPr>
      </c:pivotFmt>
      <c:pivotFmt>
        <c:idx val="688"/>
        <c:spPr>
          <a:solidFill>
            <a:schemeClr val="accent1"/>
          </a:solidFill>
          <a:ln w="19050">
            <a:solidFill>
              <a:schemeClr val="lt1"/>
            </a:solidFill>
          </a:ln>
          <a:effectLst/>
        </c:spPr>
      </c:pivotFmt>
      <c:pivotFmt>
        <c:idx val="689"/>
        <c:spPr>
          <a:solidFill>
            <a:schemeClr val="accent1"/>
          </a:solidFill>
          <a:ln w="19050">
            <a:solidFill>
              <a:schemeClr val="lt1"/>
            </a:solidFill>
          </a:ln>
          <a:effectLst/>
        </c:spPr>
      </c:pivotFmt>
      <c:pivotFmt>
        <c:idx val="690"/>
        <c:spPr>
          <a:solidFill>
            <a:schemeClr val="accent1"/>
          </a:solidFill>
          <a:ln w="19050">
            <a:solidFill>
              <a:schemeClr val="lt1"/>
            </a:solidFill>
          </a:ln>
          <a:effectLst/>
        </c:spPr>
      </c:pivotFmt>
      <c:pivotFmt>
        <c:idx val="691"/>
        <c:spPr>
          <a:solidFill>
            <a:schemeClr val="accent1"/>
          </a:solidFill>
          <a:ln w="19050">
            <a:solidFill>
              <a:schemeClr val="lt1"/>
            </a:solidFill>
          </a:ln>
          <a:effectLst/>
        </c:spPr>
      </c:pivotFmt>
      <c:pivotFmt>
        <c:idx val="692"/>
        <c:spPr>
          <a:solidFill>
            <a:schemeClr val="accent1"/>
          </a:solidFill>
          <a:ln w="19050">
            <a:solidFill>
              <a:schemeClr val="lt1"/>
            </a:solidFill>
          </a:ln>
          <a:effectLst/>
        </c:spPr>
      </c:pivotFmt>
      <c:pivotFmt>
        <c:idx val="693"/>
        <c:spPr>
          <a:solidFill>
            <a:schemeClr val="accent1"/>
          </a:solidFill>
          <a:ln w="19050">
            <a:solidFill>
              <a:schemeClr val="lt1"/>
            </a:solidFill>
          </a:ln>
          <a:effectLst/>
        </c:spPr>
      </c:pivotFmt>
      <c:pivotFmt>
        <c:idx val="694"/>
        <c:spPr>
          <a:solidFill>
            <a:schemeClr val="accent1"/>
          </a:solidFill>
          <a:ln w="19050">
            <a:solidFill>
              <a:schemeClr val="lt1"/>
            </a:solidFill>
          </a:ln>
          <a:effectLst/>
        </c:spPr>
      </c:pivotFmt>
      <c:pivotFmt>
        <c:idx val="695"/>
        <c:spPr>
          <a:solidFill>
            <a:schemeClr val="accent1"/>
          </a:solidFill>
          <a:ln w="19050">
            <a:solidFill>
              <a:schemeClr val="lt1"/>
            </a:solidFill>
          </a:ln>
          <a:effectLst/>
        </c:spPr>
      </c:pivotFmt>
      <c:pivotFmt>
        <c:idx val="696"/>
        <c:spPr>
          <a:solidFill>
            <a:schemeClr val="accent1"/>
          </a:solidFill>
          <a:ln w="19050">
            <a:solidFill>
              <a:schemeClr val="lt1"/>
            </a:solidFill>
          </a:ln>
          <a:effectLst/>
        </c:spPr>
      </c:pivotFmt>
      <c:pivotFmt>
        <c:idx val="697"/>
        <c:spPr>
          <a:solidFill>
            <a:schemeClr val="accent1"/>
          </a:solidFill>
          <a:ln w="19050">
            <a:solidFill>
              <a:schemeClr val="lt1"/>
            </a:solidFill>
          </a:ln>
          <a:effectLst/>
        </c:spPr>
      </c:pivotFmt>
      <c:pivotFmt>
        <c:idx val="698"/>
        <c:spPr>
          <a:solidFill>
            <a:schemeClr val="accent1"/>
          </a:solidFill>
          <a:ln w="19050">
            <a:solidFill>
              <a:schemeClr val="lt1"/>
            </a:solidFill>
          </a:ln>
          <a:effectLst/>
        </c:spPr>
      </c:pivotFmt>
      <c:pivotFmt>
        <c:idx val="699"/>
        <c:spPr>
          <a:solidFill>
            <a:schemeClr val="accent1"/>
          </a:solidFill>
          <a:ln w="19050">
            <a:solidFill>
              <a:schemeClr val="lt1"/>
            </a:solidFill>
          </a:ln>
          <a:effectLst/>
        </c:spPr>
      </c:pivotFmt>
      <c:pivotFmt>
        <c:idx val="700"/>
        <c:spPr>
          <a:solidFill>
            <a:schemeClr val="accent1"/>
          </a:solidFill>
          <a:ln w="19050">
            <a:solidFill>
              <a:schemeClr val="lt1"/>
            </a:solidFill>
          </a:ln>
          <a:effectLst/>
        </c:spPr>
      </c:pivotFmt>
      <c:pivotFmt>
        <c:idx val="701"/>
        <c:spPr>
          <a:solidFill>
            <a:schemeClr val="accent1"/>
          </a:solidFill>
          <a:ln w="19050">
            <a:solidFill>
              <a:schemeClr val="lt1"/>
            </a:solidFill>
          </a:ln>
          <a:effectLst/>
        </c:spPr>
      </c:pivotFmt>
      <c:pivotFmt>
        <c:idx val="702"/>
        <c:spPr>
          <a:solidFill>
            <a:schemeClr val="accent1"/>
          </a:solidFill>
          <a:ln w="19050">
            <a:solidFill>
              <a:schemeClr val="lt1"/>
            </a:solidFill>
          </a:ln>
          <a:effectLst/>
        </c:spPr>
      </c:pivotFmt>
      <c:pivotFmt>
        <c:idx val="703"/>
        <c:spPr>
          <a:solidFill>
            <a:schemeClr val="accent1"/>
          </a:solidFill>
          <a:ln w="19050">
            <a:solidFill>
              <a:schemeClr val="lt1"/>
            </a:solidFill>
          </a:ln>
          <a:effectLst/>
        </c:spPr>
      </c:pivotFmt>
      <c:pivotFmt>
        <c:idx val="704"/>
        <c:spPr>
          <a:solidFill>
            <a:schemeClr val="accent1"/>
          </a:solidFill>
          <a:ln w="19050">
            <a:solidFill>
              <a:schemeClr val="lt1"/>
            </a:solidFill>
          </a:ln>
          <a:effectLst/>
        </c:spPr>
      </c:pivotFmt>
      <c:pivotFmt>
        <c:idx val="705"/>
        <c:spPr>
          <a:solidFill>
            <a:schemeClr val="accent1"/>
          </a:solidFill>
          <a:ln w="19050">
            <a:solidFill>
              <a:schemeClr val="lt1"/>
            </a:solidFill>
          </a:ln>
          <a:effectLst/>
        </c:spPr>
      </c:pivotFmt>
      <c:pivotFmt>
        <c:idx val="706"/>
        <c:spPr>
          <a:solidFill>
            <a:schemeClr val="accent1"/>
          </a:solidFill>
          <a:ln w="19050">
            <a:solidFill>
              <a:schemeClr val="lt1"/>
            </a:solidFill>
          </a:ln>
          <a:effectLst/>
        </c:spPr>
      </c:pivotFmt>
      <c:pivotFmt>
        <c:idx val="707"/>
        <c:spPr>
          <a:solidFill>
            <a:schemeClr val="accent1"/>
          </a:solidFill>
          <a:ln w="19050">
            <a:solidFill>
              <a:schemeClr val="lt1"/>
            </a:solidFill>
          </a:ln>
          <a:effectLst/>
        </c:spPr>
      </c:pivotFmt>
      <c:pivotFmt>
        <c:idx val="708"/>
        <c:spPr>
          <a:solidFill>
            <a:schemeClr val="accent1"/>
          </a:solidFill>
          <a:ln w="19050">
            <a:solidFill>
              <a:schemeClr val="lt1"/>
            </a:solidFill>
          </a:ln>
          <a:effectLst/>
        </c:spPr>
      </c:pivotFmt>
      <c:pivotFmt>
        <c:idx val="709"/>
        <c:spPr>
          <a:solidFill>
            <a:schemeClr val="accent1"/>
          </a:solidFill>
          <a:ln w="19050">
            <a:solidFill>
              <a:schemeClr val="lt1"/>
            </a:solidFill>
          </a:ln>
          <a:effectLst/>
        </c:spPr>
      </c:pivotFmt>
      <c:pivotFmt>
        <c:idx val="710"/>
        <c:spPr>
          <a:solidFill>
            <a:schemeClr val="accent1"/>
          </a:solidFill>
          <a:ln w="19050">
            <a:solidFill>
              <a:schemeClr val="lt1"/>
            </a:solidFill>
          </a:ln>
          <a:effectLst/>
        </c:spPr>
      </c:pivotFmt>
      <c:pivotFmt>
        <c:idx val="711"/>
        <c:spPr>
          <a:solidFill>
            <a:schemeClr val="accent1"/>
          </a:solidFill>
          <a:ln w="19050">
            <a:solidFill>
              <a:schemeClr val="lt1"/>
            </a:solidFill>
          </a:ln>
          <a:effectLst/>
        </c:spPr>
      </c:pivotFmt>
      <c:pivotFmt>
        <c:idx val="712"/>
        <c:spPr>
          <a:solidFill>
            <a:schemeClr val="accent1"/>
          </a:solidFill>
          <a:ln w="19050">
            <a:solidFill>
              <a:schemeClr val="lt1"/>
            </a:solidFill>
          </a:ln>
          <a:effectLst/>
        </c:spPr>
      </c:pivotFmt>
      <c:pivotFmt>
        <c:idx val="713"/>
        <c:spPr>
          <a:solidFill>
            <a:schemeClr val="accent1"/>
          </a:solidFill>
          <a:ln w="19050">
            <a:solidFill>
              <a:schemeClr val="lt1"/>
            </a:solidFill>
          </a:ln>
          <a:effectLst/>
        </c:spPr>
      </c:pivotFmt>
      <c:pivotFmt>
        <c:idx val="714"/>
        <c:spPr>
          <a:solidFill>
            <a:schemeClr val="accent1"/>
          </a:solidFill>
          <a:ln w="19050">
            <a:solidFill>
              <a:schemeClr val="lt1"/>
            </a:solidFill>
          </a:ln>
          <a:effectLst/>
        </c:spPr>
      </c:pivotFmt>
      <c:pivotFmt>
        <c:idx val="715"/>
        <c:spPr>
          <a:solidFill>
            <a:schemeClr val="accent1"/>
          </a:solidFill>
          <a:ln w="19050">
            <a:solidFill>
              <a:schemeClr val="lt1"/>
            </a:solidFill>
          </a:ln>
          <a:effectLst/>
        </c:spPr>
      </c:pivotFmt>
      <c:pivotFmt>
        <c:idx val="716"/>
        <c:spPr>
          <a:solidFill>
            <a:schemeClr val="accent1"/>
          </a:solidFill>
          <a:ln w="19050">
            <a:solidFill>
              <a:schemeClr val="lt1"/>
            </a:solidFill>
          </a:ln>
          <a:effectLst/>
        </c:spPr>
      </c:pivotFmt>
      <c:pivotFmt>
        <c:idx val="717"/>
        <c:spPr>
          <a:solidFill>
            <a:schemeClr val="accent1"/>
          </a:solidFill>
          <a:ln w="19050">
            <a:solidFill>
              <a:schemeClr val="lt1"/>
            </a:solidFill>
          </a:ln>
          <a:effectLst/>
        </c:spPr>
      </c:pivotFmt>
      <c:pivotFmt>
        <c:idx val="718"/>
        <c:spPr>
          <a:solidFill>
            <a:schemeClr val="accent1"/>
          </a:solidFill>
          <a:ln w="19050">
            <a:solidFill>
              <a:schemeClr val="lt1"/>
            </a:solidFill>
          </a:ln>
          <a:effectLst/>
        </c:spPr>
      </c:pivotFmt>
      <c:pivotFmt>
        <c:idx val="719"/>
        <c:spPr>
          <a:solidFill>
            <a:schemeClr val="accent1"/>
          </a:solidFill>
          <a:ln w="19050">
            <a:solidFill>
              <a:schemeClr val="lt1"/>
            </a:solidFill>
          </a:ln>
          <a:effectLst/>
        </c:spPr>
      </c:pivotFmt>
      <c:pivotFmt>
        <c:idx val="720"/>
        <c:spPr>
          <a:solidFill>
            <a:schemeClr val="accent1"/>
          </a:solidFill>
          <a:ln w="19050">
            <a:solidFill>
              <a:schemeClr val="lt1"/>
            </a:solidFill>
          </a:ln>
          <a:effectLst/>
        </c:spPr>
      </c:pivotFmt>
      <c:pivotFmt>
        <c:idx val="721"/>
        <c:spPr>
          <a:solidFill>
            <a:schemeClr val="accent1"/>
          </a:solidFill>
          <a:ln w="19050">
            <a:solidFill>
              <a:schemeClr val="lt1"/>
            </a:solidFill>
          </a:ln>
          <a:effectLst/>
        </c:spPr>
      </c:pivotFmt>
      <c:pivotFmt>
        <c:idx val="722"/>
        <c:spPr>
          <a:solidFill>
            <a:schemeClr val="accent1"/>
          </a:solidFill>
          <a:ln w="19050">
            <a:solidFill>
              <a:schemeClr val="lt1"/>
            </a:solidFill>
          </a:ln>
          <a:effectLst/>
        </c:spPr>
      </c:pivotFmt>
      <c:pivotFmt>
        <c:idx val="723"/>
        <c:spPr>
          <a:solidFill>
            <a:schemeClr val="accent1"/>
          </a:solidFill>
          <a:ln w="19050">
            <a:solidFill>
              <a:schemeClr val="lt1"/>
            </a:solidFill>
          </a:ln>
          <a:effectLst/>
        </c:spPr>
      </c:pivotFmt>
      <c:pivotFmt>
        <c:idx val="724"/>
        <c:spPr>
          <a:solidFill>
            <a:schemeClr val="accent1"/>
          </a:solidFill>
          <a:ln w="19050">
            <a:solidFill>
              <a:schemeClr val="lt1"/>
            </a:solidFill>
          </a:ln>
          <a:effectLst/>
        </c:spPr>
      </c:pivotFmt>
      <c:pivotFmt>
        <c:idx val="725"/>
        <c:spPr>
          <a:solidFill>
            <a:schemeClr val="accent1"/>
          </a:solidFill>
          <a:ln w="19050">
            <a:solidFill>
              <a:schemeClr val="lt1"/>
            </a:solidFill>
          </a:ln>
          <a:effectLst/>
        </c:spPr>
      </c:pivotFmt>
      <c:pivotFmt>
        <c:idx val="726"/>
        <c:spPr>
          <a:solidFill>
            <a:schemeClr val="accent1"/>
          </a:solidFill>
          <a:ln w="19050">
            <a:solidFill>
              <a:schemeClr val="lt1"/>
            </a:solidFill>
          </a:ln>
          <a:effectLst/>
        </c:spPr>
      </c:pivotFmt>
      <c:pivotFmt>
        <c:idx val="727"/>
        <c:spPr>
          <a:solidFill>
            <a:schemeClr val="accent1"/>
          </a:solidFill>
          <a:ln w="19050">
            <a:solidFill>
              <a:schemeClr val="lt1"/>
            </a:solidFill>
          </a:ln>
          <a:effectLst/>
        </c:spPr>
      </c:pivotFmt>
      <c:pivotFmt>
        <c:idx val="728"/>
        <c:spPr>
          <a:solidFill>
            <a:schemeClr val="accent1"/>
          </a:solidFill>
          <a:ln w="19050">
            <a:solidFill>
              <a:schemeClr val="lt1"/>
            </a:solidFill>
          </a:ln>
          <a:effectLst/>
        </c:spPr>
      </c:pivotFmt>
      <c:pivotFmt>
        <c:idx val="729"/>
        <c:spPr>
          <a:solidFill>
            <a:schemeClr val="accent1"/>
          </a:solidFill>
          <a:ln w="19050">
            <a:solidFill>
              <a:schemeClr val="lt1"/>
            </a:solidFill>
          </a:ln>
          <a:effectLst/>
        </c:spPr>
      </c:pivotFmt>
      <c:pivotFmt>
        <c:idx val="730"/>
        <c:spPr>
          <a:solidFill>
            <a:schemeClr val="accent1"/>
          </a:solidFill>
          <a:ln w="19050">
            <a:solidFill>
              <a:schemeClr val="lt1"/>
            </a:solidFill>
          </a:ln>
          <a:effectLst/>
        </c:spPr>
      </c:pivotFmt>
      <c:pivotFmt>
        <c:idx val="731"/>
        <c:spPr>
          <a:solidFill>
            <a:schemeClr val="accent1"/>
          </a:solidFill>
          <a:ln w="19050">
            <a:solidFill>
              <a:schemeClr val="lt1"/>
            </a:solidFill>
          </a:ln>
          <a:effectLst/>
        </c:spPr>
      </c:pivotFmt>
      <c:pivotFmt>
        <c:idx val="732"/>
        <c:spPr>
          <a:solidFill>
            <a:schemeClr val="accent1"/>
          </a:solidFill>
          <a:ln w="19050">
            <a:solidFill>
              <a:schemeClr val="lt1"/>
            </a:solidFill>
          </a:ln>
          <a:effectLst/>
        </c:spPr>
      </c:pivotFmt>
      <c:pivotFmt>
        <c:idx val="733"/>
        <c:spPr>
          <a:solidFill>
            <a:schemeClr val="accent1"/>
          </a:solidFill>
          <a:ln w="19050">
            <a:solidFill>
              <a:schemeClr val="lt1"/>
            </a:solidFill>
          </a:ln>
          <a:effectLst/>
        </c:spPr>
      </c:pivotFmt>
      <c:pivotFmt>
        <c:idx val="734"/>
        <c:spPr>
          <a:solidFill>
            <a:schemeClr val="accent1"/>
          </a:solidFill>
          <a:ln w="19050">
            <a:solidFill>
              <a:schemeClr val="lt1"/>
            </a:solidFill>
          </a:ln>
          <a:effectLst/>
        </c:spPr>
      </c:pivotFmt>
      <c:pivotFmt>
        <c:idx val="735"/>
        <c:spPr>
          <a:solidFill>
            <a:schemeClr val="accent1"/>
          </a:solidFill>
          <a:ln w="19050">
            <a:solidFill>
              <a:schemeClr val="lt1"/>
            </a:solidFill>
          </a:ln>
          <a:effectLst/>
        </c:spPr>
      </c:pivotFmt>
      <c:pivotFmt>
        <c:idx val="736"/>
        <c:spPr>
          <a:solidFill>
            <a:schemeClr val="accent1"/>
          </a:solidFill>
          <a:ln w="19050">
            <a:solidFill>
              <a:schemeClr val="lt1"/>
            </a:solidFill>
          </a:ln>
          <a:effectLst/>
        </c:spPr>
      </c:pivotFmt>
      <c:pivotFmt>
        <c:idx val="737"/>
        <c:spPr>
          <a:solidFill>
            <a:schemeClr val="accent1"/>
          </a:solidFill>
          <a:ln w="19050">
            <a:solidFill>
              <a:schemeClr val="lt1"/>
            </a:solidFill>
          </a:ln>
          <a:effectLst/>
        </c:spPr>
      </c:pivotFmt>
      <c:pivotFmt>
        <c:idx val="738"/>
        <c:spPr>
          <a:solidFill>
            <a:schemeClr val="accent1"/>
          </a:solidFill>
          <a:ln w="19050">
            <a:solidFill>
              <a:schemeClr val="lt1"/>
            </a:solidFill>
          </a:ln>
          <a:effectLst/>
        </c:spPr>
      </c:pivotFmt>
      <c:pivotFmt>
        <c:idx val="739"/>
        <c:spPr>
          <a:solidFill>
            <a:schemeClr val="accent1"/>
          </a:solidFill>
          <a:ln w="19050">
            <a:solidFill>
              <a:schemeClr val="lt1"/>
            </a:solidFill>
          </a:ln>
          <a:effectLst/>
        </c:spPr>
      </c:pivotFmt>
      <c:pivotFmt>
        <c:idx val="740"/>
        <c:spPr>
          <a:solidFill>
            <a:schemeClr val="accent1"/>
          </a:solidFill>
          <a:ln w="19050">
            <a:solidFill>
              <a:schemeClr val="lt1"/>
            </a:solidFill>
          </a:ln>
          <a:effectLst/>
        </c:spPr>
      </c:pivotFmt>
      <c:pivotFmt>
        <c:idx val="741"/>
        <c:spPr>
          <a:solidFill>
            <a:schemeClr val="accent1"/>
          </a:solidFill>
          <a:ln w="19050">
            <a:solidFill>
              <a:schemeClr val="lt1"/>
            </a:solidFill>
          </a:ln>
          <a:effectLst/>
        </c:spPr>
      </c:pivotFmt>
      <c:pivotFmt>
        <c:idx val="742"/>
        <c:spPr>
          <a:solidFill>
            <a:schemeClr val="accent1"/>
          </a:solidFill>
          <a:ln w="19050">
            <a:solidFill>
              <a:schemeClr val="lt1"/>
            </a:solidFill>
          </a:ln>
          <a:effectLst/>
        </c:spPr>
      </c:pivotFmt>
      <c:pivotFmt>
        <c:idx val="743"/>
        <c:spPr>
          <a:solidFill>
            <a:schemeClr val="accent1"/>
          </a:solidFill>
          <a:ln w="19050">
            <a:solidFill>
              <a:schemeClr val="lt1"/>
            </a:solidFill>
          </a:ln>
          <a:effectLst/>
        </c:spPr>
      </c:pivotFmt>
      <c:pivotFmt>
        <c:idx val="744"/>
        <c:spPr>
          <a:solidFill>
            <a:schemeClr val="accent1"/>
          </a:solidFill>
          <a:ln w="19050">
            <a:solidFill>
              <a:schemeClr val="lt1"/>
            </a:solidFill>
          </a:ln>
          <a:effectLst/>
        </c:spPr>
      </c:pivotFmt>
      <c:pivotFmt>
        <c:idx val="745"/>
        <c:spPr>
          <a:solidFill>
            <a:schemeClr val="accent1"/>
          </a:solidFill>
          <a:ln w="19050">
            <a:solidFill>
              <a:schemeClr val="lt1"/>
            </a:solidFill>
          </a:ln>
          <a:effectLst/>
        </c:spPr>
      </c:pivotFmt>
      <c:pivotFmt>
        <c:idx val="746"/>
        <c:spPr>
          <a:solidFill>
            <a:schemeClr val="accent1"/>
          </a:solidFill>
          <a:ln w="19050">
            <a:solidFill>
              <a:schemeClr val="lt1"/>
            </a:solidFill>
          </a:ln>
          <a:effectLst/>
        </c:spPr>
      </c:pivotFmt>
      <c:pivotFmt>
        <c:idx val="747"/>
        <c:spPr>
          <a:solidFill>
            <a:schemeClr val="accent1"/>
          </a:solidFill>
          <a:ln w="19050">
            <a:solidFill>
              <a:schemeClr val="lt1"/>
            </a:solidFill>
          </a:ln>
          <a:effectLst/>
        </c:spPr>
      </c:pivotFmt>
      <c:pivotFmt>
        <c:idx val="748"/>
        <c:spPr>
          <a:solidFill>
            <a:schemeClr val="accent1"/>
          </a:solidFill>
          <a:ln w="19050">
            <a:solidFill>
              <a:schemeClr val="lt1"/>
            </a:solidFill>
          </a:ln>
          <a:effectLst/>
        </c:spPr>
      </c:pivotFmt>
      <c:pivotFmt>
        <c:idx val="749"/>
        <c:spPr>
          <a:solidFill>
            <a:schemeClr val="accent1"/>
          </a:solidFill>
          <a:ln w="19050">
            <a:solidFill>
              <a:schemeClr val="lt1"/>
            </a:solidFill>
          </a:ln>
          <a:effectLst/>
        </c:spPr>
      </c:pivotFmt>
      <c:pivotFmt>
        <c:idx val="750"/>
        <c:spPr>
          <a:solidFill>
            <a:schemeClr val="accent1"/>
          </a:solidFill>
          <a:ln w="19050">
            <a:solidFill>
              <a:schemeClr val="lt1"/>
            </a:solidFill>
          </a:ln>
          <a:effectLst/>
        </c:spPr>
      </c:pivotFmt>
      <c:pivotFmt>
        <c:idx val="751"/>
        <c:spPr>
          <a:solidFill>
            <a:schemeClr val="accent1"/>
          </a:solidFill>
          <a:ln w="19050">
            <a:solidFill>
              <a:schemeClr val="lt1"/>
            </a:solidFill>
          </a:ln>
          <a:effectLst/>
        </c:spPr>
      </c:pivotFmt>
      <c:pivotFmt>
        <c:idx val="752"/>
        <c:spPr>
          <a:solidFill>
            <a:schemeClr val="accent1"/>
          </a:solidFill>
          <a:ln w="19050">
            <a:solidFill>
              <a:schemeClr val="lt1"/>
            </a:solidFill>
          </a:ln>
          <a:effectLst/>
        </c:spPr>
      </c:pivotFmt>
      <c:pivotFmt>
        <c:idx val="753"/>
        <c:spPr>
          <a:solidFill>
            <a:schemeClr val="accent1"/>
          </a:solidFill>
          <a:ln w="19050">
            <a:solidFill>
              <a:schemeClr val="lt1"/>
            </a:solidFill>
          </a:ln>
          <a:effectLst/>
        </c:spPr>
      </c:pivotFmt>
      <c:pivotFmt>
        <c:idx val="754"/>
        <c:spPr>
          <a:solidFill>
            <a:schemeClr val="accent1"/>
          </a:solidFill>
          <a:ln w="19050">
            <a:solidFill>
              <a:schemeClr val="lt1"/>
            </a:solidFill>
          </a:ln>
          <a:effectLst/>
        </c:spPr>
      </c:pivotFmt>
      <c:pivotFmt>
        <c:idx val="755"/>
        <c:spPr>
          <a:solidFill>
            <a:schemeClr val="accent1"/>
          </a:solidFill>
          <a:ln w="19050">
            <a:solidFill>
              <a:schemeClr val="lt1"/>
            </a:solidFill>
          </a:ln>
          <a:effectLst/>
        </c:spPr>
      </c:pivotFmt>
      <c:pivotFmt>
        <c:idx val="756"/>
        <c:spPr>
          <a:solidFill>
            <a:schemeClr val="accent1"/>
          </a:solidFill>
          <a:ln w="19050">
            <a:solidFill>
              <a:schemeClr val="lt1"/>
            </a:solidFill>
          </a:ln>
          <a:effectLst/>
        </c:spPr>
      </c:pivotFmt>
      <c:pivotFmt>
        <c:idx val="757"/>
        <c:spPr>
          <a:solidFill>
            <a:schemeClr val="accent1"/>
          </a:solidFill>
          <a:ln w="19050">
            <a:solidFill>
              <a:schemeClr val="lt1"/>
            </a:solidFill>
          </a:ln>
          <a:effectLst/>
        </c:spPr>
      </c:pivotFmt>
      <c:pivotFmt>
        <c:idx val="758"/>
        <c:spPr>
          <a:solidFill>
            <a:schemeClr val="accent1"/>
          </a:solidFill>
          <a:ln w="19050">
            <a:solidFill>
              <a:schemeClr val="lt1"/>
            </a:solidFill>
          </a:ln>
          <a:effectLst/>
        </c:spPr>
      </c:pivotFmt>
      <c:pivotFmt>
        <c:idx val="759"/>
        <c:spPr>
          <a:solidFill>
            <a:schemeClr val="accent1"/>
          </a:solidFill>
          <a:ln w="19050">
            <a:solidFill>
              <a:schemeClr val="lt1"/>
            </a:solidFill>
          </a:ln>
          <a:effectLst/>
        </c:spPr>
      </c:pivotFmt>
      <c:pivotFmt>
        <c:idx val="760"/>
        <c:spPr>
          <a:solidFill>
            <a:schemeClr val="accent1"/>
          </a:solidFill>
          <a:ln w="19050">
            <a:solidFill>
              <a:schemeClr val="lt1"/>
            </a:solidFill>
          </a:ln>
          <a:effectLst/>
        </c:spPr>
      </c:pivotFmt>
      <c:pivotFmt>
        <c:idx val="761"/>
        <c:spPr>
          <a:solidFill>
            <a:schemeClr val="accent1"/>
          </a:solidFill>
          <a:ln w="19050">
            <a:solidFill>
              <a:schemeClr val="lt1"/>
            </a:solidFill>
          </a:ln>
          <a:effectLst/>
        </c:spPr>
      </c:pivotFmt>
      <c:pivotFmt>
        <c:idx val="762"/>
        <c:spPr>
          <a:solidFill>
            <a:schemeClr val="accent1"/>
          </a:solidFill>
          <a:ln w="19050">
            <a:solidFill>
              <a:schemeClr val="lt1"/>
            </a:solidFill>
          </a:ln>
          <a:effectLst/>
        </c:spPr>
      </c:pivotFmt>
      <c:pivotFmt>
        <c:idx val="763"/>
        <c:spPr>
          <a:solidFill>
            <a:schemeClr val="accent1"/>
          </a:solidFill>
          <a:ln w="19050">
            <a:solidFill>
              <a:schemeClr val="lt1"/>
            </a:solidFill>
          </a:ln>
          <a:effectLst/>
        </c:spPr>
      </c:pivotFmt>
      <c:pivotFmt>
        <c:idx val="764"/>
        <c:spPr>
          <a:solidFill>
            <a:schemeClr val="accent1"/>
          </a:solidFill>
          <a:ln w="19050">
            <a:solidFill>
              <a:schemeClr val="lt1"/>
            </a:solidFill>
          </a:ln>
          <a:effectLst/>
        </c:spPr>
      </c:pivotFmt>
      <c:pivotFmt>
        <c:idx val="765"/>
        <c:spPr>
          <a:solidFill>
            <a:schemeClr val="accent1"/>
          </a:solidFill>
          <a:ln w="19050">
            <a:solidFill>
              <a:schemeClr val="lt1"/>
            </a:solidFill>
          </a:ln>
          <a:effectLst/>
        </c:spPr>
      </c:pivotFmt>
      <c:pivotFmt>
        <c:idx val="766"/>
        <c:spPr>
          <a:solidFill>
            <a:schemeClr val="accent1"/>
          </a:solidFill>
          <a:ln w="19050">
            <a:solidFill>
              <a:schemeClr val="lt1"/>
            </a:solidFill>
          </a:ln>
          <a:effectLst/>
        </c:spPr>
      </c:pivotFmt>
      <c:pivotFmt>
        <c:idx val="767"/>
        <c:spPr>
          <a:solidFill>
            <a:schemeClr val="accent1"/>
          </a:solidFill>
          <a:ln w="19050">
            <a:solidFill>
              <a:schemeClr val="lt1"/>
            </a:solidFill>
          </a:ln>
          <a:effectLst/>
        </c:spPr>
      </c:pivotFmt>
      <c:pivotFmt>
        <c:idx val="768"/>
        <c:spPr>
          <a:solidFill>
            <a:schemeClr val="accent1"/>
          </a:solidFill>
          <a:ln w="19050">
            <a:solidFill>
              <a:schemeClr val="lt1"/>
            </a:solidFill>
          </a:ln>
          <a:effectLst/>
        </c:spPr>
      </c:pivotFmt>
      <c:pivotFmt>
        <c:idx val="769"/>
        <c:spPr>
          <a:solidFill>
            <a:schemeClr val="accent1"/>
          </a:solidFill>
          <a:ln w="19050">
            <a:solidFill>
              <a:schemeClr val="lt1"/>
            </a:solidFill>
          </a:ln>
          <a:effectLst/>
        </c:spPr>
      </c:pivotFmt>
      <c:pivotFmt>
        <c:idx val="770"/>
        <c:spPr>
          <a:solidFill>
            <a:schemeClr val="accent1"/>
          </a:solidFill>
          <a:ln w="19050">
            <a:solidFill>
              <a:schemeClr val="lt1"/>
            </a:solidFill>
          </a:ln>
          <a:effectLst/>
        </c:spPr>
      </c:pivotFmt>
      <c:pivotFmt>
        <c:idx val="771"/>
        <c:spPr>
          <a:solidFill>
            <a:schemeClr val="accent1"/>
          </a:solidFill>
          <a:ln w="19050">
            <a:solidFill>
              <a:schemeClr val="lt1"/>
            </a:solidFill>
          </a:ln>
          <a:effectLst/>
        </c:spPr>
      </c:pivotFmt>
      <c:pivotFmt>
        <c:idx val="772"/>
        <c:spPr>
          <a:solidFill>
            <a:schemeClr val="accent1"/>
          </a:solidFill>
          <a:ln w="19050">
            <a:solidFill>
              <a:schemeClr val="lt1"/>
            </a:solidFill>
          </a:ln>
          <a:effectLst/>
        </c:spPr>
      </c:pivotFmt>
      <c:pivotFmt>
        <c:idx val="773"/>
        <c:spPr>
          <a:solidFill>
            <a:schemeClr val="accent1"/>
          </a:solidFill>
          <a:ln w="19050">
            <a:solidFill>
              <a:schemeClr val="lt1"/>
            </a:solidFill>
          </a:ln>
          <a:effectLst/>
        </c:spPr>
      </c:pivotFmt>
      <c:pivotFmt>
        <c:idx val="774"/>
        <c:spPr>
          <a:solidFill>
            <a:schemeClr val="accent1"/>
          </a:solidFill>
          <a:ln w="19050">
            <a:solidFill>
              <a:schemeClr val="lt1"/>
            </a:solidFill>
          </a:ln>
          <a:effectLst/>
        </c:spPr>
      </c:pivotFmt>
      <c:pivotFmt>
        <c:idx val="775"/>
        <c:spPr>
          <a:solidFill>
            <a:schemeClr val="accent1"/>
          </a:solidFill>
          <a:ln w="19050">
            <a:solidFill>
              <a:schemeClr val="lt1"/>
            </a:solidFill>
          </a:ln>
          <a:effectLst/>
        </c:spPr>
      </c:pivotFmt>
      <c:pivotFmt>
        <c:idx val="776"/>
        <c:spPr>
          <a:solidFill>
            <a:schemeClr val="accent1"/>
          </a:solidFill>
          <a:ln w="19050">
            <a:solidFill>
              <a:schemeClr val="lt1"/>
            </a:solidFill>
          </a:ln>
          <a:effectLst/>
        </c:spPr>
      </c:pivotFmt>
      <c:pivotFmt>
        <c:idx val="777"/>
        <c:spPr>
          <a:solidFill>
            <a:schemeClr val="accent1"/>
          </a:solidFill>
          <a:ln w="19050">
            <a:solidFill>
              <a:schemeClr val="lt1"/>
            </a:solidFill>
          </a:ln>
          <a:effectLst/>
        </c:spPr>
      </c:pivotFmt>
      <c:pivotFmt>
        <c:idx val="778"/>
        <c:spPr>
          <a:solidFill>
            <a:schemeClr val="accent1"/>
          </a:solidFill>
          <a:ln w="19050">
            <a:solidFill>
              <a:schemeClr val="lt1"/>
            </a:solidFill>
          </a:ln>
          <a:effectLst/>
        </c:spPr>
      </c:pivotFmt>
      <c:pivotFmt>
        <c:idx val="779"/>
        <c:spPr>
          <a:solidFill>
            <a:schemeClr val="accent1"/>
          </a:solidFill>
          <a:ln w="19050">
            <a:solidFill>
              <a:schemeClr val="lt1"/>
            </a:solidFill>
          </a:ln>
          <a:effectLst/>
        </c:spPr>
      </c:pivotFmt>
      <c:pivotFmt>
        <c:idx val="780"/>
        <c:spPr>
          <a:solidFill>
            <a:schemeClr val="accent1"/>
          </a:solidFill>
          <a:ln w="19050">
            <a:solidFill>
              <a:schemeClr val="lt1"/>
            </a:solidFill>
          </a:ln>
          <a:effectLst/>
        </c:spPr>
      </c:pivotFmt>
      <c:pivotFmt>
        <c:idx val="781"/>
        <c:spPr>
          <a:solidFill>
            <a:schemeClr val="accent1"/>
          </a:solidFill>
          <a:ln w="19050">
            <a:solidFill>
              <a:schemeClr val="lt1"/>
            </a:solidFill>
          </a:ln>
          <a:effectLst/>
        </c:spPr>
      </c:pivotFmt>
      <c:pivotFmt>
        <c:idx val="782"/>
        <c:spPr>
          <a:solidFill>
            <a:schemeClr val="accent1"/>
          </a:solidFill>
          <a:ln w="19050">
            <a:solidFill>
              <a:schemeClr val="lt1"/>
            </a:solidFill>
          </a:ln>
          <a:effectLst/>
        </c:spPr>
      </c:pivotFmt>
      <c:pivotFmt>
        <c:idx val="783"/>
        <c:spPr>
          <a:solidFill>
            <a:schemeClr val="accent1"/>
          </a:solidFill>
          <a:ln w="19050">
            <a:solidFill>
              <a:schemeClr val="lt1"/>
            </a:solidFill>
          </a:ln>
          <a:effectLst/>
        </c:spPr>
      </c:pivotFmt>
      <c:pivotFmt>
        <c:idx val="784"/>
        <c:spPr>
          <a:solidFill>
            <a:schemeClr val="accent1"/>
          </a:solidFill>
          <a:ln w="19050">
            <a:solidFill>
              <a:schemeClr val="lt1"/>
            </a:solidFill>
          </a:ln>
          <a:effectLst/>
        </c:spPr>
      </c:pivotFmt>
      <c:pivotFmt>
        <c:idx val="785"/>
        <c:spPr>
          <a:solidFill>
            <a:schemeClr val="accent1"/>
          </a:solidFill>
          <a:ln w="19050">
            <a:solidFill>
              <a:schemeClr val="lt1"/>
            </a:solidFill>
          </a:ln>
          <a:effectLst/>
        </c:spPr>
      </c:pivotFmt>
      <c:pivotFmt>
        <c:idx val="786"/>
        <c:spPr>
          <a:solidFill>
            <a:schemeClr val="accent1"/>
          </a:solidFill>
          <a:ln w="19050">
            <a:solidFill>
              <a:schemeClr val="lt1"/>
            </a:solidFill>
          </a:ln>
          <a:effectLst/>
        </c:spPr>
      </c:pivotFmt>
      <c:pivotFmt>
        <c:idx val="787"/>
        <c:spPr>
          <a:solidFill>
            <a:schemeClr val="accent1"/>
          </a:solidFill>
          <a:ln w="19050">
            <a:solidFill>
              <a:schemeClr val="lt1"/>
            </a:solidFill>
          </a:ln>
          <a:effectLst/>
        </c:spPr>
      </c:pivotFmt>
      <c:pivotFmt>
        <c:idx val="788"/>
        <c:spPr>
          <a:solidFill>
            <a:schemeClr val="accent1"/>
          </a:solidFill>
          <a:ln w="19050">
            <a:solidFill>
              <a:schemeClr val="lt1"/>
            </a:solidFill>
          </a:ln>
          <a:effectLst/>
        </c:spPr>
      </c:pivotFmt>
      <c:pivotFmt>
        <c:idx val="789"/>
        <c:spPr>
          <a:solidFill>
            <a:schemeClr val="accent1"/>
          </a:solidFill>
          <a:ln w="19050">
            <a:solidFill>
              <a:schemeClr val="lt1"/>
            </a:solidFill>
          </a:ln>
          <a:effectLst/>
        </c:spPr>
      </c:pivotFmt>
      <c:pivotFmt>
        <c:idx val="790"/>
        <c:spPr>
          <a:solidFill>
            <a:schemeClr val="accent1"/>
          </a:solidFill>
          <a:ln w="19050">
            <a:solidFill>
              <a:schemeClr val="lt1"/>
            </a:solidFill>
          </a:ln>
          <a:effectLst/>
        </c:spPr>
      </c:pivotFmt>
      <c:pivotFmt>
        <c:idx val="791"/>
        <c:spPr>
          <a:solidFill>
            <a:schemeClr val="accent1"/>
          </a:solidFill>
          <a:ln w="19050">
            <a:solidFill>
              <a:schemeClr val="lt1"/>
            </a:solidFill>
          </a:ln>
          <a:effectLst/>
        </c:spPr>
      </c:pivotFmt>
      <c:pivotFmt>
        <c:idx val="792"/>
        <c:spPr>
          <a:solidFill>
            <a:schemeClr val="accent1"/>
          </a:solidFill>
          <a:ln w="19050">
            <a:solidFill>
              <a:schemeClr val="lt1"/>
            </a:solidFill>
          </a:ln>
          <a:effectLst/>
        </c:spPr>
      </c:pivotFmt>
      <c:pivotFmt>
        <c:idx val="793"/>
        <c:spPr>
          <a:solidFill>
            <a:schemeClr val="accent1"/>
          </a:solidFill>
          <a:ln w="19050">
            <a:solidFill>
              <a:schemeClr val="lt1"/>
            </a:solidFill>
          </a:ln>
          <a:effectLst/>
        </c:spPr>
      </c:pivotFmt>
      <c:pivotFmt>
        <c:idx val="794"/>
        <c:spPr>
          <a:solidFill>
            <a:schemeClr val="accent1"/>
          </a:solidFill>
          <a:ln w="19050">
            <a:solidFill>
              <a:schemeClr val="lt1"/>
            </a:solidFill>
          </a:ln>
          <a:effectLst/>
        </c:spPr>
      </c:pivotFmt>
      <c:pivotFmt>
        <c:idx val="795"/>
        <c:spPr>
          <a:solidFill>
            <a:schemeClr val="accent1"/>
          </a:solidFill>
          <a:ln w="19050">
            <a:solidFill>
              <a:schemeClr val="lt1"/>
            </a:solidFill>
          </a:ln>
          <a:effectLst/>
        </c:spPr>
      </c:pivotFmt>
      <c:pivotFmt>
        <c:idx val="796"/>
        <c:spPr>
          <a:solidFill>
            <a:schemeClr val="accent1"/>
          </a:solidFill>
          <a:ln w="19050">
            <a:solidFill>
              <a:schemeClr val="lt1"/>
            </a:solidFill>
          </a:ln>
          <a:effectLst/>
        </c:spPr>
      </c:pivotFmt>
      <c:pivotFmt>
        <c:idx val="797"/>
        <c:spPr>
          <a:solidFill>
            <a:schemeClr val="accent1"/>
          </a:solidFill>
          <a:ln w="19050">
            <a:solidFill>
              <a:schemeClr val="lt1"/>
            </a:solidFill>
          </a:ln>
          <a:effectLst/>
        </c:spPr>
      </c:pivotFmt>
      <c:pivotFmt>
        <c:idx val="798"/>
        <c:spPr>
          <a:solidFill>
            <a:schemeClr val="accent1"/>
          </a:solidFill>
          <a:ln w="19050">
            <a:solidFill>
              <a:schemeClr val="lt1"/>
            </a:solidFill>
          </a:ln>
          <a:effectLst/>
        </c:spPr>
      </c:pivotFmt>
      <c:pivotFmt>
        <c:idx val="799"/>
        <c:spPr>
          <a:solidFill>
            <a:schemeClr val="accent1"/>
          </a:solidFill>
          <a:ln w="19050">
            <a:solidFill>
              <a:schemeClr val="lt1"/>
            </a:solidFill>
          </a:ln>
          <a:effectLst/>
        </c:spPr>
      </c:pivotFmt>
      <c:pivotFmt>
        <c:idx val="800"/>
        <c:spPr>
          <a:solidFill>
            <a:schemeClr val="accent1"/>
          </a:solidFill>
          <a:ln w="19050">
            <a:solidFill>
              <a:schemeClr val="lt1"/>
            </a:solidFill>
          </a:ln>
          <a:effectLst/>
        </c:spPr>
      </c:pivotFmt>
      <c:pivotFmt>
        <c:idx val="801"/>
        <c:spPr>
          <a:solidFill>
            <a:schemeClr val="accent1"/>
          </a:solidFill>
          <a:ln w="19050">
            <a:solidFill>
              <a:schemeClr val="lt1"/>
            </a:solidFill>
          </a:ln>
          <a:effectLst/>
        </c:spPr>
      </c:pivotFmt>
      <c:pivotFmt>
        <c:idx val="802"/>
        <c:spPr>
          <a:solidFill>
            <a:schemeClr val="accent1"/>
          </a:solidFill>
          <a:ln w="19050">
            <a:solidFill>
              <a:schemeClr val="lt1"/>
            </a:solidFill>
          </a:ln>
          <a:effectLst/>
        </c:spPr>
      </c:pivotFmt>
      <c:pivotFmt>
        <c:idx val="803"/>
        <c:spPr>
          <a:solidFill>
            <a:schemeClr val="accent1"/>
          </a:solidFill>
          <a:ln w="19050">
            <a:solidFill>
              <a:schemeClr val="lt1"/>
            </a:solidFill>
          </a:ln>
          <a:effectLst/>
        </c:spPr>
      </c:pivotFmt>
      <c:pivotFmt>
        <c:idx val="804"/>
        <c:spPr>
          <a:solidFill>
            <a:schemeClr val="accent1"/>
          </a:solidFill>
          <a:ln w="19050">
            <a:solidFill>
              <a:schemeClr val="lt1"/>
            </a:solidFill>
          </a:ln>
          <a:effectLst/>
        </c:spPr>
      </c:pivotFmt>
      <c:pivotFmt>
        <c:idx val="805"/>
        <c:spPr>
          <a:solidFill>
            <a:schemeClr val="accent1"/>
          </a:solidFill>
          <a:ln w="19050">
            <a:solidFill>
              <a:schemeClr val="lt1"/>
            </a:solidFill>
          </a:ln>
          <a:effectLst/>
        </c:spPr>
      </c:pivotFmt>
      <c:pivotFmt>
        <c:idx val="806"/>
        <c:spPr>
          <a:solidFill>
            <a:schemeClr val="accent1"/>
          </a:solidFill>
          <a:ln w="19050">
            <a:solidFill>
              <a:schemeClr val="lt1"/>
            </a:solidFill>
          </a:ln>
          <a:effectLst/>
        </c:spPr>
      </c:pivotFmt>
      <c:pivotFmt>
        <c:idx val="807"/>
        <c:spPr>
          <a:solidFill>
            <a:schemeClr val="accent1"/>
          </a:solidFill>
          <a:ln w="19050">
            <a:solidFill>
              <a:schemeClr val="lt1"/>
            </a:solidFill>
          </a:ln>
          <a:effectLst/>
        </c:spPr>
      </c:pivotFmt>
      <c:pivotFmt>
        <c:idx val="808"/>
        <c:spPr>
          <a:solidFill>
            <a:schemeClr val="accent1"/>
          </a:solidFill>
          <a:ln w="19050">
            <a:solidFill>
              <a:schemeClr val="lt1"/>
            </a:solidFill>
          </a:ln>
          <a:effectLst/>
        </c:spPr>
      </c:pivotFmt>
      <c:pivotFmt>
        <c:idx val="809"/>
        <c:spPr>
          <a:solidFill>
            <a:schemeClr val="accent1"/>
          </a:solidFill>
          <a:ln w="19050">
            <a:solidFill>
              <a:schemeClr val="lt1"/>
            </a:solidFill>
          </a:ln>
          <a:effectLst/>
        </c:spPr>
      </c:pivotFmt>
      <c:pivotFmt>
        <c:idx val="810"/>
        <c:spPr>
          <a:solidFill>
            <a:schemeClr val="accent1"/>
          </a:solidFill>
          <a:ln w="19050">
            <a:solidFill>
              <a:schemeClr val="lt1"/>
            </a:solidFill>
          </a:ln>
          <a:effectLst/>
        </c:spPr>
      </c:pivotFmt>
      <c:pivotFmt>
        <c:idx val="811"/>
        <c:spPr>
          <a:solidFill>
            <a:schemeClr val="accent1"/>
          </a:solidFill>
          <a:ln w="19050">
            <a:solidFill>
              <a:schemeClr val="lt1"/>
            </a:solidFill>
          </a:ln>
          <a:effectLst/>
        </c:spPr>
      </c:pivotFmt>
      <c:pivotFmt>
        <c:idx val="812"/>
        <c:spPr>
          <a:solidFill>
            <a:schemeClr val="accent1"/>
          </a:solidFill>
          <a:ln w="19050">
            <a:solidFill>
              <a:schemeClr val="lt1"/>
            </a:solidFill>
          </a:ln>
          <a:effectLst/>
        </c:spPr>
      </c:pivotFmt>
      <c:pivotFmt>
        <c:idx val="813"/>
        <c:spPr>
          <a:solidFill>
            <a:schemeClr val="accent1"/>
          </a:solidFill>
          <a:ln w="19050">
            <a:solidFill>
              <a:schemeClr val="lt1"/>
            </a:solidFill>
          </a:ln>
          <a:effectLst/>
        </c:spPr>
      </c:pivotFmt>
      <c:pivotFmt>
        <c:idx val="814"/>
        <c:spPr>
          <a:solidFill>
            <a:schemeClr val="accent1"/>
          </a:solidFill>
          <a:ln w="19050">
            <a:solidFill>
              <a:schemeClr val="lt1"/>
            </a:solidFill>
          </a:ln>
          <a:effectLst/>
        </c:spPr>
      </c:pivotFmt>
      <c:pivotFmt>
        <c:idx val="815"/>
        <c:spPr>
          <a:solidFill>
            <a:schemeClr val="accent1"/>
          </a:solidFill>
          <a:ln w="19050">
            <a:solidFill>
              <a:schemeClr val="lt1"/>
            </a:solidFill>
          </a:ln>
          <a:effectLst/>
        </c:spPr>
      </c:pivotFmt>
      <c:pivotFmt>
        <c:idx val="816"/>
        <c:spPr>
          <a:solidFill>
            <a:schemeClr val="accent1"/>
          </a:solidFill>
          <a:ln w="19050">
            <a:solidFill>
              <a:schemeClr val="lt1"/>
            </a:solidFill>
          </a:ln>
          <a:effectLst/>
        </c:spPr>
      </c:pivotFmt>
      <c:pivotFmt>
        <c:idx val="817"/>
        <c:spPr>
          <a:solidFill>
            <a:schemeClr val="accent1"/>
          </a:solidFill>
          <a:ln w="19050">
            <a:solidFill>
              <a:schemeClr val="lt1"/>
            </a:solidFill>
          </a:ln>
          <a:effectLst/>
        </c:spPr>
      </c:pivotFmt>
      <c:pivotFmt>
        <c:idx val="818"/>
        <c:spPr>
          <a:solidFill>
            <a:schemeClr val="accent1"/>
          </a:solidFill>
          <a:ln w="19050">
            <a:solidFill>
              <a:schemeClr val="lt1"/>
            </a:solidFill>
          </a:ln>
          <a:effectLst/>
        </c:spPr>
      </c:pivotFmt>
      <c:pivotFmt>
        <c:idx val="819"/>
        <c:spPr>
          <a:solidFill>
            <a:schemeClr val="accent1"/>
          </a:solidFill>
          <a:ln w="19050">
            <a:solidFill>
              <a:schemeClr val="lt1"/>
            </a:solidFill>
          </a:ln>
          <a:effectLst/>
        </c:spPr>
      </c:pivotFmt>
      <c:pivotFmt>
        <c:idx val="820"/>
        <c:spPr>
          <a:solidFill>
            <a:schemeClr val="accent1"/>
          </a:solidFill>
          <a:ln w="19050">
            <a:solidFill>
              <a:schemeClr val="lt1"/>
            </a:solidFill>
          </a:ln>
          <a:effectLst/>
        </c:spPr>
      </c:pivotFmt>
      <c:pivotFmt>
        <c:idx val="821"/>
        <c:spPr>
          <a:solidFill>
            <a:schemeClr val="accent1"/>
          </a:solidFill>
          <a:ln w="19050">
            <a:solidFill>
              <a:schemeClr val="lt1"/>
            </a:solidFill>
          </a:ln>
          <a:effectLst/>
        </c:spPr>
      </c:pivotFmt>
      <c:pivotFmt>
        <c:idx val="822"/>
        <c:spPr>
          <a:solidFill>
            <a:schemeClr val="accent1"/>
          </a:solidFill>
          <a:ln w="19050">
            <a:solidFill>
              <a:schemeClr val="lt1"/>
            </a:solidFill>
          </a:ln>
          <a:effectLst/>
        </c:spPr>
      </c:pivotFmt>
      <c:pivotFmt>
        <c:idx val="823"/>
        <c:spPr>
          <a:solidFill>
            <a:schemeClr val="accent1"/>
          </a:solidFill>
          <a:ln w="19050">
            <a:solidFill>
              <a:schemeClr val="lt1"/>
            </a:solidFill>
          </a:ln>
          <a:effectLst/>
        </c:spPr>
      </c:pivotFmt>
      <c:pivotFmt>
        <c:idx val="824"/>
        <c:spPr>
          <a:solidFill>
            <a:schemeClr val="accent1"/>
          </a:solidFill>
          <a:ln w="19050">
            <a:solidFill>
              <a:schemeClr val="lt1"/>
            </a:solidFill>
          </a:ln>
          <a:effectLst/>
        </c:spPr>
      </c:pivotFmt>
      <c:pivotFmt>
        <c:idx val="825"/>
        <c:spPr>
          <a:solidFill>
            <a:schemeClr val="accent1"/>
          </a:solidFill>
          <a:ln w="19050">
            <a:solidFill>
              <a:schemeClr val="lt1"/>
            </a:solidFill>
          </a:ln>
          <a:effectLst/>
        </c:spPr>
      </c:pivotFmt>
      <c:pivotFmt>
        <c:idx val="826"/>
        <c:spPr>
          <a:solidFill>
            <a:schemeClr val="accent1"/>
          </a:solidFill>
          <a:ln w="19050">
            <a:solidFill>
              <a:schemeClr val="lt1"/>
            </a:solidFill>
          </a:ln>
          <a:effectLst/>
        </c:spPr>
      </c:pivotFmt>
      <c:pivotFmt>
        <c:idx val="827"/>
        <c:spPr>
          <a:solidFill>
            <a:schemeClr val="accent1"/>
          </a:solidFill>
          <a:ln w="19050">
            <a:solidFill>
              <a:schemeClr val="lt1"/>
            </a:solidFill>
          </a:ln>
          <a:effectLst/>
        </c:spPr>
      </c:pivotFmt>
      <c:pivotFmt>
        <c:idx val="828"/>
        <c:spPr>
          <a:solidFill>
            <a:schemeClr val="accent1"/>
          </a:solidFill>
          <a:ln w="19050">
            <a:solidFill>
              <a:schemeClr val="lt1"/>
            </a:solidFill>
          </a:ln>
          <a:effectLst/>
        </c:spPr>
      </c:pivotFmt>
      <c:pivotFmt>
        <c:idx val="829"/>
        <c:spPr>
          <a:solidFill>
            <a:schemeClr val="accent1"/>
          </a:solidFill>
          <a:ln w="19050">
            <a:solidFill>
              <a:schemeClr val="lt1"/>
            </a:solidFill>
          </a:ln>
          <a:effectLst/>
        </c:spPr>
      </c:pivotFmt>
      <c:pivotFmt>
        <c:idx val="830"/>
        <c:spPr>
          <a:solidFill>
            <a:schemeClr val="accent1"/>
          </a:solidFill>
          <a:ln w="19050">
            <a:solidFill>
              <a:schemeClr val="lt1"/>
            </a:solidFill>
          </a:ln>
          <a:effectLst/>
        </c:spPr>
      </c:pivotFmt>
      <c:pivotFmt>
        <c:idx val="831"/>
        <c:spPr>
          <a:solidFill>
            <a:schemeClr val="accent1"/>
          </a:solidFill>
          <a:ln w="19050">
            <a:solidFill>
              <a:schemeClr val="lt1"/>
            </a:solidFill>
          </a:ln>
          <a:effectLst/>
        </c:spPr>
      </c:pivotFmt>
      <c:pivotFmt>
        <c:idx val="832"/>
        <c:spPr>
          <a:solidFill>
            <a:schemeClr val="accent1"/>
          </a:solidFill>
          <a:ln w="19050">
            <a:solidFill>
              <a:schemeClr val="lt1"/>
            </a:solidFill>
          </a:ln>
          <a:effectLst/>
        </c:spPr>
      </c:pivotFmt>
      <c:pivotFmt>
        <c:idx val="833"/>
        <c:spPr>
          <a:solidFill>
            <a:schemeClr val="accent1"/>
          </a:solidFill>
          <a:ln w="19050">
            <a:solidFill>
              <a:schemeClr val="lt1"/>
            </a:solidFill>
          </a:ln>
          <a:effectLst/>
        </c:spPr>
      </c:pivotFmt>
      <c:pivotFmt>
        <c:idx val="834"/>
        <c:spPr>
          <a:solidFill>
            <a:schemeClr val="accent1"/>
          </a:solidFill>
          <a:ln w="19050">
            <a:solidFill>
              <a:schemeClr val="lt1"/>
            </a:solidFill>
          </a:ln>
          <a:effectLst/>
        </c:spPr>
      </c:pivotFmt>
      <c:pivotFmt>
        <c:idx val="835"/>
        <c:spPr>
          <a:solidFill>
            <a:schemeClr val="accent1"/>
          </a:solidFill>
          <a:ln w="19050">
            <a:solidFill>
              <a:schemeClr val="lt1"/>
            </a:solidFill>
          </a:ln>
          <a:effectLst/>
        </c:spPr>
      </c:pivotFmt>
      <c:pivotFmt>
        <c:idx val="836"/>
        <c:spPr>
          <a:solidFill>
            <a:schemeClr val="accent1"/>
          </a:solidFill>
          <a:ln w="19050">
            <a:solidFill>
              <a:schemeClr val="lt1"/>
            </a:solidFill>
          </a:ln>
          <a:effectLst/>
        </c:spPr>
      </c:pivotFmt>
      <c:pivotFmt>
        <c:idx val="837"/>
        <c:spPr>
          <a:solidFill>
            <a:schemeClr val="accent1"/>
          </a:solidFill>
          <a:ln w="19050">
            <a:solidFill>
              <a:schemeClr val="lt1"/>
            </a:solidFill>
          </a:ln>
          <a:effectLst/>
        </c:spPr>
      </c:pivotFmt>
      <c:pivotFmt>
        <c:idx val="838"/>
        <c:spPr>
          <a:solidFill>
            <a:schemeClr val="accent1"/>
          </a:solidFill>
          <a:ln w="19050">
            <a:solidFill>
              <a:schemeClr val="lt1"/>
            </a:solidFill>
          </a:ln>
          <a:effectLst/>
        </c:spPr>
      </c:pivotFmt>
      <c:pivotFmt>
        <c:idx val="839"/>
        <c:spPr>
          <a:solidFill>
            <a:schemeClr val="accent1"/>
          </a:solidFill>
          <a:ln w="19050">
            <a:solidFill>
              <a:schemeClr val="lt1"/>
            </a:solidFill>
          </a:ln>
          <a:effectLst/>
        </c:spPr>
      </c:pivotFmt>
      <c:pivotFmt>
        <c:idx val="840"/>
        <c:spPr>
          <a:solidFill>
            <a:schemeClr val="accent1"/>
          </a:solidFill>
          <a:ln w="19050">
            <a:solidFill>
              <a:schemeClr val="lt1"/>
            </a:solidFill>
          </a:ln>
          <a:effectLst/>
        </c:spPr>
      </c:pivotFmt>
      <c:pivotFmt>
        <c:idx val="841"/>
        <c:spPr>
          <a:solidFill>
            <a:schemeClr val="accent1"/>
          </a:solidFill>
          <a:ln w="19050">
            <a:solidFill>
              <a:schemeClr val="lt1"/>
            </a:solidFill>
          </a:ln>
          <a:effectLst/>
        </c:spPr>
      </c:pivotFmt>
      <c:pivotFmt>
        <c:idx val="842"/>
        <c:spPr>
          <a:solidFill>
            <a:schemeClr val="accent1"/>
          </a:solidFill>
          <a:ln w="19050">
            <a:solidFill>
              <a:schemeClr val="lt1"/>
            </a:solidFill>
          </a:ln>
          <a:effectLst/>
        </c:spPr>
      </c:pivotFmt>
      <c:pivotFmt>
        <c:idx val="843"/>
        <c:spPr>
          <a:solidFill>
            <a:schemeClr val="accent1"/>
          </a:solidFill>
          <a:ln w="19050">
            <a:solidFill>
              <a:schemeClr val="lt1"/>
            </a:solidFill>
          </a:ln>
          <a:effectLst/>
        </c:spPr>
      </c:pivotFmt>
      <c:pivotFmt>
        <c:idx val="844"/>
        <c:spPr>
          <a:solidFill>
            <a:schemeClr val="accent1"/>
          </a:solidFill>
          <a:ln w="19050">
            <a:solidFill>
              <a:schemeClr val="lt1"/>
            </a:solidFill>
          </a:ln>
          <a:effectLst/>
        </c:spPr>
      </c:pivotFmt>
      <c:pivotFmt>
        <c:idx val="845"/>
        <c:spPr>
          <a:solidFill>
            <a:schemeClr val="accent1"/>
          </a:solidFill>
          <a:ln w="19050">
            <a:solidFill>
              <a:schemeClr val="lt1"/>
            </a:solidFill>
          </a:ln>
          <a:effectLst/>
        </c:spPr>
      </c:pivotFmt>
      <c:pivotFmt>
        <c:idx val="846"/>
        <c:spPr>
          <a:solidFill>
            <a:schemeClr val="accent1"/>
          </a:solidFill>
          <a:ln w="19050">
            <a:solidFill>
              <a:schemeClr val="lt1"/>
            </a:solidFill>
          </a:ln>
          <a:effectLst/>
        </c:spPr>
      </c:pivotFmt>
      <c:pivotFmt>
        <c:idx val="847"/>
        <c:spPr>
          <a:solidFill>
            <a:schemeClr val="accent1"/>
          </a:solidFill>
          <a:ln w="19050">
            <a:solidFill>
              <a:schemeClr val="lt1"/>
            </a:solidFill>
          </a:ln>
          <a:effectLst/>
        </c:spPr>
      </c:pivotFmt>
      <c:pivotFmt>
        <c:idx val="848"/>
        <c:spPr>
          <a:solidFill>
            <a:schemeClr val="accent1"/>
          </a:solidFill>
          <a:ln w="19050">
            <a:solidFill>
              <a:schemeClr val="lt1"/>
            </a:solidFill>
          </a:ln>
          <a:effectLst/>
        </c:spPr>
      </c:pivotFmt>
      <c:pivotFmt>
        <c:idx val="849"/>
        <c:spPr>
          <a:solidFill>
            <a:schemeClr val="accent1"/>
          </a:solidFill>
          <a:ln w="19050">
            <a:solidFill>
              <a:schemeClr val="lt1"/>
            </a:solidFill>
          </a:ln>
          <a:effectLst/>
        </c:spPr>
      </c:pivotFmt>
      <c:pivotFmt>
        <c:idx val="850"/>
        <c:spPr>
          <a:solidFill>
            <a:schemeClr val="accent1"/>
          </a:solidFill>
          <a:ln w="19050">
            <a:solidFill>
              <a:schemeClr val="lt1"/>
            </a:solidFill>
          </a:ln>
          <a:effectLst/>
        </c:spPr>
      </c:pivotFmt>
      <c:pivotFmt>
        <c:idx val="851"/>
        <c:spPr>
          <a:solidFill>
            <a:schemeClr val="accent1"/>
          </a:solidFill>
          <a:ln w="19050">
            <a:solidFill>
              <a:schemeClr val="lt1"/>
            </a:solidFill>
          </a:ln>
          <a:effectLst/>
        </c:spPr>
      </c:pivotFmt>
      <c:pivotFmt>
        <c:idx val="852"/>
        <c:spPr>
          <a:solidFill>
            <a:schemeClr val="accent1"/>
          </a:solidFill>
          <a:ln w="19050">
            <a:solidFill>
              <a:schemeClr val="lt1"/>
            </a:solidFill>
          </a:ln>
          <a:effectLst/>
        </c:spPr>
      </c:pivotFmt>
      <c:pivotFmt>
        <c:idx val="853"/>
        <c:spPr>
          <a:solidFill>
            <a:schemeClr val="accent1"/>
          </a:solidFill>
          <a:ln w="19050">
            <a:solidFill>
              <a:schemeClr val="lt1"/>
            </a:solidFill>
          </a:ln>
          <a:effectLst/>
        </c:spPr>
      </c:pivotFmt>
      <c:pivotFmt>
        <c:idx val="854"/>
        <c:spPr>
          <a:solidFill>
            <a:schemeClr val="accent1"/>
          </a:solidFill>
          <a:ln w="19050">
            <a:solidFill>
              <a:schemeClr val="lt1"/>
            </a:solidFill>
          </a:ln>
          <a:effectLst/>
        </c:spPr>
      </c:pivotFmt>
      <c:pivotFmt>
        <c:idx val="855"/>
        <c:spPr>
          <a:solidFill>
            <a:schemeClr val="accent1"/>
          </a:solidFill>
          <a:ln w="19050">
            <a:solidFill>
              <a:schemeClr val="lt1"/>
            </a:solidFill>
          </a:ln>
          <a:effectLst/>
        </c:spPr>
      </c:pivotFmt>
      <c:pivotFmt>
        <c:idx val="856"/>
        <c:spPr>
          <a:solidFill>
            <a:schemeClr val="accent1"/>
          </a:solidFill>
          <a:ln w="19050">
            <a:solidFill>
              <a:schemeClr val="lt1"/>
            </a:solidFill>
          </a:ln>
          <a:effectLst/>
        </c:spPr>
      </c:pivotFmt>
      <c:pivotFmt>
        <c:idx val="857"/>
        <c:spPr>
          <a:solidFill>
            <a:schemeClr val="accent1"/>
          </a:solidFill>
          <a:ln w="19050">
            <a:solidFill>
              <a:schemeClr val="lt1"/>
            </a:solidFill>
          </a:ln>
          <a:effectLst/>
        </c:spPr>
      </c:pivotFmt>
      <c:pivotFmt>
        <c:idx val="858"/>
        <c:spPr>
          <a:solidFill>
            <a:schemeClr val="accent1"/>
          </a:solidFill>
          <a:ln w="19050">
            <a:solidFill>
              <a:schemeClr val="lt1"/>
            </a:solidFill>
          </a:ln>
          <a:effectLst/>
        </c:spPr>
      </c:pivotFmt>
      <c:pivotFmt>
        <c:idx val="859"/>
        <c:spPr>
          <a:solidFill>
            <a:schemeClr val="accent1"/>
          </a:solidFill>
          <a:ln w="19050">
            <a:solidFill>
              <a:schemeClr val="lt1"/>
            </a:solidFill>
          </a:ln>
          <a:effectLst/>
        </c:spPr>
      </c:pivotFmt>
      <c:pivotFmt>
        <c:idx val="860"/>
        <c:spPr>
          <a:solidFill>
            <a:schemeClr val="accent1"/>
          </a:solidFill>
          <a:ln w="19050">
            <a:solidFill>
              <a:schemeClr val="lt1"/>
            </a:solidFill>
          </a:ln>
          <a:effectLst/>
        </c:spPr>
      </c:pivotFmt>
      <c:pivotFmt>
        <c:idx val="861"/>
        <c:spPr>
          <a:solidFill>
            <a:schemeClr val="accent1"/>
          </a:solidFill>
          <a:ln w="19050">
            <a:solidFill>
              <a:schemeClr val="lt1"/>
            </a:solidFill>
          </a:ln>
          <a:effectLst/>
        </c:spPr>
      </c:pivotFmt>
      <c:pivotFmt>
        <c:idx val="862"/>
        <c:spPr>
          <a:solidFill>
            <a:schemeClr val="accent1"/>
          </a:solidFill>
          <a:ln w="19050">
            <a:solidFill>
              <a:schemeClr val="lt1"/>
            </a:solidFill>
          </a:ln>
          <a:effectLst/>
        </c:spPr>
      </c:pivotFmt>
      <c:pivotFmt>
        <c:idx val="863"/>
        <c:spPr>
          <a:solidFill>
            <a:schemeClr val="accent1"/>
          </a:solidFill>
          <a:ln w="19050">
            <a:solidFill>
              <a:schemeClr val="lt1"/>
            </a:solidFill>
          </a:ln>
          <a:effectLst/>
        </c:spPr>
      </c:pivotFmt>
      <c:pivotFmt>
        <c:idx val="864"/>
        <c:spPr>
          <a:solidFill>
            <a:schemeClr val="accent1"/>
          </a:solidFill>
          <a:ln w="19050">
            <a:solidFill>
              <a:schemeClr val="lt1"/>
            </a:solidFill>
          </a:ln>
          <a:effectLst/>
        </c:spPr>
      </c:pivotFmt>
      <c:pivotFmt>
        <c:idx val="865"/>
        <c:spPr>
          <a:solidFill>
            <a:schemeClr val="accent1"/>
          </a:solidFill>
          <a:ln w="19050">
            <a:solidFill>
              <a:schemeClr val="lt1"/>
            </a:solidFill>
          </a:ln>
          <a:effectLst/>
        </c:spPr>
      </c:pivotFmt>
      <c:pivotFmt>
        <c:idx val="866"/>
        <c:spPr>
          <a:solidFill>
            <a:schemeClr val="accent1"/>
          </a:solidFill>
          <a:ln w="19050">
            <a:solidFill>
              <a:schemeClr val="lt1"/>
            </a:solidFill>
          </a:ln>
          <a:effectLst/>
        </c:spPr>
      </c:pivotFmt>
      <c:pivotFmt>
        <c:idx val="867"/>
        <c:spPr>
          <a:solidFill>
            <a:schemeClr val="accent1"/>
          </a:solidFill>
          <a:ln w="19050">
            <a:solidFill>
              <a:schemeClr val="lt1"/>
            </a:solidFill>
          </a:ln>
          <a:effectLst/>
        </c:spPr>
      </c:pivotFmt>
      <c:pivotFmt>
        <c:idx val="868"/>
        <c:spPr>
          <a:solidFill>
            <a:schemeClr val="accent1"/>
          </a:solidFill>
          <a:ln w="19050">
            <a:solidFill>
              <a:schemeClr val="lt1"/>
            </a:solidFill>
          </a:ln>
          <a:effectLst/>
        </c:spPr>
      </c:pivotFmt>
      <c:pivotFmt>
        <c:idx val="869"/>
        <c:spPr>
          <a:solidFill>
            <a:schemeClr val="accent1"/>
          </a:solidFill>
          <a:ln w="19050">
            <a:solidFill>
              <a:schemeClr val="lt1"/>
            </a:solidFill>
          </a:ln>
          <a:effectLst/>
        </c:spPr>
      </c:pivotFmt>
      <c:pivotFmt>
        <c:idx val="870"/>
        <c:spPr>
          <a:solidFill>
            <a:schemeClr val="accent1"/>
          </a:solidFill>
          <a:ln w="19050">
            <a:solidFill>
              <a:schemeClr val="lt1"/>
            </a:solidFill>
          </a:ln>
          <a:effectLst/>
        </c:spPr>
      </c:pivotFmt>
      <c:pivotFmt>
        <c:idx val="871"/>
        <c:spPr>
          <a:solidFill>
            <a:schemeClr val="accent1"/>
          </a:solidFill>
          <a:ln w="19050">
            <a:solidFill>
              <a:schemeClr val="lt1"/>
            </a:solidFill>
          </a:ln>
          <a:effectLst/>
        </c:spPr>
      </c:pivotFmt>
      <c:pivotFmt>
        <c:idx val="872"/>
        <c:spPr>
          <a:solidFill>
            <a:schemeClr val="accent1"/>
          </a:solidFill>
          <a:ln w="19050">
            <a:solidFill>
              <a:schemeClr val="lt1"/>
            </a:solidFill>
          </a:ln>
          <a:effectLst/>
        </c:spPr>
      </c:pivotFmt>
      <c:pivotFmt>
        <c:idx val="873"/>
        <c:spPr>
          <a:solidFill>
            <a:schemeClr val="accent1"/>
          </a:solidFill>
          <a:ln w="19050">
            <a:solidFill>
              <a:schemeClr val="lt1"/>
            </a:solidFill>
          </a:ln>
          <a:effectLst/>
        </c:spPr>
      </c:pivotFmt>
      <c:pivotFmt>
        <c:idx val="874"/>
        <c:spPr>
          <a:solidFill>
            <a:schemeClr val="accent1"/>
          </a:solidFill>
          <a:ln w="19050">
            <a:solidFill>
              <a:schemeClr val="lt1"/>
            </a:solidFill>
          </a:ln>
          <a:effectLst/>
        </c:spPr>
      </c:pivotFmt>
      <c:pivotFmt>
        <c:idx val="875"/>
        <c:spPr>
          <a:solidFill>
            <a:schemeClr val="accent1"/>
          </a:solidFill>
          <a:ln w="19050">
            <a:solidFill>
              <a:schemeClr val="lt1"/>
            </a:solidFill>
          </a:ln>
          <a:effectLst/>
        </c:spPr>
      </c:pivotFmt>
      <c:pivotFmt>
        <c:idx val="876"/>
        <c:spPr>
          <a:solidFill>
            <a:schemeClr val="accent1"/>
          </a:solidFill>
          <a:ln w="19050">
            <a:solidFill>
              <a:schemeClr val="lt1"/>
            </a:solidFill>
          </a:ln>
          <a:effectLst/>
        </c:spPr>
      </c:pivotFmt>
      <c:pivotFmt>
        <c:idx val="877"/>
        <c:spPr>
          <a:solidFill>
            <a:schemeClr val="accent1"/>
          </a:solidFill>
          <a:ln w="19050">
            <a:solidFill>
              <a:schemeClr val="lt1"/>
            </a:solidFill>
          </a:ln>
          <a:effectLst/>
        </c:spPr>
      </c:pivotFmt>
      <c:pivotFmt>
        <c:idx val="878"/>
        <c:spPr>
          <a:solidFill>
            <a:schemeClr val="accent1"/>
          </a:solidFill>
          <a:ln w="19050">
            <a:solidFill>
              <a:schemeClr val="lt1"/>
            </a:solidFill>
          </a:ln>
          <a:effectLst/>
        </c:spPr>
      </c:pivotFmt>
      <c:pivotFmt>
        <c:idx val="879"/>
        <c:spPr>
          <a:solidFill>
            <a:schemeClr val="accent1"/>
          </a:solidFill>
          <a:ln w="19050">
            <a:solidFill>
              <a:schemeClr val="lt1"/>
            </a:solidFill>
          </a:ln>
          <a:effectLst/>
        </c:spPr>
      </c:pivotFmt>
      <c:pivotFmt>
        <c:idx val="880"/>
        <c:spPr>
          <a:solidFill>
            <a:schemeClr val="accent1"/>
          </a:solidFill>
          <a:ln w="19050">
            <a:solidFill>
              <a:schemeClr val="lt1"/>
            </a:solidFill>
          </a:ln>
          <a:effectLst/>
        </c:spPr>
      </c:pivotFmt>
      <c:pivotFmt>
        <c:idx val="881"/>
        <c:spPr>
          <a:solidFill>
            <a:schemeClr val="accent1"/>
          </a:solidFill>
          <a:ln w="19050">
            <a:solidFill>
              <a:schemeClr val="lt1"/>
            </a:solidFill>
          </a:ln>
          <a:effectLst/>
        </c:spPr>
      </c:pivotFmt>
      <c:pivotFmt>
        <c:idx val="882"/>
        <c:spPr>
          <a:solidFill>
            <a:schemeClr val="accent1"/>
          </a:solidFill>
          <a:ln w="19050">
            <a:solidFill>
              <a:schemeClr val="lt1"/>
            </a:solidFill>
          </a:ln>
          <a:effectLst/>
        </c:spPr>
      </c:pivotFmt>
      <c:pivotFmt>
        <c:idx val="883"/>
        <c:spPr>
          <a:solidFill>
            <a:schemeClr val="accent1"/>
          </a:solidFill>
          <a:ln w="19050">
            <a:solidFill>
              <a:schemeClr val="lt1"/>
            </a:solidFill>
          </a:ln>
          <a:effectLst/>
        </c:spPr>
      </c:pivotFmt>
      <c:pivotFmt>
        <c:idx val="884"/>
        <c:spPr>
          <a:solidFill>
            <a:schemeClr val="accent1"/>
          </a:solidFill>
          <a:ln w="19050">
            <a:solidFill>
              <a:schemeClr val="lt1"/>
            </a:solidFill>
          </a:ln>
          <a:effectLst/>
        </c:spPr>
      </c:pivotFmt>
      <c:pivotFmt>
        <c:idx val="885"/>
        <c:spPr>
          <a:solidFill>
            <a:schemeClr val="accent1"/>
          </a:solidFill>
          <a:ln w="19050">
            <a:solidFill>
              <a:schemeClr val="lt1"/>
            </a:solidFill>
          </a:ln>
          <a:effectLst/>
        </c:spPr>
      </c:pivotFmt>
      <c:pivotFmt>
        <c:idx val="886"/>
        <c:spPr>
          <a:solidFill>
            <a:schemeClr val="accent1"/>
          </a:solidFill>
          <a:ln w="19050">
            <a:solidFill>
              <a:schemeClr val="lt1"/>
            </a:solidFill>
          </a:ln>
          <a:effectLst/>
        </c:spPr>
      </c:pivotFmt>
      <c:pivotFmt>
        <c:idx val="887"/>
        <c:spPr>
          <a:solidFill>
            <a:schemeClr val="accent1"/>
          </a:solidFill>
          <a:ln w="19050">
            <a:solidFill>
              <a:schemeClr val="lt1"/>
            </a:solidFill>
          </a:ln>
          <a:effectLst/>
        </c:spPr>
      </c:pivotFmt>
      <c:pivotFmt>
        <c:idx val="888"/>
        <c:spPr>
          <a:solidFill>
            <a:schemeClr val="accent1"/>
          </a:solidFill>
          <a:ln w="19050">
            <a:solidFill>
              <a:schemeClr val="lt1"/>
            </a:solidFill>
          </a:ln>
          <a:effectLst/>
        </c:spPr>
      </c:pivotFmt>
      <c:pivotFmt>
        <c:idx val="889"/>
        <c:spPr>
          <a:solidFill>
            <a:schemeClr val="accent1"/>
          </a:solidFill>
          <a:ln w="19050">
            <a:solidFill>
              <a:schemeClr val="lt1"/>
            </a:solidFill>
          </a:ln>
          <a:effectLst/>
        </c:spPr>
      </c:pivotFmt>
      <c:pivotFmt>
        <c:idx val="890"/>
        <c:spPr>
          <a:solidFill>
            <a:schemeClr val="accent1"/>
          </a:solidFill>
          <a:ln w="19050">
            <a:solidFill>
              <a:schemeClr val="lt1"/>
            </a:solidFill>
          </a:ln>
          <a:effectLst/>
        </c:spPr>
      </c:pivotFmt>
      <c:pivotFmt>
        <c:idx val="891"/>
        <c:spPr>
          <a:solidFill>
            <a:schemeClr val="accent1"/>
          </a:solidFill>
          <a:ln w="19050">
            <a:solidFill>
              <a:schemeClr val="lt1"/>
            </a:solidFill>
          </a:ln>
          <a:effectLst/>
        </c:spPr>
      </c:pivotFmt>
      <c:pivotFmt>
        <c:idx val="892"/>
        <c:spPr>
          <a:solidFill>
            <a:schemeClr val="accent1"/>
          </a:solidFill>
          <a:ln w="19050">
            <a:solidFill>
              <a:schemeClr val="lt1"/>
            </a:solidFill>
          </a:ln>
          <a:effectLst/>
        </c:spPr>
      </c:pivotFmt>
      <c:pivotFmt>
        <c:idx val="893"/>
        <c:spPr>
          <a:solidFill>
            <a:schemeClr val="accent1"/>
          </a:solidFill>
          <a:ln w="19050">
            <a:solidFill>
              <a:schemeClr val="lt1"/>
            </a:solidFill>
          </a:ln>
          <a:effectLst/>
        </c:spPr>
      </c:pivotFmt>
      <c:pivotFmt>
        <c:idx val="894"/>
        <c:spPr>
          <a:solidFill>
            <a:schemeClr val="accent1"/>
          </a:solidFill>
          <a:ln w="19050">
            <a:solidFill>
              <a:schemeClr val="lt1"/>
            </a:solidFill>
          </a:ln>
          <a:effectLst/>
        </c:spPr>
      </c:pivotFmt>
      <c:pivotFmt>
        <c:idx val="895"/>
        <c:spPr>
          <a:solidFill>
            <a:schemeClr val="accent1"/>
          </a:solidFill>
          <a:ln w="19050">
            <a:solidFill>
              <a:schemeClr val="lt1"/>
            </a:solidFill>
          </a:ln>
          <a:effectLst/>
        </c:spPr>
      </c:pivotFmt>
      <c:pivotFmt>
        <c:idx val="896"/>
        <c:spPr>
          <a:solidFill>
            <a:schemeClr val="accent1"/>
          </a:solidFill>
          <a:ln w="19050">
            <a:solidFill>
              <a:schemeClr val="lt1"/>
            </a:solidFill>
          </a:ln>
          <a:effectLst/>
        </c:spPr>
      </c:pivotFmt>
      <c:pivotFmt>
        <c:idx val="897"/>
        <c:spPr>
          <a:solidFill>
            <a:schemeClr val="accent1"/>
          </a:solidFill>
          <a:ln w="19050">
            <a:solidFill>
              <a:schemeClr val="lt1"/>
            </a:solidFill>
          </a:ln>
          <a:effectLst/>
        </c:spPr>
      </c:pivotFmt>
      <c:pivotFmt>
        <c:idx val="898"/>
        <c:spPr>
          <a:solidFill>
            <a:schemeClr val="accent1"/>
          </a:solidFill>
          <a:ln w="19050">
            <a:solidFill>
              <a:schemeClr val="lt1"/>
            </a:solidFill>
          </a:ln>
          <a:effectLst/>
        </c:spPr>
      </c:pivotFmt>
      <c:pivotFmt>
        <c:idx val="899"/>
        <c:spPr>
          <a:solidFill>
            <a:schemeClr val="accent1"/>
          </a:solidFill>
          <a:ln w="19050">
            <a:solidFill>
              <a:schemeClr val="lt1"/>
            </a:solidFill>
          </a:ln>
          <a:effectLst/>
        </c:spPr>
      </c:pivotFmt>
      <c:pivotFmt>
        <c:idx val="900"/>
        <c:spPr>
          <a:solidFill>
            <a:schemeClr val="accent1"/>
          </a:solidFill>
          <a:ln w="19050">
            <a:solidFill>
              <a:schemeClr val="lt1"/>
            </a:solidFill>
          </a:ln>
          <a:effectLst/>
        </c:spPr>
      </c:pivotFmt>
      <c:pivotFmt>
        <c:idx val="901"/>
        <c:spPr>
          <a:solidFill>
            <a:schemeClr val="accent1"/>
          </a:solidFill>
          <a:ln w="19050">
            <a:solidFill>
              <a:schemeClr val="lt1"/>
            </a:solidFill>
          </a:ln>
          <a:effectLst/>
        </c:spPr>
      </c:pivotFmt>
      <c:pivotFmt>
        <c:idx val="902"/>
        <c:spPr>
          <a:solidFill>
            <a:schemeClr val="accent1"/>
          </a:solidFill>
          <a:ln w="19050">
            <a:solidFill>
              <a:schemeClr val="lt1"/>
            </a:solidFill>
          </a:ln>
          <a:effectLst/>
        </c:spPr>
      </c:pivotFmt>
      <c:pivotFmt>
        <c:idx val="903"/>
        <c:spPr>
          <a:solidFill>
            <a:schemeClr val="accent1"/>
          </a:solidFill>
          <a:ln w="19050">
            <a:solidFill>
              <a:schemeClr val="lt1"/>
            </a:solidFill>
          </a:ln>
          <a:effectLst/>
        </c:spPr>
      </c:pivotFmt>
      <c:pivotFmt>
        <c:idx val="904"/>
        <c:spPr>
          <a:solidFill>
            <a:schemeClr val="accent1"/>
          </a:solidFill>
          <a:ln w="19050">
            <a:solidFill>
              <a:schemeClr val="lt1"/>
            </a:solidFill>
          </a:ln>
          <a:effectLst/>
        </c:spPr>
      </c:pivotFmt>
      <c:pivotFmt>
        <c:idx val="905"/>
        <c:spPr>
          <a:solidFill>
            <a:schemeClr val="accent1"/>
          </a:solidFill>
          <a:ln w="19050">
            <a:solidFill>
              <a:schemeClr val="lt1"/>
            </a:solidFill>
          </a:ln>
          <a:effectLst/>
        </c:spPr>
      </c:pivotFmt>
      <c:pivotFmt>
        <c:idx val="906"/>
        <c:spPr>
          <a:solidFill>
            <a:schemeClr val="accent1"/>
          </a:solidFill>
          <a:ln w="19050">
            <a:solidFill>
              <a:schemeClr val="lt1"/>
            </a:solidFill>
          </a:ln>
          <a:effectLst/>
        </c:spPr>
      </c:pivotFmt>
      <c:pivotFmt>
        <c:idx val="907"/>
        <c:spPr>
          <a:solidFill>
            <a:schemeClr val="accent1"/>
          </a:solidFill>
          <a:ln w="19050">
            <a:solidFill>
              <a:schemeClr val="lt1"/>
            </a:solidFill>
          </a:ln>
          <a:effectLst/>
        </c:spPr>
      </c:pivotFmt>
      <c:pivotFmt>
        <c:idx val="908"/>
        <c:spPr>
          <a:solidFill>
            <a:schemeClr val="accent1"/>
          </a:solidFill>
          <a:ln w="19050">
            <a:solidFill>
              <a:schemeClr val="lt1"/>
            </a:solidFill>
          </a:ln>
          <a:effectLst/>
        </c:spPr>
      </c:pivotFmt>
      <c:pivotFmt>
        <c:idx val="909"/>
        <c:spPr>
          <a:solidFill>
            <a:schemeClr val="accent1"/>
          </a:solidFill>
          <a:ln w="19050">
            <a:solidFill>
              <a:schemeClr val="lt1"/>
            </a:solidFill>
          </a:ln>
          <a:effectLst/>
        </c:spPr>
      </c:pivotFmt>
      <c:pivotFmt>
        <c:idx val="910"/>
        <c:spPr>
          <a:solidFill>
            <a:schemeClr val="accent1"/>
          </a:solidFill>
          <a:ln w="19050">
            <a:solidFill>
              <a:schemeClr val="lt1"/>
            </a:solidFill>
          </a:ln>
          <a:effectLst/>
        </c:spPr>
      </c:pivotFmt>
      <c:pivotFmt>
        <c:idx val="911"/>
        <c:spPr>
          <a:solidFill>
            <a:schemeClr val="accent1"/>
          </a:solidFill>
          <a:ln w="19050">
            <a:solidFill>
              <a:schemeClr val="lt1"/>
            </a:solidFill>
          </a:ln>
          <a:effectLst/>
        </c:spPr>
      </c:pivotFmt>
      <c:pivotFmt>
        <c:idx val="912"/>
        <c:spPr>
          <a:solidFill>
            <a:schemeClr val="accent1"/>
          </a:solidFill>
          <a:ln w="19050">
            <a:solidFill>
              <a:schemeClr val="lt1"/>
            </a:solidFill>
          </a:ln>
          <a:effectLst/>
        </c:spPr>
      </c:pivotFmt>
      <c:pivotFmt>
        <c:idx val="913"/>
        <c:spPr>
          <a:solidFill>
            <a:schemeClr val="accent1"/>
          </a:solidFill>
          <a:ln w="19050">
            <a:solidFill>
              <a:schemeClr val="lt1"/>
            </a:solidFill>
          </a:ln>
          <a:effectLst/>
        </c:spPr>
      </c:pivotFmt>
      <c:pivotFmt>
        <c:idx val="914"/>
        <c:spPr>
          <a:solidFill>
            <a:schemeClr val="accent1"/>
          </a:solidFill>
          <a:ln w="19050">
            <a:solidFill>
              <a:schemeClr val="lt1"/>
            </a:solidFill>
          </a:ln>
          <a:effectLst/>
        </c:spPr>
      </c:pivotFmt>
      <c:pivotFmt>
        <c:idx val="915"/>
        <c:spPr>
          <a:solidFill>
            <a:schemeClr val="accent1"/>
          </a:solidFill>
          <a:ln w="19050">
            <a:solidFill>
              <a:schemeClr val="lt1"/>
            </a:solidFill>
          </a:ln>
          <a:effectLst/>
        </c:spPr>
      </c:pivotFmt>
      <c:pivotFmt>
        <c:idx val="916"/>
        <c:spPr>
          <a:solidFill>
            <a:schemeClr val="accent1"/>
          </a:solidFill>
          <a:ln w="19050">
            <a:solidFill>
              <a:schemeClr val="lt1"/>
            </a:solidFill>
          </a:ln>
          <a:effectLst/>
        </c:spPr>
      </c:pivotFmt>
      <c:pivotFmt>
        <c:idx val="917"/>
        <c:spPr>
          <a:solidFill>
            <a:schemeClr val="accent1"/>
          </a:solidFill>
          <a:ln w="19050">
            <a:solidFill>
              <a:schemeClr val="lt1"/>
            </a:solidFill>
          </a:ln>
          <a:effectLst/>
        </c:spPr>
      </c:pivotFmt>
      <c:pivotFmt>
        <c:idx val="918"/>
        <c:spPr>
          <a:solidFill>
            <a:schemeClr val="accent1"/>
          </a:solidFill>
          <a:ln w="19050">
            <a:solidFill>
              <a:schemeClr val="lt1"/>
            </a:solidFill>
          </a:ln>
          <a:effectLst/>
        </c:spPr>
      </c:pivotFmt>
      <c:pivotFmt>
        <c:idx val="919"/>
        <c:spPr>
          <a:solidFill>
            <a:schemeClr val="accent1"/>
          </a:solidFill>
          <a:ln w="19050">
            <a:solidFill>
              <a:schemeClr val="lt1"/>
            </a:solidFill>
          </a:ln>
          <a:effectLst/>
        </c:spPr>
      </c:pivotFmt>
      <c:pivotFmt>
        <c:idx val="920"/>
        <c:spPr>
          <a:solidFill>
            <a:schemeClr val="accent1"/>
          </a:solidFill>
          <a:ln w="19050">
            <a:solidFill>
              <a:schemeClr val="lt1"/>
            </a:solidFill>
          </a:ln>
          <a:effectLst/>
        </c:spPr>
      </c:pivotFmt>
      <c:pivotFmt>
        <c:idx val="921"/>
        <c:spPr>
          <a:solidFill>
            <a:schemeClr val="accent1"/>
          </a:solidFill>
          <a:ln w="19050">
            <a:solidFill>
              <a:schemeClr val="lt1"/>
            </a:solidFill>
          </a:ln>
          <a:effectLst/>
        </c:spPr>
      </c:pivotFmt>
      <c:pivotFmt>
        <c:idx val="922"/>
        <c:spPr>
          <a:solidFill>
            <a:schemeClr val="accent1"/>
          </a:solidFill>
          <a:ln w="19050">
            <a:solidFill>
              <a:schemeClr val="lt1"/>
            </a:solidFill>
          </a:ln>
          <a:effectLst/>
        </c:spPr>
      </c:pivotFmt>
      <c:pivotFmt>
        <c:idx val="923"/>
        <c:spPr>
          <a:solidFill>
            <a:schemeClr val="accent1"/>
          </a:solidFill>
          <a:ln w="19050">
            <a:solidFill>
              <a:schemeClr val="lt1"/>
            </a:solidFill>
          </a:ln>
          <a:effectLst/>
        </c:spPr>
      </c:pivotFmt>
      <c:pivotFmt>
        <c:idx val="924"/>
        <c:spPr>
          <a:solidFill>
            <a:schemeClr val="accent1"/>
          </a:solidFill>
          <a:ln w="19050">
            <a:solidFill>
              <a:schemeClr val="lt1"/>
            </a:solidFill>
          </a:ln>
          <a:effectLst/>
        </c:spPr>
      </c:pivotFmt>
      <c:pivotFmt>
        <c:idx val="925"/>
        <c:spPr>
          <a:solidFill>
            <a:schemeClr val="accent1"/>
          </a:solidFill>
          <a:ln w="19050">
            <a:solidFill>
              <a:schemeClr val="lt1"/>
            </a:solidFill>
          </a:ln>
          <a:effectLst/>
        </c:spPr>
      </c:pivotFmt>
      <c:pivotFmt>
        <c:idx val="926"/>
        <c:spPr>
          <a:solidFill>
            <a:schemeClr val="accent1"/>
          </a:solidFill>
          <a:ln w="19050">
            <a:solidFill>
              <a:schemeClr val="lt1"/>
            </a:solidFill>
          </a:ln>
          <a:effectLst/>
        </c:spPr>
      </c:pivotFmt>
      <c:pivotFmt>
        <c:idx val="927"/>
        <c:spPr>
          <a:solidFill>
            <a:schemeClr val="accent1"/>
          </a:solidFill>
          <a:ln w="19050">
            <a:solidFill>
              <a:schemeClr val="lt1"/>
            </a:solidFill>
          </a:ln>
          <a:effectLst/>
        </c:spPr>
      </c:pivotFmt>
      <c:pivotFmt>
        <c:idx val="928"/>
        <c:spPr>
          <a:solidFill>
            <a:schemeClr val="accent1"/>
          </a:solidFill>
          <a:ln w="19050">
            <a:solidFill>
              <a:schemeClr val="lt1"/>
            </a:solidFill>
          </a:ln>
          <a:effectLst/>
        </c:spPr>
      </c:pivotFmt>
      <c:pivotFmt>
        <c:idx val="929"/>
        <c:spPr>
          <a:solidFill>
            <a:schemeClr val="accent1"/>
          </a:solidFill>
          <a:ln w="19050">
            <a:solidFill>
              <a:schemeClr val="lt1"/>
            </a:solidFill>
          </a:ln>
          <a:effectLst/>
        </c:spPr>
      </c:pivotFmt>
      <c:pivotFmt>
        <c:idx val="930"/>
        <c:spPr>
          <a:solidFill>
            <a:schemeClr val="accent1"/>
          </a:solidFill>
          <a:ln w="19050">
            <a:solidFill>
              <a:schemeClr val="lt1"/>
            </a:solidFill>
          </a:ln>
          <a:effectLst/>
        </c:spPr>
      </c:pivotFmt>
      <c:pivotFmt>
        <c:idx val="931"/>
        <c:spPr>
          <a:solidFill>
            <a:schemeClr val="accent1"/>
          </a:solidFill>
          <a:ln w="19050">
            <a:solidFill>
              <a:schemeClr val="lt1"/>
            </a:solidFill>
          </a:ln>
          <a:effectLst/>
        </c:spPr>
      </c:pivotFmt>
      <c:pivotFmt>
        <c:idx val="932"/>
        <c:spPr>
          <a:solidFill>
            <a:schemeClr val="accent1"/>
          </a:solidFill>
          <a:ln w="19050">
            <a:solidFill>
              <a:schemeClr val="lt1"/>
            </a:solidFill>
          </a:ln>
          <a:effectLst/>
        </c:spPr>
      </c:pivotFmt>
      <c:pivotFmt>
        <c:idx val="933"/>
        <c:spPr>
          <a:solidFill>
            <a:schemeClr val="accent1"/>
          </a:solidFill>
          <a:ln w="19050">
            <a:solidFill>
              <a:schemeClr val="lt1"/>
            </a:solidFill>
          </a:ln>
          <a:effectLst/>
        </c:spPr>
      </c:pivotFmt>
      <c:pivotFmt>
        <c:idx val="934"/>
        <c:spPr>
          <a:solidFill>
            <a:schemeClr val="accent1"/>
          </a:solidFill>
          <a:ln w="19050">
            <a:solidFill>
              <a:schemeClr val="lt1"/>
            </a:solidFill>
          </a:ln>
          <a:effectLst/>
        </c:spPr>
      </c:pivotFmt>
      <c:pivotFmt>
        <c:idx val="935"/>
        <c:spPr>
          <a:solidFill>
            <a:schemeClr val="accent1"/>
          </a:solidFill>
          <a:ln w="19050">
            <a:solidFill>
              <a:schemeClr val="lt1"/>
            </a:solidFill>
          </a:ln>
          <a:effectLst/>
        </c:spPr>
      </c:pivotFmt>
      <c:pivotFmt>
        <c:idx val="936"/>
        <c:spPr>
          <a:solidFill>
            <a:schemeClr val="accent1"/>
          </a:solidFill>
          <a:ln w="19050">
            <a:solidFill>
              <a:schemeClr val="lt1"/>
            </a:solidFill>
          </a:ln>
          <a:effectLst/>
        </c:spPr>
      </c:pivotFmt>
      <c:pivotFmt>
        <c:idx val="937"/>
        <c:spPr>
          <a:solidFill>
            <a:schemeClr val="accent1"/>
          </a:solidFill>
          <a:ln w="19050">
            <a:solidFill>
              <a:schemeClr val="lt1"/>
            </a:solidFill>
          </a:ln>
          <a:effectLst/>
        </c:spPr>
      </c:pivotFmt>
      <c:pivotFmt>
        <c:idx val="938"/>
        <c:spPr>
          <a:solidFill>
            <a:schemeClr val="accent1"/>
          </a:solidFill>
          <a:ln w="19050">
            <a:solidFill>
              <a:schemeClr val="lt1"/>
            </a:solidFill>
          </a:ln>
          <a:effectLst/>
        </c:spPr>
      </c:pivotFmt>
      <c:pivotFmt>
        <c:idx val="939"/>
        <c:spPr>
          <a:solidFill>
            <a:schemeClr val="accent1"/>
          </a:solidFill>
          <a:ln w="19050">
            <a:solidFill>
              <a:schemeClr val="lt1"/>
            </a:solidFill>
          </a:ln>
          <a:effectLst/>
        </c:spPr>
      </c:pivotFmt>
      <c:pivotFmt>
        <c:idx val="940"/>
        <c:spPr>
          <a:solidFill>
            <a:schemeClr val="accent1"/>
          </a:solidFill>
          <a:ln w="19050">
            <a:solidFill>
              <a:schemeClr val="lt1"/>
            </a:solidFill>
          </a:ln>
          <a:effectLst/>
        </c:spPr>
      </c:pivotFmt>
      <c:pivotFmt>
        <c:idx val="941"/>
        <c:spPr>
          <a:solidFill>
            <a:schemeClr val="accent1"/>
          </a:solidFill>
          <a:ln w="19050">
            <a:solidFill>
              <a:schemeClr val="lt1"/>
            </a:solidFill>
          </a:ln>
          <a:effectLst/>
        </c:spPr>
      </c:pivotFmt>
      <c:pivotFmt>
        <c:idx val="942"/>
        <c:spPr>
          <a:solidFill>
            <a:schemeClr val="accent1"/>
          </a:solidFill>
          <a:ln w="19050">
            <a:solidFill>
              <a:schemeClr val="lt1"/>
            </a:solidFill>
          </a:ln>
          <a:effectLst/>
        </c:spPr>
      </c:pivotFmt>
      <c:pivotFmt>
        <c:idx val="943"/>
        <c:spPr>
          <a:solidFill>
            <a:schemeClr val="accent1"/>
          </a:solidFill>
          <a:ln w="19050">
            <a:solidFill>
              <a:schemeClr val="lt1"/>
            </a:solidFill>
          </a:ln>
          <a:effectLst/>
        </c:spPr>
      </c:pivotFmt>
      <c:pivotFmt>
        <c:idx val="944"/>
        <c:spPr>
          <a:solidFill>
            <a:schemeClr val="accent1"/>
          </a:solidFill>
          <a:ln w="19050">
            <a:solidFill>
              <a:schemeClr val="lt1"/>
            </a:solidFill>
          </a:ln>
          <a:effectLst/>
        </c:spPr>
      </c:pivotFmt>
      <c:pivotFmt>
        <c:idx val="945"/>
        <c:spPr>
          <a:solidFill>
            <a:schemeClr val="accent1"/>
          </a:solidFill>
          <a:ln w="19050">
            <a:solidFill>
              <a:schemeClr val="lt1"/>
            </a:solidFill>
          </a:ln>
          <a:effectLst/>
        </c:spPr>
      </c:pivotFmt>
      <c:pivotFmt>
        <c:idx val="946"/>
        <c:spPr>
          <a:solidFill>
            <a:schemeClr val="accent1"/>
          </a:solidFill>
          <a:ln w="19050">
            <a:solidFill>
              <a:schemeClr val="lt1"/>
            </a:solidFill>
          </a:ln>
          <a:effectLst/>
        </c:spPr>
      </c:pivotFmt>
      <c:pivotFmt>
        <c:idx val="947"/>
        <c:spPr>
          <a:solidFill>
            <a:schemeClr val="accent1"/>
          </a:solidFill>
          <a:ln w="19050">
            <a:solidFill>
              <a:schemeClr val="lt1"/>
            </a:solidFill>
          </a:ln>
          <a:effectLst/>
        </c:spPr>
      </c:pivotFmt>
      <c:pivotFmt>
        <c:idx val="948"/>
        <c:spPr>
          <a:solidFill>
            <a:schemeClr val="accent1"/>
          </a:solidFill>
          <a:ln w="19050">
            <a:solidFill>
              <a:schemeClr val="lt1"/>
            </a:solidFill>
          </a:ln>
          <a:effectLst/>
        </c:spPr>
      </c:pivotFmt>
      <c:pivotFmt>
        <c:idx val="949"/>
        <c:spPr>
          <a:solidFill>
            <a:schemeClr val="accent1"/>
          </a:solidFill>
          <a:ln w="19050">
            <a:solidFill>
              <a:schemeClr val="lt1"/>
            </a:solidFill>
          </a:ln>
          <a:effectLst/>
        </c:spPr>
      </c:pivotFmt>
      <c:pivotFmt>
        <c:idx val="950"/>
        <c:spPr>
          <a:solidFill>
            <a:schemeClr val="accent1"/>
          </a:solidFill>
          <a:ln w="19050">
            <a:solidFill>
              <a:schemeClr val="lt1"/>
            </a:solidFill>
          </a:ln>
          <a:effectLst/>
        </c:spPr>
      </c:pivotFmt>
      <c:pivotFmt>
        <c:idx val="951"/>
        <c:spPr>
          <a:solidFill>
            <a:schemeClr val="accent1"/>
          </a:solidFill>
          <a:ln w="19050">
            <a:solidFill>
              <a:schemeClr val="lt1"/>
            </a:solidFill>
          </a:ln>
          <a:effectLst/>
        </c:spPr>
      </c:pivotFmt>
      <c:pivotFmt>
        <c:idx val="952"/>
        <c:spPr>
          <a:solidFill>
            <a:schemeClr val="accent1"/>
          </a:solidFill>
          <a:ln w="19050">
            <a:solidFill>
              <a:schemeClr val="lt1"/>
            </a:solidFill>
          </a:ln>
          <a:effectLst/>
        </c:spPr>
      </c:pivotFmt>
      <c:pivotFmt>
        <c:idx val="953"/>
        <c:spPr>
          <a:solidFill>
            <a:schemeClr val="accent1"/>
          </a:solidFill>
          <a:ln w="19050">
            <a:solidFill>
              <a:schemeClr val="lt1"/>
            </a:solidFill>
          </a:ln>
          <a:effectLst/>
        </c:spPr>
      </c:pivotFmt>
      <c:pivotFmt>
        <c:idx val="954"/>
        <c:spPr>
          <a:solidFill>
            <a:schemeClr val="accent1"/>
          </a:solidFill>
          <a:ln w="19050">
            <a:solidFill>
              <a:schemeClr val="lt1"/>
            </a:solidFill>
          </a:ln>
          <a:effectLst/>
        </c:spPr>
      </c:pivotFmt>
      <c:pivotFmt>
        <c:idx val="955"/>
        <c:spPr>
          <a:solidFill>
            <a:schemeClr val="accent1"/>
          </a:solidFill>
          <a:ln w="19050">
            <a:solidFill>
              <a:schemeClr val="lt1"/>
            </a:solidFill>
          </a:ln>
          <a:effectLst/>
        </c:spPr>
      </c:pivotFmt>
      <c:pivotFmt>
        <c:idx val="956"/>
        <c:spPr>
          <a:solidFill>
            <a:schemeClr val="accent1"/>
          </a:solidFill>
          <a:ln w="19050">
            <a:solidFill>
              <a:schemeClr val="lt1"/>
            </a:solidFill>
          </a:ln>
          <a:effectLst/>
        </c:spPr>
      </c:pivotFmt>
      <c:pivotFmt>
        <c:idx val="957"/>
        <c:spPr>
          <a:solidFill>
            <a:schemeClr val="accent1"/>
          </a:solidFill>
          <a:ln w="19050">
            <a:solidFill>
              <a:schemeClr val="lt1"/>
            </a:solidFill>
          </a:ln>
          <a:effectLst/>
        </c:spPr>
      </c:pivotFmt>
      <c:pivotFmt>
        <c:idx val="958"/>
        <c:spPr>
          <a:solidFill>
            <a:schemeClr val="accent1"/>
          </a:solidFill>
          <a:ln w="19050">
            <a:solidFill>
              <a:schemeClr val="lt1"/>
            </a:solidFill>
          </a:ln>
          <a:effectLst/>
        </c:spPr>
      </c:pivotFmt>
      <c:pivotFmt>
        <c:idx val="959"/>
        <c:spPr>
          <a:solidFill>
            <a:schemeClr val="accent1"/>
          </a:solidFill>
          <a:ln w="19050">
            <a:solidFill>
              <a:schemeClr val="lt1"/>
            </a:solidFill>
          </a:ln>
          <a:effectLst/>
        </c:spPr>
      </c:pivotFmt>
      <c:pivotFmt>
        <c:idx val="960"/>
        <c:spPr>
          <a:solidFill>
            <a:schemeClr val="accent1"/>
          </a:solidFill>
          <a:ln w="19050">
            <a:solidFill>
              <a:schemeClr val="lt1"/>
            </a:solidFill>
          </a:ln>
          <a:effectLst/>
        </c:spPr>
      </c:pivotFmt>
      <c:pivotFmt>
        <c:idx val="961"/>
        <c:spPr>
          <a:solidFill>
            <a:schemeClr val="accent1"/>
          </a:solidFill>
          <a:ln w="19050">
            <a:solidFill>
              <a:schemeClr val="lt1"/>
            </a:solidFill>
          </a:ln>
          <a:effectLst/>
        </c:spPr>
      </c:pivotFmt>
      <c:pivotFmt>
        <c:idx val="962"/>
        <c:spPr>
          <a:solidFill>
            <a:schemeClr val="accent1"/>
          </a:solidFill>
          <a:ln w="19050">
            <a:solidFill>
              <a:schemeClr val="lt1"/>
            </a:solidFill>
          </a:ln>
          <a:effectLst/>
        </c:spPr>
      </c:pivotFmt>
      <c:pivotFmt>
        <c:idx val="963"/>
        <c:spPr>
          <a:solidFill>
            <a:schemeClr val="accent1"/>
          </a:solidFill>
          <a:ln w="19050">
            <a:solidFill>
              <a:schemeClr val="lt1"/>
            </a:solidFill>
          </a:ln>
          <a:effectLst/>
        </c:spPr>
      </c:pivotFmt>
      <c:pivotFmt>
        <c:idx val="964"/>
        <c:spPr>
          <a:solidFill>
            <a:schemeClr val="accent1"/>
          </a:solidFill>
          <a:ln w="19050">
            <a:solidFill>
              <a:schemeClr val="lt1"/>
            </a:solidFill>
          </a:ln>
          <a:effectLst/>
        </c:spPr>
      </c:pivotFmt>
      <c:pivotFmt>
        <c:idx val="965"/>
        <c:spPr>
          <a:solidFill>
            <a:schemeClr val="accent1"/>
          </a:solidFill>
          <a:ln w="19050">
            <a:solidFill>
              <a:schemeClr val="lt1"/>
            </a:solidFill>
          </a:ln>
          <a:effectLst/>
        </c:spPr>
      </c:pivotFmt>
      <c:pivotFmt>
        <c:idx val="966"/>
        <c:spPr>
          <a:solidFill>
            <a:schemeClr val="accent1"/>
          </a:solidFill>
          <a:ln w="19050">
            <a:solidFill>
              <a:schemeClr val="lt1"/>
            </a:solidFill>
          </a:ln>
          <a:effectLst/>
        </c:spPr>
      </c:pivotFmt>
      <c:pivotFmt>
        <c:idx val="967"/>
        <c:spPr>
          <a:solidFill>
            <a:schemeClr val="accent1"/>
          </a:solidFill>
          <a:ln w="19050">
            <a:solidFill>
              <a:schemeClr val="lt1"/>
            </a:solidFill>
          </a:ln>
          <a:effectLst/>
        </c:spPr>
      </c:pivotFmt>
      <c:pivotFmt>
        <c:idx val="968"/>
        <c:spPr>
          <a:solidFill>
            <a:schemeClr val="accent1"/>
          </a:solidFill>
          <a:ln w="19050">
            <a:solidFill>
              <a:schemeClr val="lt1"/>
            </a:solidFill>
          </a:ln>
          <a:effectLst/>
        </c:spPr>
      </c:pivotFmt>
      <c:pivotFmt>
        <c:idx val="969"/>
        <c:spPr>
          <a:solidFill>
            <a:schemeClr val="accent1"/>
          </a:solidFill>
          <a:ln w="19050">
            <a:solidFill>
              <a:schemeClr val="lt1"/>
            </a:solidFill>
          </a:ln>
          <a:effectLst/>
        </c:spPr>
      </c:pivotFmt>
      <c:pivotFmt>
        <c:idx val="970"/>
        <c:spPr>
          <a:solidFill>
            <a:schemeClr val="accent1"/>
          </a:solidFill>
          <a:ln w="19050">
            <a:solidFill>
              <a:schemeClr val="lt1"/>
            </a:solidFill>
          </a:ln>
          <a:effectLst/>
        </c:spPr>
      </c:pivotFmt>
      <c:pivotFmt>
        <c:idx val="971"/>
        <c:spPr>
          <a:solidFill>
            <a:schemeClr val="accent1"/>
          </a:solidFill>
          <a:ln w="19050">
            <a:solidFill>
              <a:schemeClr val="lt1"/>
            </a:solidFill>
          </a:ln>
          <a:effectLst/>
        </c:spPr>
      </c:pivotFmt>
      <c:pivotFmt>
        <c:idx val="972"/>
        <c:spPr>
          <a:solidFill>
            <a:schemeClr val="accent1"/>
          </a:solidFill>
          <a:ln w="19050">
            <a:solidFill>
              <a:schemeClr val="lt1"/>
            </a:solidFill>
          </a:ln>
          <a:effectLst/>
        </c:spPr>
      </c:pivotFmt>
      <c:pivotFmt>
        <c:idx val="973"/>
        <c:spPr>
          <a:solidFill>
            <a:schemeClr val="accent1"/>
          </a:solidFill>
          <a:ln w="19050">
            <a:solidFill>
              <a:schemeClr val="lt1"/>
            </a:solidFill>
          </a:ln>
          <a:effectLst/>
        </c:spPr>
      </c:pivotFmt>
      <c:pivotFmt>
        <c:idx val="974"/>
        <c:spPr>
          <a:solidFill>
            <a:schemeClr val="accent1"/>
          </a:solidFill>
          <a:ln w="19050">
            <a:solidFill>
              <a:schemeClr val="lt1"/>
            </a:solidFill>
          </a:ln>
          <a:effectLst/>
        </c:spPr>
      </c:pivotFmt>
      <c:pivotFmt>
        <c:idx val="975"/>
        <c:spPr>
          <a:solidFill>
            <a:schemeClr val="accent1"/>
          </a:solidFill>
          <a:ln w="19050">
            <a:solidFill>
              <a:schemeClr val="lt1"/>
            </a:solidFill>
          </a:ln>
          <a:effectLst/>
        </c:spPr>
      </c:pivotFmt>
      <c:pivotFmt>
        <c:idx val="976"/>
        <c:spPr>
          <a:solidFill>
            <a:schemeClr val="accent1"/>
          </a:solidFill>
          <a:ln w="19050">
            <a:solidFill>
              <a:schemeClr val="lt1"/>
            </a:solidFill>
          </a:ln>
          <a:effectLst/>
        </c:spPr>
      </c:pivotFmt>
      <c:pivotFmt>
        <c:idx val="977"/>
        <c:spPr>
          <a:solidFill>
            <a:schemeClr val="accent1"/>
          </a:solidFill>
          <a:ln w="19050">
            <a:solidFill>
              <a:schemeClr val="lt1"/>
            </a:solidFill>
          </a:ln>
          <a:effectLst/>
        </c:spPr>
      </c:pivotFmt>
      <c:pivotFmt>
        <c:idx val="978"/>
        <c:spPr>
          <a:solidFill>
            <a:schemeClr val="accent1"/>
          </a:solidFill>
          <a:ln w="19050">
            <a:solidFill>
              <a:schemeClr val="lt1"/>
            </a:solidFill>
          </a:ln>
          <a:effectLst/>
        </c:spPr>
      </c:pivotFmt>
      <c:pivotFmt>
        <c:idx val="979"/>
        <c:spPr>
          <a:solidFill>
            <a:schemeClr val="accent1"/>
          </a:solidFill>
          <a:ln w="19050">
            <a:solidFill>
              <a:schemeClr val="lt1"/>
            </a:solidFill>
          </a:ln>
          <a:effectLst/>
        </c:spPr>
      </c:pivotFmt>
      <c:pivotFmt>
        <c:idx val="980"/>
        <c:spPr>
          <a:solidFill>
            <a:schemeClr val="accent1"/>
          </a:solidFill>
          <a:ln w="19050">
            <a:solidFill>
              <a:schemeClr val="lt1"/>
            </a:solidFill>
          </a:ln>
          <a:effectLst/>
        </c:spPr>
      </c:pivotFmt>
      <c:pivotFmt>
        <c:idx val="981"/>
        <c:spPr>
          <a:solidFill>
            <a:schemeClr val="accent1"/>
          </a:solidFill>
          <a:ln w="19050">
            <a:solidFill>
              <a:schemeClr val="lt1"/>
            </a:solidFill>
          </a:ln>
          <a:effectLst/>
        </c:spPr>
      </c:pivotFmt>
      <c:pivotFmt>
        <c:idx val="982"/>
        <c:spPr>
          <a:solidFill>
            <a:schemeClr val="accent1"/>
          </a:solidFill>
          <a:ln w="19050">
            <a:solidFill>
              <a:schemeClr val="lt1"/>
            </a:solidFill>
          </a:ln>
          <a:effectLst/>
        </c:spPr>
      </c:pivotFmt>
      <c:pivotFmt>
        <c:idx val="983"/>
        <c:spPr>
          <a:solidFill>
            <a:schemeClr val="accent1"/>
          </a:solidFill>
          <a:ln w="19050">
            <a:solidFill>
              <a:schemeClr val="lt1"/>
            </a:solidFill>
          </a:ln>
          <a:effectLst/>
        </c:spPr>
      </c:pivotFmt>
      <c:pivotFmt>
        <c:idx val="984"/>
        <c:spPr>
          <a:solidFill>
            <a:schemeClr val="accent1"/>
          </a:solidFill>
          <a:ln w="19050">
            <a:solidFill>
              <a:schemeClr val="lt1"/>
            </a:solidFill>
          </a:ln>
          <a:effectLst/>
        </c:spPr>
      </c:pivotFmt>
      <c:pivotFmt>
        <c:idx val="985"/>
        <c:spPr>
          <a:solidFill>
            <a:schemeClr val="accent1"/>
          </a:solidFill>
          <a:ln w="19050">
            <a:solidFill>
              <a:schemeClr val="lt1"/>
            </a:solidFill>
          </a:ln>
          <a:effectLst/>
        </c:spPr>
      </c:pivotFmt>
      <c:pivotFmt>
        <c:idx val="986"/>
        <c:spPr>
          <a:solidFill>
            <a:schemeClr val="accent1"/>
          </a:solidFill>
          <a:ln w="19050">
            <a:solidFill>
              <a:schemeClr val="lt1"/>
            </a:solidFill>
          </a:ln>
          <a:effectLst/>
        </c:spPr>
      </c:pivotFmt>
      <c:pivotFmt>
        <c:idx val="987"/>
        <c:spPr>
          <a:solidFill>
            <a:schemeClr val="accent1"/>
          </a:solidFill>
          <a:ln w="19050">
            <a:solidFill>
              <a:schemeClr val="lt1"/>
            </a:solidFill>
          </a:ln>
          <a:effectLst/>
        </c:spPr>
      </c:pivotFmt>
      <c:pivotFmt>
        <c:idx val="988"/>
        <c:spPr>
          <a:solidFill>
            <a:schemeClr val="accent1"/>
          </a:solidFill>
          <a:ln w="19050">
            <a:solidFill>
              <a:schemeClr val="lt1"/>
            </a:solidFill>
          </a:ln>
          <a:effectLst/>
        </c:spPr>
      </c:pivotFmt>
      <c:pivotFmt>
        <c:idx val="989"/>
        <c:spPr>
          <a:solidFill>
            <a:schemeClr val="accent1"/>
          </a:solidFill>
          <a:ln w="19050">
            <a:solidFill>
              <a:schemeClr val="lt1"/>
            </a:solidFill>
          </a:ln>
          <a:effectLst/>
        </c:spPr>
      </c:pivotFmt>
      <c:pivotFmt>
        <c:idx val="990"/>
        <c:spPr>
          <a:solidFill>
            <a:schemeClr val="accent1"/>
          </a:solidFill>
          <a:ln w="19050">
            <a:solidFill>
              <a:schemeClr val="lt1"/>
            </a:solidFill>
          </a:ln>
          <a:effectLst/>
        </c:spPr>
      </c:pivotFmt>
      <c:pivotFmt>
        <c:idx val="991"/>
        <c:spPr>
          <a:solidFill>
            <a:schemeClr val="accent1"/>
          </a:solidFill>
          <a:ln w="19050">
            <a:solidFill>
              <a:schemeClr val="lt1"/>
            </a:solidFill>
          </a:ln>
          <a:effectLst/>
        </c:spPr>
      </c:pivotFmt>
      <c:pivotFmt>
        <c:idx val="992"/>
        <c:spPr>
          <a:solidFill>
            <a:schemeClr val="accent1"/>
          </a:solidFill>
          <a:ln w="19050">
            <a:solidFill>
              <a:schemeClr val="lt1"/>
            </a:solidFill>
          </a:ln>
          <a:effectLst/>
        </c:spPr>
      </c:pivotFmt>
      <c:pivotFmt>
        <c:idx val="993"/>
        <c:spPr>
          <a:solidFill>
            <a:schemeClr val="accent1"/>
          </a:solidFill>
          <a:ln w="19050">
            <a:solidFill>
              <a:schemeClr val="lt1"/>
            </a:solidFill>
          </a:ln>
          <a:effectLst/>
        </c:spPr>
      </c:pivotFmt>
      <c:pivotFmt>
        <c:idx val="994"/>
        <c:spPr>
          <a:solidFill>
            <a:schemeClr val="accent1"/>
          </a:solidFill>
          <a:ln w="19050">
            <a:solidFill>
              <a:schemeClr val="lt1"/>
            </a:solidFill>
          </a:ln>
          <a:effectLst/>
        </c:spPr>
      </c:pivotFmt>
      <c:pivotFmt>
        <c:idx val="995"/>
        <c:spPr>
          <a:solidFill>
            <a:schemeClr val="accent1"/>
          </a:solidFill>
          <a:ln w="19050">
            <a:solidFill>
              <a:schemeClr val="lt1"/>
            </a:solidFill>
          </a:ln>
          <a:effectLst/>
        </c:spPr>
      </c:pivotFmt>
      <c:pivotFmt>
        <c:idx val="996"/>
        <c:spPr>
          <a:solidFill>
            <a:schemeClr val="accent1"/>
          </a:solidFill>
          <a:ln w="19050">
            <a:solidFill>
              <a:schemeClr val="lt1"/>
            </a:solidFill>
          </a:ln>
          <a:effectLst/>
        </c:spPr>
      </c:pivotFmt>
      <c:pivotFmt>
        <c:idx val="997"/>
        <c:spPr>
          <a:solidFill>
            <a:schemeClr val="accent1"/>
          </a:solidFill>
          <a:ln w="19050">
            <a:solidFill>
              <a:schemeClr val="lt1"/>
            </a:solidFill>
          </a:ln>
          <a:effectLst/>
        </c:spPr>
      </c:pivotFmt>
      <c:pivotFmt>
        <c:idx val="998"/>
        <c:spPr>
          <a:solidFill>
            <a:schemeClr val="accent1"/>
          </a:solidFill>
          <a:ln w="19050">
            <a:solidFill>
              <a:schemeClr val="lt1"/>
            </a:solidFill>
          </a:ln>
          <a:effectLst/>
        </c:spPr>
      </c:pivotFmt>
      <c:pivotFmt>
        <c:idx val="999"/>
        <c:spPr>
          <a:solidFill>
            <a:schemeClr val="accent1"/>
          </a:solidFill>
          <a:ln w="19050">
            <a:solidFill>
              <a:schemeClr val="lt1"/>
            </a:solidFill>
          </a:ln>
          <a:effectLst/>
        </c:spPr>
      </c:pivotFmt>
      <c:pivotFmt>
        <c:idx val="1000"/>
        <c:spPr>
          <a:solidFill>
            <a:schemeClr val="accent1"/>
          </a:solidFill>
          <a:ln w="19050">
            <a:solidFill>
              <a:schemeClr val="lt1"/>
            </a:solidFill>
          </a:ln>
          <a:effectLst/>
        </c:spPr>
      </c:pivotFmt>
      <c:pivotFmt>
        <c:idx val="1001"/>
        <c:spPr>
          <a:solidFill>
            <a:schemeClr val="accent1"/>
          </a:solidFill>
          <a:ln w="19050">
            <a:solidFill>
              <a:schemeClr val="lt1"/>
            </a:solidFill>
          </a:ln>
          <a:effectLst/>
        </c:spPr>
      </c:pivotFmt>
      <c:pivotFmt>
        <c:idx val="1002"/>
        <c:spPr>
          <a:solidFill>
            <a:schemeClr val="accent1"/>
          </a:solidFill>
          <a:ln w="19050">
            <a:solidFill>
              <a:schemeClr val="lt1"/>
            </a:solidFill>
          </a:ln>
          <a:effectLst/>
        </c:spPr>
      </c:pivotFmt>
      <c:pivotFmt>
        <c:idx val="1003"/>
        <c:spPr>
          <a:solidFill>
            <a:schemeClr val="accent1"/>
          </a:solidFill>
          <a:ln w="19050">
            <a:solidFill>
              <a:schemeClr val="lt1"/>
            </a:solidFill>
          </a:ln>
          <a:effectLst/>
        </c:spPr>
      </c:pivotFmt>
      <c:pivotFmt>
        <c:idx val="1004"/>
        <c:spPr>
          <a:solidFill>
            <a:schemeClr val="accent1"/>
          </a:solidFill>
          <a:ln w="19050">
            <a:solidFill>
              <a:schemeClr val="lt1"/>
            </a:solidFill>
          </a:ln>
          <a:effectLst/>
        </c:spPr>
      </c:pivotFmt>
      <c:pivotFmt>
        <c:idx val="1005"/>
        <c:spPr>
          <a:solidFill>
            <a:schemeClr val="accent1"/>
          </a:solidFill>
          <a:ln w="19050">
            <a:solidFill>
              <a:schemeClr val="lt1"/>
            </a:solidFill>
          </a:ln>
          <a:effectLst/>
        </c:spPr>
      </c:pivotFmt>
      <c:pivotFmt>
        <c:idx val="1006"/>
        <c:spPr>
          <a:solidFill>
            <a:schemeClr val="accent1"/>
          </a:solidFill>
          <a:ln w="19050">
            <a:solidFill>
              <a:schemeClr val="lt1"/>
            </a:solidFill>
          </a:ln>
          <a:effectLst/>
        </c:spPr>
      </c:pivotFmt>
      <c:pivotFmt>
        <c:idx val="1007"/>
        <c:spPr>
          <a:solidFill>
            <a:schemeClr val="accent1"/>
          </a:solidFill>
          <a:ln w="19050">
            <a:solidFill>
              <a:schemeClr val="lt1"/>
            </a:solidFill>
          </a:ln>
          <a:effectLst/>
        </c:spPr>
      </c:pivotFmt>
      <c:pivotFmt>
        <c:idx val="1008"/>
        <c:spPr>
          <a:solidFill>
            <a:schemeClr val="accent1"/>
          </a:solidFill>
          <a:ln w="19050">
            <a:solidFill>
              <a:schemeClr val="lt1"/>
            </a:solidFill>
          </a:ln>
          <a:effectLst/>
        </c:spPr>
      </c:pivotFmt>
      <c:pivotFmt>
        <c:idx val="1009"/>
        <c:spPr>
          <a:solidFill>
            <a:schemeClr val="accent1"/>
          </a:solidFill>
          <a:ln w="19050">
            <a:solidFill>
              <a:schemeClr val="lt1"/>
            </a:solidFill>
          </a:ln>
          <a:effectLst/>
        </c:spPr>
      </c:pivotFmt>
      <c:pivotFmt>
        <c:idx val="1010"/>
        <c:spPr>
          <a:solidFill>
            <a:schemeClr val="accent1"/>
          </a:solidFill>
          <a:ln w="19050">
            <a:solidFill>
              <a:schemeClr val="lt1"/>
            </a:solidFill>
          </a:ln>
          <a:effectLst/>
        </c:spPr>
      </c:pivotFmt>
      <c:pivotFmt>
        <c:idx val="1011"/>
        <c:spPr>
          <a:solidFill>
            <a:schemeClr val="accent1"/>
          </a:solidFill>
          <a:ln w="19050">
            <a:solidFill>
              <a:schemeClr val="lt1"/>
            </a:solidFill>
          </a:ln>
          <a:effectLst/>
        </c:spPr>
      </c:pivotFmt>
      <c:pivotFmt>
        <c:idx val="1012"/>
        <c:spPr>
          <a:solidFill>
            <a:schemeClr val="accent1"/>
          </a:solidFill>
          <a:ln w="19050">
            <a:solidFill>
              <a:schemeClr val="lt1"/>
            </a:solidFill>
          </a:ln>
          <a:effectLst/>
        </c:spPr>
      </c:pivotFmt>
      <c:pivotFmt>
        <c:idx val="1013"/>
        <c:spPr>
          <a:solidFill>
            <a:schemeClr val="accent1"/>
          </a:solidFill>
          <a:ln w="19050">
            <a:solidFill>
              <a:schemeClr val="lt1"/>
            </a:solidFill>
          </a:ln>
          <a:effectLst/>
        </c:spPr>
      </c:pivotFmt>
      <c:pivotFmt>
        <c:idx val="1014"/>
        <c:spPr>
          <a:solidFill>
            <a:schemeClr val="accent1"/>
          </a:solidFill>
          <a:ln w="19050">
            <a:solidFill>
              <a:schemeClr val="lt1"/>
            </a:solidFill>
          </a:ln>
          <a:effectLst/>
        </c:spPr>
      </c:pivotFmt>
      <c:pivotFmt>
        <c:idx val="1015"/>
        <c:spPr>
          <a:solidFill>
            <a:schemeClr val="accent1"/>
          </a:solidFill>
          <a:ln w="19050">
            <a:solidFill>
              <a:schemeClr val="lt1"/>
            </a:solidFill>
          </a:ln>
          <a:effectLst/>
        </c:spPr>
      </c:pivotFmt>
      <c:pivotFmt>
        <c:idx val="1016"/>
        <c:spPr>
          <a:solidFill>
            <a:schemeClr val="accent1"/>
          </a:solidFill>
          <a:ln w="19050">
            <a:solidFill>
              <a:schemeClr val="lt1"/>
            </a:solidFill>
          </a:ln>
          <a:effectLst/>
        </c:spPr>
      </c:pivotFmt>
      <c:pivotFmt>
        <c:idx val="1017"/>
        <c:spPr>
          <a:solidFill>
            <a:schemeClr val="accent1"/>
          </a:solidFill>
          <a:ln w="19050">
            <a:solidFill>
              <a:schemeClr val="lt1"/>
            </a:solidFill>
          </a:ln>
          <a:effectLst/>
        </c:spPr>
      </c:pivotFmt>
      <c:pivotFmt>
        <c:idx val="1018"/>
        <c:spPr>
          <a:solidFill>
            <a:schemeClr val="accent1"/>
          </a:solidFill>
          <a:ln w="19050">
            <a:solidFill>
              <a:schemeClr val="lt1"/>
            </a:solidFill>
          </a:ln>
          <a:effectLst/>
        </c:spPr>
      </c:pivotFmt>
      <c:pivotFmt>
        <c:idx val="1019"/>
        <c:spPr>
          <a:solidFill>
            <a:schemeClr val="accent1"/>
          </a:solidFill>
          <a:ln w="19050">
            <a:solidFill>
              <a:schemeClr val="lt1"/>
            </a:solidFill>
          </a:ln>
          <a:effectLst/>
        </c:spPr>
      </c:pivotFmt>
      <c:pivotFmt>
        <c:idx val="1020"/>
        <c:spPr>
          <a:solidFill>
            <a:schemeClr val="accent1"/>
          </a:solidFill>
          <a:ln w="19050">
            <a:solidFill>
              <a:schemeClr val="lt1"/>
            </a:solidFill>
          </a:ln>
          <a:effectLst/>
        </c:spPr>
      </c:pivotFmt>
      <c:pivotFmt>
        <c:idx val="1021"/>
        <c:spPr>
          <a:solidFill>
            <a:schemeClr val="accent1"/>
          </a:solidFill>
          <a:ln w="19050">
            <a:solidFill>
              <a:schemeClr val="lt1"/>
            </a:solidFill>
          </a:ln>
          <a:effectLst/>
        </c:spPr>
      </c:pivotFmt>
      <c:pivotFmt>
        <c:idx val="1022"/>
        <c:spPr>
          <a:solidFill>
            <a:schemeClr val="accent1"/>
          </a:solidFill>
          <a:ln w="19050">
            <a:solidFill>
              <a:schemeClr val="lt1"/>
            </a:solidFill>
          </a:ln>
          <a:effectLst/>
        </c:spPr>
      </c:pivotFmt>
      <c:pivotFmt>
        <c:idx val="1023"/>
        <c:spPr>
          <a:solidFill>
            <a:schemeClr val="accent1"/>
          </a:solidFill>
          <a:ln w="19050">
            <a:solidFill>
              <a:schemeClr val="lt1"/>
            </a:solidFill>
          </a:ln>
          <a:effectLst/>
        </c:spPr>
      </c:pivotFmt>
      <c:pivotFmt>
        <c:idx val="1024"/>
        <c:spPr>
          <a:solidFill>
            <a:schemeClr val="accent1"/>
          </a:solidFill>
          <a:ln w="19050">
            <a:solidFill>
              <a:schemeClr val="lt1"/>
            </a:solidFill>
          </a:ln>
          <a:effectLst/>
        </c:spPr>
      </c:pivotFmt>
      <c:pivotFmt>
        <c:idx val="1025"/>
        <c:spPr>
          <a:solidFill>
            <a:schemeClr val="accent1"/>
          </a:solidFill>
          <a:ln w="19050">
            <a:solidFill>
              <a:schemeClr val="lt1"/>
            </a:solidFill>
          </a:ln>
          <a:effectLst/>
        </c:spPr>
      </c:pivotFmt>
      <c:pivotFmt>
        <c:idx val="1026"/>
        <c:spPr>
          <a:solidFill>
            <a:schemeClr val="accent1"/>
          </a:solidFill>
          <a:ln w="19050">
            <a:solidFill>
              <a:schemeClr val="lt1"/>
            </a:solidFill>
          </a:ln>
          <a:effectLst/>
        </c:spPr>
      </c:pivotFmt>
      <c:pivotFmt>
        <c:idx val="1027"/>
        <c:spPr>
          <a:solidFill>
            <a:schemeClr val="accent1"/>
          </a:solidFill>
          <a:ln w="19050">
            <a:solidFill>
              <a:schemeClr val="lt1"/>
            </a:solidFill>
          </a:ln>
          <a:effectLst/>
        </c:spPr>
      </c:pivotFmt>
      <c:pivotFmt>
        <c:idx val="1028"/>
        <c:spPr>
          <a:solidFill>
            <a:schemeClr val="accent1"/>
          </a:solidFill>
          <a:ln w="19050">
            <a:solidFill>
              <a:schemeClr val="lt1"/>
            </a:solidFill>
          </a:ln>
          <a:effectLst/>
        </c:spPr>
      </c:pivotFmt>
      <c:pivotFmt>
        <c:idx val="1029"/>
        <c:spPr>
          <a:solidFill>
            <a:schemeClr val="accent1"/>
          </a:solidFill>
          <a:ln w="19050">
            <a:solidFill>
              <a:schemeClr val="lt1"/>
            </a:solidFill>
          </a:ln>
          <a:effectLst/>
        </c:spPr>
      </c:pivotFmt>
      <c:pivotFmt>
        <c:idx val="1030"/>
        <c:spPr>
          <a:solidFill>
            <a:schemeClr val="accent1"/>
          </a:solidFill>
          <a:ln w="19050">
            <a:solidFill>
              <a:schemeClr val="lt1"/>
            </a:solidFill>
          </a:ln>
          <a:effectLst/>
        </c:spPr>
      </c:pivotFmt>
      <c:pivotFmt>
        <c:idx val="1031"/>
        <c:spPr>
          <a:solidFill>
            <a:schemeClr val="accent1"/>
          </a:solidFill>
          <a:ln w="19050">
            <a:solidFill>
              <a:schemeClr val="lt1"/>
            </a:solidFill>
          </a:ln>
          <a:effectLst/>
        </c:spPr>
      </c:pivotFmt>
      <c:pivotFmt>
        <c:idx val="1032"/>
        <c:spPr>
          <a:solidFill>
            <a:schemeClr val="accent1"/>
          </a:solidFill>
          <a:ln w="19050">
            <a:solidFill>
              <a:schemeClr val="lt1"/>
            </a:solidFill>
          </a:ln>
          <a:effectLst/>
        </c:spPr>
      </c:pivotFmt>
      <c:pivotFmt>
        <c:idx val="1033"/>
        <c:spPr>
          <a:solidFill>
            <a:schemeClr val="accent1"/>
          </a:solidFill>
          <a:ln w="19050">
            <a:solidFill>
              <a:schemeClr val="lt1"/>
            </a:solidFill>
          </a:ln>
          <a:effectLst/>
        </c:spPr>
      </c:pivotFmt>
      <c:pivotFmt>
        <c:idx val="1034"/>
        <c:spPr>
          <a:solidFill>
            <a:schemeClr val="accent1"/>
          </a:solidFill>
          <a:ln w="19050">
            <a:solidFill>
              <a:schemeClr val="lt1"/>
            </a:solidFill>
          </a:ln>
          <a:effectLst/>
        </c:spPr>
      </c:pivotFmt>
      <c:pivotFmt>
        <c:idx val="1035"/>
        <c:spPr>
          <a:solidFill>
            <a:schemeClr val="accent1"/>
          </a:solidFill>
          <a:ln w="19050">
            <a:solidFill>
              <a:schemeClr val="lt1"/>
            </a:solidFill>
          </a:ln>
          <a:effectLst/>
        </c:spPr>
      </c:pivotFmt>
      <c:pivotFmt>
        <c:idx val="1036"/>
        <c:spPr>
          <a:solidFill>
            <a:schemeClr val="accent1"/>
          </a:solidFill>
          <a:ln w="19050">
            <a:solidFill>
              <a:schemeClr val="lt1"/>
            </a:solidFill>
          </a:ln>
          <a:effectLst/>
        </c:spPr>
      </c:pivotFmt>
      <c:pivotFmt>
        <c:idx val="1037"/>
        <c:spPr>
          <a:solidFill>
            <a:schemeClr val="accent1"/>
          </a:solidFill>
          <a:ln w="19050">
            <a:solidFill>
              <a:schemeClr val="lt1"/>
            </a:solidFill>
          </a:ln>
          <a:effectLst/>
        </c:spPr>
      </c:pivotFmt>
      <c:pivotFmt>
        <c:idx val="1038"/>
        <c:spPr>
          <a:solidFill>
            <a:schemeClr val="accent1"/>
          </a:solidFill>
          <a:ln w="19050">
            <a:solidFill>
              <a:schemeClr val="lt1"/>
            </a:solidFill>
          </a:ln>
          <a:effectLst/>
        </c:spPr>
      </c:pivotFmt>
      <c:pivotFmt>
        <c:idx val="1039"/>
        <c:spPr>
          <a:solidFill>
            <a:schemeClr val="accent1"/>
          </a:solidFill>
          <a:ln w="19050">
            <a:solidFill>
              <a:schemeClr val="lt1"/>
            </a:solidFill>
          </a:ln>
          <a:effectLst/>
        </c:spPr>
      </c:pivotFmt>
      <c:pivotFmt>
        <c:idx val="1040"/>
        <c:spPr>
          <a:solidFill>
            <a:schemeClr val="accent1"/>
          </a:solidFill>
          <a:ln w="19050">
            <a:solidFill>
              <a:schemeClr val="lt1"/>
            </a:solidFill>
          </a:ln>
          <a:effectLst/>
        </c:spPr>
      </c:pivotFmt>
      <c:pivotFmt>
        <c:idx val="1041"/>
        <c:spPr>
          <a:solidFill>
            <a:schemeClr val="accent1"/>
          </a:solidFill>
          <a:ln w="19050">
            <a:solidFill>
              <a:schemeClr val="lt1"/>
            </a:solidFill>
          </a:ln>
          <a:effectLst/>
        </c:spPr>
      </c:pivotFmt>
      <c:pivotFmt>
        <c:idx val="1042"/>
        <c:spPr>
          <a:solidFill>
            <a:schemeClr val="accent1"/>
          </a:solidFill>
          <a:ln w="19050">
            <a:solidFill>
              <a:schemeClr val="lt1"/>
            </a:solidFill>
          </a:ln>
          <a:effectLst/>
        </c:spPr>
      </c:pivotFmt>
      <c:pivotFmt>
        <c:idx val="1043"/>
        <c:spPr>
          <a:solidFill>
            <a:schemeClr val="accent1"/>
          </a:solidFill>
          <a:ln w="19050">
            <a:solidFill>
              <a:schemeClr val="lt1"/>
            </a:solidFill>
          </a:ln>
          <a:effectLst/>
        </c:spPr>
      </c:pivotFmt>
      <c:pivotFmt>
        <c:idx val="1044"/>
        <c:spPr>
          <a:solidFill>
            <a:schemeClr val="accent1"/>
          </a:solidFill>
          <a:ln w="19050">
            <a:solidFill>
              <a:schemeClr val="lt1"/>
            </a:solidFill>
          </a:ln>
          <a:effectLst/>
        </c:spPr>
      </c:pivotFmt>
      <c:pivotFmt>
        <c:idx val="1045"/>
        <c:spPr>
          <a:solidFill>
            <a:schemeClr val="accent1"/>
          </a:solidFill>
          <a:ln w="19050">
            <a:solidFill>
              <a:schemeClr val="lt1"/>
            </a:solidFill>
          </a:ln>
          <a:effectLst/>
        </c:spPr>
      </c:pivotFmt>
      <c:pivotFmt>
        <c:idx val="1046"/>
        <c:spPr>
          <a:solidFill>
            <a:schemeClr val="accent1"/>
          </a:solidFill>
          <a:ln w="19050">
            <a:solidFill>
              <a:schemeClr val="lt1"/>
            </a:solidFill>
          </a:ln>
          <a:effectLst/>
        </c:spPr>
      </c:pivotFmt>
      <c:pivotFmt>
        <c:idx val="1047"/>
        <c:spPr>
          <a:solidFill>
            <a:schemeClr val="accent1"/>
          </a:solidFill>
          <a:ln w="19050">
            <a:solidFill>
              <a:schemeClr val="lt1"/>
            </a:solidFill>
          </a:ln>
          <a:effectLst/>
        </c:spPr>
      </c:pivotFmt>
      <c:pivotFmt>
        <c:idx val="1048"/>
        <c:spPr>
          <a:solidFill>
            <a:schemeClr val="accent1"/>
          </a:solidFill>
          <a:ln w="19050">
            <a:solidFill>
              <a:schemeClr val="lt1"/>
            </a:solidFill>
          </a:ln>
          <a:effectLst/>
        </c:spPr>
      </c:pivotFmt>
      <c:pivotFmt>
        <c:idx val="1049"/>
        <c:spPr>
          <a:solidFill>
            <a:schemeClr val="accent1"/>
          </a:solidFill>
          <a:ln w="19050">
            <a:solidFill>
              <a:schemeClr val="lt1"/>
            </a:solidFill>
          </a:ln>
          <a:effectLst/>
        </c:spPr>
      </c:pivotFmt>
      <c:pivotFmt>
        <c:idx val="1050"/>
        <c:spPr>
          <a:solidFill>
            <a:schemeClr val="accent1"/>
          </a:solidFill>
          <a:ln w="19050">
            <a:solidFill>
              <a:schemeClr val="lt1"/>
            </a:solidFill>
          </a:ln>
          <a:effectLst/>
        </c:spPr>
      </c:pivotFmt>
      <c:pivotFmt>
        <c:idx val="1051"/>
        <c:spPr>
          <a:solidFill>
            <a:schemeClr val="accent1"/>
          </a:solidFill>
          <a:ln w="19050">
            <a:solidFill>
              <a:schemeClr val="lt1"/>
            </a:solidFill>
          </a:ln>
          <a:effectLst/>
        </c:spPr>
      </c:pivotFmt>
      <c:pivotFmt>
        <c:idx val="1052"/>
        <c:spPr>
          <a:solidFill>
            <a:schemeClr val="accent1"/>
          </a:solidFill>
          <a:ln w="19050">
            <a:solidFill>
              <a:schemeClr val="lt1"/>
            </a:solidFill>
          </a:ln>
          <a:effectLst/>
        </c:spPr>
      </c:pivotFmt>
      <c:pivotFmt>
        <c:idx val="1053"/>
        <c:spPr>
          <a:solidFill>
            <a:schemeClr val="accent1"/>
          </a:solidFill>
          <a:ln w="19050">
            <a:solidFill>
              <a:schemeClr val="lt1"/>
            </a:solidFill>
          </a:ln>
          <a:effectLst/>
        </c:spPr>
      </c:pivotFmt>
      <c:pivotFmt>
        <c:idx val="1054"/>
        <c:spPr>
          <a:solidFill>
            <a:schemeClr val="accent1"/>
          </a:solidFill>
          <a:ln w="19050">
            <a:solidFill>
              <a:schemeClr val="lt1"/>
            </a:solidFill>
          </a:ln>
          <a:effectLst/>
        </c:spPr>
      </c:pivotFmt>
      <c:pivotFmt>
        <c:idx val="1055"/>
        <c:spPr>
          <a:solidFill>
            <a:schemeClr val="accent1"/>
          </a:solidFill>
          <a:ln w="19050">
            <a:solidFill>
              <a:schemeClr val="lt1"/>
            </a:solidFill>
          </a:ln>
          <a:effectLst/>
        </c:spPr>
      </c:pivotFmt>
      <c:pivotFmt>
        <c:idx val="1056"/>
        <c:spPr>
          <a:solidFill>
            <a:schemeClr val="accent1"/>
          </a:solidFill>
          <a:ln w="19050">
            <a:solidFill>
              <a:schemeClr val="lt1"/>
            </a:solidFill>
          </a:ln>
          <a:effectLst/>
        </c:spPr>
      </c:pivotFmt>
      <c:pivotFmt>
        <c:idx val="1057"/>
        <c:spPr>
          <a:solidFill>
            <a:schemeClr val="accent1"/>
          </a:solidFill>
          <a:ln w="19050">
            <a:solidFill>
              <a:schemeClr val="lt1"/>
            </a:solidFill>
          </a:ln>
          <a:effectLst/>
        </c:spPr>
      </c:pivotFmt>
      <c:pivotFmt>
        <c:idx val="1058"/>
        <c:spPr>
          <a:solidFill>
            <a:schemeClr val="accent1"/>
          </a:solidFill>
          <a:ln w="19050">
            <a:solidFill>
              <a:schemeClr val="lt1"/>
            </a:solidFill>
          </a:ln>
          <a:effectLst/>
        </c:spPr>
      </c:pivotFmt>
      <c:pivotFmt>
        <c:idx val="1059"/>
        <c:spPr>
          <a:solidFill>
            <a:schemeClr val="accent1"/>
          </a:solidFill>
          <a:ln w="19050">
            <a:solidFill>
              <a:schemeClr val="lt1"/>
            </a:solidFill>
          </a:ln>
          <a:effectLst/>
        </c:spPr>
      </c:pivotFmt>
      <c:pivotFmt>
        <c:idx val="1060"/>
        <c:spPr>
          <a:solidFill>
            <a:schemeClr val="accent1"/>
          </a:solidFill>
          <a:ln w="19050">
            <a:solidFill>
              <a:schemeClr val="lt1"/>
            </a:solidFill>
          </a:ln>
          <a:effectLst/>
        </c:spPr>
      </c:pivotFmt>
      <c:pivotFmt>
        <c:idx val="1061"/>
        <c:spPr>
          <a:solidFill>
            <a:schemeClr val="accent1"/>
          </a:solidFill>
          <a:ln w="19050">
            <a:solidFill>
              <a:schemeClr val="lt1"/>
            </a:solidFill>
          </a:ln>
          <a:effectLst/>
        </c:spPr>
      </c:pivotFmt>
      <c:pivotFmt>
        <c:idx val="1062"/>
        <c:spPr>
          <a:solidFill>
            <a:schemeClr val="accent1"/>
          </a:solidFill>
          <a:ln w="19050">
            <a:solidFill>
              <a:schemeClr val="lt1"/>
            </a:solidFill>
          </a:ln>
          <a:effectLst/>
        </c:spPr>
      </c:pivotFmt>
      <c:pivotFmt>
        <c:idx val="1063"/>
        <c:spPr>
          <a:solidFill>
            <a:schemeClr val="accent1"/>
          </a:solidFill>
          <a:ln w="19050">
            <a:solidFill>
              <a:schemeClr val="lt1"/>
            </a:solidFill>
          </a:ln>
          <a:effectLst/>
        </c:spPr>
      </c:pivotFmt>
      <c:pivotFmt>
        <c:idx val="1064"/>
        <c:spPr>
          <a:solidFill>
            <a:schemeClr val="accent1"/>
          </a:solidFill>
          <a:ln w="19050">
            <a:solidFill>
              <a:schemeClr val="lt1"/>
            </a:solidFill>
          </a:ln>
          <a:effectLst/>
        </c:spPr>
      </c:pivotFmt>
      <c:pivotFmt>
        <c:idx val="1065"/>
        <c:spPr>
          <a:solidFill>
            <a:schemeClr val="accent1"/>
          </a:solidFill>
          <a:ln w="19050">
            <a:solidFill>
              <a:schemeClr val="lt1"/>
            </a:solidFill>
          </a:ln>
          <a:effectLst/>
        </c:spPr>
      </c:pivotFmt>
      <c:pivotFmt>
        <c:idx val="1066"/>
        <c:spPr>
          <a:solidFill>
            <a:schemeClr val="accent1"/>
          </a:solidFill>
          <a:ln w="19050">
            <a:solidFill>
              <a:schemeClr val="lt1"/>
            </a:solidFill>
          </a:ln>
          <a:effectLst/>
        </c:spPr>
      </c:pivotFmt>
      <c:pivotFmt>
        <c:idx val="1067"/>
        <c:spPr>
          <a:solidFill>
            <a:schemeClr val="accent1"/>
          </a:solidFill>
          <a:ln w="19050">
            <a:solidFill>
              <a:schemeClr val="lt1"/>
            </a:solidFill>
          </a:ln>
          <a:effectLst/>
        </c:spPr>
      </c:pivotFmt>
      <c:pivotFmt>
        <c:idx val="1068"/>
        <c:spPr>
          <a:solidFill>
            <a:schemeClr val="accent1"/>
          </a:solidFill>
          <a:ln w="19050">
            <a:solidFill>
              <a:schemeClr val="lt1"/>
            </a:solidFill>
          </a:ln>
          <a:effectLst/>
        </c:spPr>
      </c:pivotFmt>
      <c:pivotFmt>
        <c:idx val="1069"/>
        <c:spPr>
          <a:solidFill>
            <a:schemeClr val="accent1"/>
          </a:solidFill>
          <a:ln w="19050">
            <a:solidFill>
              <a:schemeClr val="lt1"/>
            </a:solidFill>
          </a:ln>
          <a:effectLst/>
        </c:spPr>
      </c:pivotFmt>
      <c:pivotFmt>
        <c:idx val="1070"/>
        <c:spPr>
          <a:solidFill>
            <a:schemeClr val="accent1"/>
          </a:solidFill>
          <a:ln w="19050">
            <a:solidFill>
              <a:schemeClr val="lt1"/>
            </a:solidFill>
          </a:ln>
          <a:effectLst/>
        </c:spPr>
      </c:pivotFmt>
      <c:pivotFmt>
        <c:idx val="1071"/>
        <c:spPr>
          <a:solidFill>
            <a:schemeClr val="accent1"/>
          </a:solidFill>
          <a:ln w="19050">
            <a:solidFill>
              <a:schemeClr val="lt1"/>
            </a:solidFill>
          </a:ln>
          <a:effectLst/>
        </c:spPr>
      </c:pivotFmt>
      <c:pivotFmt>
        <c:idx val="1072"/>
        <c:spPr>
          <a:solidFill>
            <a:schemeClr val="accent1"/>
          </a:solidFill>
          <a:ln w="19050">
            <a:solidFill>
              <a:schemeClr val="lt1"/>
            </a:solidFill>
          </a:ln>
          <a:effectLst/>
        </c:spPr>
      </c:pivotFmt>
      <c:pivotFmt>
        <c:idx val="1073"/>
        <c:spPr>
          <a:solidFill>
            <a:schemeClr val="accent1"/>
          </a:solidFill>
          <a:ln w="19050">
            <a:solidFill>
              <a:schemeClr val="lt1"/>
            </a:solidFill>
          </a:ln>
          <a:effectLst/>
        </c:spPr>
      </c:pivotFmt>
      <c:pivotFmt>
        <c:idx val="1074"/>
        <c:spPr>
          <a:solidFill>
            <a:schemeClr val="accent1"/>
          </a:solidFill>
          <a:ln w="19050">
            <a:solidFill>
              <a:schemeClr val="lt1"/>
            </a:solidFill>
          </a:ln>
          <a:effectLst/>
        </c:spPr>
      </c:pivotFmt>
      <c:pivotFmt>
        <c:idx val="1075"/>
        <c:spPr>
          <a:solidFill>
            <a:schemeClr val="accent1"/>
          </a:solidFill>
          <a:ln w="19050">
            <a:solidFill>
              <a:schemeClr val="lt1"/>
            </a:solidFill>
          </a:ln>
          <a:effectLst/>
        </c:spPr>
      </c:pivotFmt>
      <c:pivotFmt>
        <c:idx val="1076"/>
        <c:spPr>
          <a:solidFill>
            <a:schemeClr val="accent1"/>
          </a:solidFill>
          <a:ln w="19050">
            <a:solidFill>
              <a:schemeClr val="lt1"/>
            </a:solidFill>
          </a:ln>
          <a:effectLst/>
        </c:spPr>
      </c:pivotFmt>
      <c:pivotFmt>
        <c:idx val="1077"/>
        <c:spPr>
          <a:solidFill>
            <a:schemeClr val="accent1"/>
          </a:solidFill>
          <a:ln w="19050">
            <a:solidFill>
              <a:schemeClr val="lt1"/>
            </a:solidFill>
          </a:ln>
          <a:effectLst/>
        </c:spPr>
      </c:pivotFmt>
      <c:pivotFmt>
        <c:idx val="1078"/>
        <c:spPr>
          <a:solidFill>
            <a:schemeClr val="accent1"/>
          </a:solidFill>
          <a:ln w="19050">
            <a:solidFill>
              <a:schemeClr val="lt1"/>
            </a:solidFill>
          </a:ln>
          <a:effectLst/>
        </c:spPr>
      </c:pivotFmt>
      <c:pivotFmt>
        <c:idx val="1079"/>
        <c:spPr>
          <a:solidFill>
            <a:schemeClr val="accent1"/>
          </a:solidFill>
          <a:ln w="19050">
            <a:solidFill>
              <a:schemeClr val="lt1"/>
            </a:solidFill>
          </a:ln>
          <a:effectLst/>
        </c:spPr>
      </c:pivotFmt>
      <c:pivotFmt>
        <c:idx val="1080"/>
        <c:spPr>
          <a:solidFill>
            <a:schemeClr val="accent1"/>
          </a:solidFill>
          <a:ln w="19050">
            <a:solidFill>
              <a:schemeClr val="lt1"/>
            </a:solidFill>
          </a:ln>
          <a:effectLst/>
        </c:spPr>
      </c:pivotFmt>
      <c:pivotFmt>
        <c:idx val="1081"/>
        <c:spPr>
          <a:solidFill>
            <a:schemeClr val="accent1"/>
          </a:solidFill>
          <a:ln w="19050">
            <a:solidFill>
              <a:schemeClr val="lt1"/>
            </a:solidFill>
          </a:ln>
          <a:effectLst/>
        </c:spPr>
      </c:pivotFmt>
      <c:pivotFmt>
        <c:idx val="1082"/>
        <c:spPr>
          <a:solidFill>
            <a:schemeClr val="accent1"/>
          </a:solidFill>
          <a:ln w="19050">
            <a:solidFill>
              <a:schemeClr val="lt1"/>
            </a:solidFill>
          </a:ln>
          <a:effectLst/>
        </c:spPr>
      </c:pivotFmt>
      <c:pivotFmt>
        <c:idx val="1083"/>
        <c:spPr>
          <a:solidFill>
            <a:schemeClr val="accent1"/>
          </a:solidFill>
          <a:ln w="19050">
            <a:solidFill>
              <a:schemeClr val="lt1"/>
            </a:solidFill>
          </a:ln>
          <a:effectLst/>
        </c:spPr>
      </c:pivotFmt>
      <c:pivotFmt>
        <c:idx val="1084"/>
        <c:spPr>
          <a:solidFill>
            <a:schemeClr val="accent1"/>
          </a:solidFill>
          <a:ln w="19050">
            <a:solidFill>
              <a:schemeClr val="lt1"/>
            </a:solidFill>
          </a:ln>
          <a:effectLst/>
        </c:spPr>
      </c:pivotFmt>
      <c:pivotFmt>
        <c:idx val="1085"/>
        <c:spPr>
          <a:solidFill>
            <a:schemeClr val="accent1"/>
          </a:solidFill>
          <a:ln w="19050">
            <a:solidFill>
              <a:schemeClr val="lt1"/>
            </a:solidFill>
          </a:ln>
          <a:effectLst/>
        </c:spPr>
      </c:pivotFmt>
      <c:pivotFmt>
        <c:idx val="1086"/>
        <c:spPr>
          <a:solidFill>
            <a:schemeClr val="accent1"/>
          </a:solidFill>
          <a:ln w="19050">
            <a:solidFill>
              <a:schemeClr val="lt1"/>
            </a:solidFill>
          </a:ln>
          <a:effectLst/>
        </c:spPr>
      </c:pivotFmt>
      <c:pivotFmt>
        <c:idx val="1087"/>
        <c:spPr>
          <a:solidFill>
            <a:schemeClr val="accent1"/>
          </a:solidFill>
          <a:ln w="19050">
            <a:solidFill>
              <a:schemeClr val="lt1"/>
            </a:solidFill>
          </a:ln>
          <a:effectLst/>
        </c:spPr>
      </c:pivotFmt>
      <c:pivotFmt>
        <c:idx val="1088"/>
        <c:spPr>
          <a:solidFill>
            <a:schemeClr val="accent1"/>
          </a:solidFill>
          <a:ln w="19050">
            <a:solidFill>
              <a:schemeClr val="lt1"/>
            </a:solidFill>
          </a:ln>
          <a:effectLst/>
        </c:spPr>
      </c:pivotFmt>
      <c:pivotFmt>
        <c:idx val="1089"/>
        <c:spPr>
          <a:solidFill>
            <a:schemeClr val="accent1"/>
          </a:solidFill>
          <a:ln w="19050">
            <a:solidFill>
              <a:schemeClr val="lt1"/>
            </a:solidFill>
          </a:ln>
          <a:effectLst/>
        </c:spPr>
      </c:pivotFmt>
      <c:pivotFmt>
        <c:idx val="1090"/>
        <c:spPr>
          <a:solidFill>
            <a:schemeClr val="accent1"/>
          </a:solidFill>
          <a:ln w="19050">
            <a:solidFill>
              <a:schemeClr val="lt1"/>
            </a:solidFill>
          </a:ln>
          <a:effectLst/>
        </c:spPr>
      </c:pivotFmt>
      <c:pivotFmt>
        <c:idx val="1091"/>
        <c:spPr>
          <a:solidFill>
            <a:schemeClr val="accent1"/>
          </a:solidFill>
          <a:ln w="19050">
            <a:solidFill>
              <a:schemeClr val="lt1"/>
            </a:solidFill>
          </a:ln>
          <a:effectLst/>
        </c:spPr>
      </c:pivotFmt>
      <c:pivotFmt>
        <c:idx val="1092"/>
        <c:spPr>
          <a:solidFill>
            <a:schemeClr val="accent1"/>
          </a:solidFill>
          <a:ln w="19050">
            <a:solidFill>
              <a:schemeClr val="lt1"/>
            </a:solidFill>
          </a:ln>
          <a:effectLst/>
        </c:spPr>
      </c:pivotFmt>
      <c:pivotFmt>
        <c:idx val="1093"/>
        <c:spPr>
          <a:solidFill>
            <a:schemeClr val="accent1"/>
          </a:solidFill>
          <a:ln w="19050">
            <a:solidFill>
              <a:schemeClr val="lt1"/>
            </a:solidFill>
          </a:ln>
          <a:effectLst/>
        </c:spPr>
      </c:pivotFmt>
      <c:pivotFmt>
        <c:idx val="1094"/>
        <c:spPr>
          <a:solidFill>
            <a:schemeClr val="accent1"/>
          </a:solidFill>
          <a:ln w="19050">
            <a:solidFill>
              <a:schemeClr val="lt1"/>
            </a:solidFill>
          </a:ln>
          <a:effectLst/>
        </c:spPr>
      </c:pivotFmt>
      <c:pivotFmt>
        <c:idx val="1095"/>
        <c:spPr>
          <a:solidFill>
            <a:schemeClr val="accent1"/>
          </a:solidFill>
          <a:ln w="19050">
            <a:solidFill>
              <a:schemeClr val="lt1"/>
            </a:solidFill>
          </a:ln>
          <a:effectLst/>
        </c:spPr>
      </c:pivotFmt>
      <c:pivotFmt>
        <c:idx val="1096"/>
        <c:spPr>
          <a:solidFill>
            <a:schemeClr val="accent1"/>
          </a:solidFill>
          <a:ln w="19050">
            <a:solidFill>
              <a:schemeClr val="lt1"/>
            </a:solidFill>
          </a:ln>
          <a:effectLst/>
        </c:spPr>
      </c:pivotFmt>
      <c:pivotFmt>
        <c:idx val="1097"/>
        <c:spPr>
          <a:solidFill>
            <a:schemeClr val="accent1"/>
          </a:solidFill>
          <a:ln w="19050">
            <a:solidFill>
              <a:schemeClr val="lt1"/>
            </a:solidFill>
          </a:ln>
          <a:effectLst/>
        </c:spPr>
      </c:pivotFmt>
      <c:pivotFmt>
        <c:idx val="1098"/>
        <c:spPr>
          <a:solidFill>
            <a:schemeClr val="accent1"/>
          </a:solidFill>
          <a:ln w="19050">
            <a:solidFill>
              <a:schemeClr val="lt1"/>
            </a:solidFill>
          </a:ln>
          <a:effectLst/>
        </c:spPr>
      </c:pivotFmt>
      <c:pivotFmt>
        <c:idx val="1099"/>
        <c:spPr>
          <a:solidFill>
            <a:schemeClr val="accent1"/>
          </a:solidFill>
          <a:ln w="19050">
            <a:solidFill>
              <a:schemeClr val="lt1"/>
            </a:solidFill>
          </a:ln>
          <a:effectLst/>
        </c:spPr>
      </c:pivotFmt>
      <c:pivotFmt>
        <c:idx val="1100"/>
        <c:spPr>
          <a:solidFill>
            <a:schemeClr val="accent1"/>
          </a:solidFill>
          <a:ln w="19050">
            <a:solidFill>
              <a:schemeClr val="lt1"/>
            </a:solidFill>
          </a:ln>
          <a:effectLst/>
        </c:spPr>
      </c:pivotFmt>
      <c:pivotFmt>
        <c:idx val="1101"/>
        <c:spPr>
          <a:solidFill>
            <a:schemeClr val="accent1"/>
          </a:solidFill>
          <a:ln w="19050">
            <a:solidFill>
              <a:schemeClr val="lt1"/>
            </a:solidFill>
          </a:ln>
          <a:effectLst/>
        </c:spPr>
      </c:pivotFmt>
      <c:pivotFmt>
        <c:idx val="1102"/>
        <c:spPr>
          <a:solidFill>
            <a:schemeClr val="accent1"/>
          </a:solidFill>
          <a:ln w="19050">
            <a:solidFill>
              <a:schemeClr val="lt1"/>
            </a:solidFill>
          </a:ln>
          <a:effectLst/>
        </c:spPr>
      </c:pivotFmt>
      <c:pivotFmt>
        <c:idx val="1103"/>
        <c:spPr>
          <a:solidFill>
            <a:schemeClr val="accent1"/>
          </a:solidFill>
          <a:ln w="19050">
            <a:solidFill>
              <a:schemeClr val="lt1"/>
            </a:solidFill>
          </a:ln>
          <a:effectLst/>
        </c:spPr>
      </c:pivotFmt>
      <c:pivotFmt>
        <c:idx val="1104"/>
        <c:spPr>
          <a:solidFill>
            <a:schemeClr val="accent1"/>
          </a:solidFill>
          <a:ln w="19050">
            <a:solidFill>
              <a:schemeClr val="lt1"/>
            </a:solidFill>
          </a:ln>
          <a:effectLst/>
        </c:spPr>
      </c:pivotFmt>
      <c:pivotFmt>
        <c:idx val="1105"/>
        <c:spPr>
          <a:solidFill>
            <a:schemeClr val="accent1"/>
          </a:solidFill>
          <a:ln w="19050">
            <a:solidFill>
              <a:schemeClr val="lt1"/>
            </a:solidFill>
          </a:ln>
          <a:effectLst/>
        </c:spPr>
      </c:pivotFmt>
      <c:pivotFmt>
        <c:idx val="1106"/>
        <c:spPr>
          <a:solidFill>
            <a:schemeClr val="accent1"/>
          </a:solidFill>
          <a:ln w="19050">
            <a:solidFill>
              <a:schemeClr val="lt1"/>
            </a:solidFill>
          </a:ln>
          <a:effectLst/>
        </c:spPr>
      </c:pivotFmt>
      <c:pivotFmt>
        <c:idx val="1107"/>
        <c:spPr>
          <a:solidFill>
            <a:schemeClr val="accent1"/>
          </a:solidFill>
          <a:ln w="19050">
            <a:solidFill>
              <a:schemeClr val="lt1"/>
            </a:solidFill>
          </a:ln>
          <a:effectLst/>
        </c:spPr>
      </c:pivotFmt>
      <c:pivotFmt>
        <c:idx val="1108"/>
        <c:spPr>
          <a:solidFill>
            <a:schemeClr val="accent1"/>
          </a:solidFill>
          <a:ln w="19050">
            <a:solidFill>
              <a:schemeClr val="lt1"/>
            </a:solidFill>
          </a:ln>
          <a:effectLst/>
        </c:spPr>
      </c:pivotFmt>
      <c:pivotFmt>
        <c:idx val="1109"/>
        <c:spPr>
          <a:solidFill>
            <a:schemeClr val="accent1"/>
          </a:solidFill>
          <a:ln w="19050">
            <a:solidFill>
              <a:schemeClr val="lt1"/>
            </a:solidFill>
          </a:ln>
          <a:effectLst/>
        </c:spPr>
      </c:pivotFmt>
      <c:pivotFmt>
        <c:idx val="1110"/>
        <c:spPr>
          <a:solidFill>
            <a:schemeClr val="accent1"/>
          </a:solidFill>
          <a:ln w="19050">
            <a:solidFill>
              <a:schemeClr val="lt1"/>
            </a:solidFill>
          </a:ln>
          <a:effectLst/>
        </c:spPr>
      </c:pivotFmt>
      <c:pivotFmt>
        <c:idx val="1111"/>
        <c:spPr>
          <a:solidFill>
            <a:schemeClr val="accent1"/>
          </a:solidFill>
          <a:ln w="19050">
            <a:solidFill>
              <a:schemeClr val="lt1"/>
            </a:solidFill>
          </a:ln>
          <a:effectLst/>
        </c:spPr>
      </c:pivotFmt>
      <c:pivotFmt>
        <c:idx val="1112"/>
        <c:spPr>
          <a:solidFill>
            <a:schemeClr val="accent1"/>
          </a:solidFill>
          <a:ln w="19050">
            <a:solidFill>
              <a:schemeClr val="lt1"/>
            </a:solidFill>
          </a:ln>
          <a:effectLst/>
        </c:spPr>
      </c:pivotFmt>
      <c:pivotFmt>
        <c:idx val="1113"/>
        <c:spPr>
          <a:solidFill>
            <a:schemeClr val="accent1"/>
          </a:solidFill>
          <a:ln w="19050">
            <a:solidFill>
              <a:schemeClr val="lt1"/>
            </a:solidFill>
          </a:ln>
          <a:effectLst/>
        </c:spPr>
      </c:pivotFmt>
      <c:pivotFmt>
        <c:idx val="1114"/>
        <c:spPr>
          <a:solidFill>
            <a:schemeClr val="accent1"/>
          </a:solidFill>
          <a:ln w="19050">
            <a:solidFill>
              <a:schemeClr val="lt1"/>
            </a:solidFill>
          </a:ln>
          <a:effectLst/>
        </c:spPr>
      </c:pivotFmt>
      <c:pivotFmt>
        <c:idx val="1115"/>
        <c:spPr>
          <a:solidFill>
            <a:schemeClr val="accent1"/>
          </a:solidFill>
          <a:ln w="19050">
            <a:solidFill>
              <a:schemeClr val="lt1"/>
            </a:solidFill>
          </a:ln>
          <a:effectLst/>
        </c:spPr>
      </c:pivotFmt>
      <c:pivotFmt>
        <c:idx val="1116"/>
        <c:spPr>
          <a:solidFill>
            <a:schemeClr val="accent1"/>
          </a:solidFill>
          <a:ln w="19050">
            <a:solidFill>
              <a:schemeClr val="lt1"/>
            </a:solidFill>
          </a:ln>
          <a:effectLst/>
        </c:spPr>
      </c:pivotFmt>
      <c:pivotFmt>
        <c:idx val="1117"/>
        <c:spPr>
          <a:solidFill>
            <a:schemeClr val="accent1"/>
          </a:solidFill>
          <a:ln w="19050">
            <a:solidFill>
              <a:schemeClr val="lt1"/>
            </a:solidFill>
          </a:ln>
          <a:effectLst/>
        </c:spPr>
      </c:pivotFmt>
      <c:pivotFmt>
        <c:idx val="1118"/>
        <c:spPr>
          <a:solidFill>
            <a:schemeClr val="accent1"/>
          </a:solidFill>
          <a:ln w="19050">
            <a:solidFill>
              <a:schemeClr val="lt1"/>
            </a:solidFill>
          </a:ln>
          <a:effectLst/>
        </c:spPr>
      </c:pivotFmt>
      <c:pivotFmt>
        <c:idx val="1119"/>
        <c:spPr>
          <a:solidFill>
            <a:schemeClr val="accent1"/>
          </a:solidFill>
          <a:ln w="19050">
            <a:solidFill>
              <a:schemeClr val="lt1"/>
            </a:solidFill>
          </a:ln>
          <a:effectLst/>
        </c:spPr>
      </c:pivotFmt>
      <c:pivotFmt>
        <c:idx val="1120"/>
        <c:spPr>
          <a:solidFill>
            <a:schemeClr val="accent1"/>
          </a:solidFill>
          <a:ln w="19050">
            <a:solidFill>
              <a:schemeClr val="lt1"/>
            </a:solidFill>
          </a:ln>
          <a:effectLst/>
        </c:spPr>
      </c:pivotFmt>
      <c:pivotFmt>
        <c:idx val="1121"/>
        <c:spPr>
          <a:solidFill>
            <a:schemeClr val="accent1"/>
          </a:solidFill>
          <a:ln w="19050">
            <a:solidFill>
              <a:schemeClr val="lt1"/>
            </a:solidFill>
          </a:ln>
          <a:effectLst/>
        </c:spPr>
      </c:pivotFmt>
      <c:pivotFmt>
        <c:idx val="1122"/>
        <c:spPr>
          <a:solidFill>
            <a:schemeClr val="accent1"/>
          </a:solidFill>
          <a:ln w="19050">
            <a:solidFill>
              <a:schemeClr val="lt1"/>
            </a:solidFill>
          </a:ln>
          <a:effectLst/>
        </c:spPr>
      </c:pivotFmt>
      <c:pivotFmt>
        <c:idx val="1123"/>
        <c:spPr>
          <a:solidFill>
            <a:schemeClr val="accent1"/>
          </a:solidFill>
          <a:ln w="19050">
            <a:solidFill>
              <a:schemeClr val="lt1"/>
            </a:solidFill>
          </a:ln>
          <a:effectLst/>
        </c:spPr>
      </c:pivotFmt>
      <c:pivotFmt>
        <c:idx val="1124"/>
        <c:spPr>
          <a:solidFill>
            <a:schemeClr val="accent1"/>
          </a:solidFill>
          <a:ln w="19050">
            <a:solidFill>
              <a:schemeClr val="lt1"/>
            </a:solidFill>
          </a:ln>
          <a:effectLst/>
        </c:spPr>
      </c:pivotFmt>
      <c:pivotFmt>
        <c:idx val="1125"/>
        <c:spPr>
          <a:solidFill>
            <a:schemeClr val="accent1"/>
          </a:solidFill>
          <a:ln w="19050">
            <a:solidFill>
              <a:schemeClr val="lt1"/>
            </a:solidFill>
          </a:ln>
          <a:effectLst/>
        </c:spPr>
      </c:pivotFmt>
      <c:pivotFmt>
        <c:idx val="1126"/>
        <c:spPr>
          <a:solidFill>
            <a:schemeClr val="accent1"/>
          </a:solidFill>
          <a:ln w="19050">
            <a:solidFill>
              <a:schemeClr val="lt1"/>
            </a:solidFill>
          </a:ln>
          <a:effectLst/>
        </c:spPr>
      </c:pivotFmt>
      <c:pivotFmt>
        <c:idx val="1127"/>
        <c:spPr>
          <a:solidFill>
            <a:schemeClr val="accent1"/>
          </a:solidFill>
          <a:ln w="19050">
            <a:solidFill>
              <a:schemeClr val="lt1"/>
            </a:solidFill>
          </a:ln>
          <a:effectLst/>
        </c:spPr>
      </c:pivotFmt>
      <c:pivotFmt>
        <c:idx val="1128"/>
        <c:spPr>
          <a:solidFill>
            <a:schemeClr val="accent1"/>
          </a:solidFill>
          <a:ln w="19050">
            <a:solidFill>
              <a:schemeClr val="lt1"/>
            </a:solidFill>
          </a:ln>
          <a:effectLst/>
        </c:spPr>
      </c:pivotFmt>
      <c:pivotFmt>
        <c:idx val="1129"/>
        <c:spPr>
          <a:solidFill>
            <a:schemeClr val="accent1"/>
          </a:solidFill>
          <a:ln w="19050">
            <a:solidFill>
              <a:schemeClr val="lt1"/>
            </a:solidFill>
          </a:ln>
          <a:effectLst/>
        </c:spPr>
      </c:pivotFmt>
      <c:pivotFmt>
        <c:idx val="1130"/>
        <c:spPr>
          <a:solidFill>
            <a:schemeClr val="accent1"/>
          </a:solidFill>
          <a:ln w="19050">
            <a:solidFill>
              <a:schemeClr val="lt1"/>
            </a:solidFill>
          </a:ln>
          <a:effectLst/>
        </c:spPr>
      </c:pivotFmt>
      <c:pivotFmt>
        <c:idx val="1131"/>
        <c:spPr>
          <a:solidFill>
            <a:schemeClr val="accent1"/>
          </a:solidFill>
          <a:ln w="19050">
            <a:solidFill>
              <a:schemeClr val="lt1"/>
            </a:solidFill>
          </a:ln>
          <a:effectLst/>
        </c:spPr>
      </c:pivotFmt>
      <c:pivotFmt>
        <c:idx val="1132"/>
        <c:spPr>
          <a:solidFill>
            <a:schemeClr val="accent1"/>
          </a:solidFill>
          <a:ln w="19050">
            <a:solidFill>
              <a:schemeClr val="lt1"/>
            </a:solidFill>
          </a:ln>
          <a:effectLst/>
        </c:spPr>
      </c:pivotFmt>
      <c:pivotFmt>
        <c:idx val="1133"/>
        <c:spPr>
          <a:solidFill>
            <a:schemeClr val="accent1"/>
          </a:solidFill>
          <a:ln w="19050">
            <a:solidFill>
              <a:schemeClr val="lt1"/>
            </a:solidFill>
          </a:ln>
          <a:effectLst/>
        </c:spPr>
      </c:pivotFmt>
      <c:pivotFmt>
        <c:idx val="1134"/>
        <c:spPr>
          <a:solidFill>
            <a:schemeClr val="accent1"/>
          </a:solidFill>
          <a:ln w="19050">
            <a:solidFill>
              <a:schemeClr val="lt1"/>
            </a:solidFill>
          </a:ln>
          <a:effectLst/>
        </c:spPr>
      </c:pivotFmt>
      <c:pivotFmt>
        <c:idx val="1135"/>
        <c:spPr>
          <a:solidFill>
            <a:schemeClr val="accent1"/>
          </a:solidFill>
          <a:ln w="19050">
            <a:solidFill>
              <a:schemeClr val="lt1"/>
            </a:solidFill>
          </a:ln>
          <a:effectLst/>
        </c:spPr>
      </c:pivotFmt>
      <c:pivotFmt>
        <c:idx val="1136"/>
        <c:spPr>
          <a:solidFill>
            <a:schemeClr val="accent1"/>
          </a:solidFill>
          <a:ln w="19050">
            <a:solidFill>
              <a:schemeClr val="lt1"/>
            </a:solidFill>
          </a:ln>
          <a:effectLst/>
        </c:spPr>
      </c:pivotFmt>
      <c:pivotFmt>
        <c:idx val="1137"/>
        <c:spPr>
          <a:solidFill>
            <a:schemeClr val="accent1"/>
          </a:solidFill>
          <a:ln w="19050">
            <a:solidFill>
              <a:schemeClr val="lt1"/>
            </a:solidFill>
          </a:ln>
          <a:effectLst/>
        </c:spPr>
      </c:pivotFmt>
      <c:pivotFmt>
        <c:idx val="1138"/>
        <c:spPr>
          <a:solidFill>
            <a:schemeClr val="accent1"/>
          </a:solidFill>
          <a:ln w="19050">
            <a:solidFill>
              <a:schemeClr val="lt1"/>
            </a:solidFill>
          </a:ln>
          <a:effectLst/>
        </c:spPr>
      </c:pivotFmt>
      <c:pivotFmt>
        <c:idx val="1139"/>
        <c:spPr>
          <a:solidFill>
            <a:schemeClr val="accent1"/>
          </a:solidFill>
          <a:ln w="19050">
            <a:solidFill>
              <a:schemeClr val="lt1"/>
            </a:solidFill>
          </a:ln>
          <a:effectLst/>
        </c:spPr>
      </c:pivotFmt>
      <c:pivotFmt>
        <c:idx val="1140"/>
        <c:spPr>
          <a:solidFill>
            <a:schemeClr val="accent1"/>
          </a:solidFill>
          <a:ln w="19050">
            <a:solidFill>
              <a:schemeClr val="lt1"/>
            </a:solidFill>
          </a:ln>
          <a:effectLst/>
        </c:spPr>
      </c:pivotFmt>
      <c:pivotFmt>
        <c:idx val="1141"/>
        <c:spPr>
          <a:solidFill>
            <a:schemeClr val="accent1"/>
          </a:solidFill>
          <a:ln w="19050">
            <a:solidFill>
              <a:schemeClr val="lt1"/>
            </a:solidFill>
          </a:ln>
          <a:effectLst/>
        </c:spPr>
      </c:pivotFmt>
      <c:pivotFmt>
        <c:idx val="1142"/>
        <c:spPr>
          <a:solidFill>
            <a:schemeClr val="accent1"/>
          </a:solidFill>
          <a:ln w="19050">
            <a:solidFill>
              <a:schemeClr val="lt1"/>
            </a:solidFill>
          </a:ln>
          <a:effectLst/>
        </c:spPr>
      </c:pivotFmt>
      <c:pivotFmt>
        <c:idx val="1143"/>
        <c:spPr>
          <a:solidFill>
            <a:schemeClr val="accent1"/>
          </a:solidFill>
          <a:ln w="19050">
            <a:solidFill>
              <a:schemeClr val="lt1"/>
            </a:solidFill>
          </a:ln>
          <a:effectLst/>
        </c:spPr>
      </c:pivotFmt>
      <c:pivotFmt>
        <c:idx val="1144"/>
        <c:spPr>
          <a:solidFill>
            <a:schemeClr val="accent1"/>
          </a:solidFill>
          <a:ln w="19050">
            <a:solidFill>
              <a:schemeClr val="lt1"/>
            </a:solidFill>
          </a:ln>
          <a:effectLst/>
        </c:spPr>
      </c:pivotFmt>
      <c:pivotFmt>
        <c:idx val="1145"/>
        <c:spPr>
          <a:solidFill>
            <a:schemeClr val="accent1"/>
          </a:solidFill>
          <a:ln w="19050">
            <a:solidFill>
              <a:schemeClr val="lt1"/>
            </a:solidFill>
          </a:ln>
          <a:effectLst/>
        </c:spPr>
      </c:pivotFmt>
      <c:pivotFmt>
        <c:idx val="1146"/>
        <c:spPr>
          <a:solidFill>
            <a:schemeClr val="accent1"/>
          </a:solidFill>
          <a:ln w="19050">
            <a:solidFill>
              <a:schemeClr val="lt1"/>
            </a:solidFill>
          </a:ln>
          <a:effectLst/>
        </c:spPr>
      </c:pivotFmt>
      <c:pivotFmt>
        <c:idx val="1147"/>
        <c:spPr>
          <a:solidFill>
            <a:schemeClr val="accent1"/>
          </a:solidFill>
          <a:ln w="19050">
            <a:solidFill>
              <a:schemeClr val="lt1"/>
            </a:solidFill>
          </a:ln>
          <a:effectLst/>
        </c:spPr>
      </c:pivotFmt>
      <c:pivotFmt>
        <c:idx val="1148"/>
        <c:spPr>
          <a:solidFill>
            <a:schemeClr val="accent1"/>
          </a:solidFill>
          <a:ln w="19050">
            <a:solidFill>
              <a:schemeClr val="lt1"/>
            </a:solidFill>
          </a:ln>
          <a:effectLst/>
        </c:spPr>
      </c:pivotFmt>
      <c:pivotFmt>
        <c:idx val="1149"/>
        <c:spPr>
          <a:solidFill>
            <a:schemeClr val="accent1"/>
          </a:solidFill>
          <a:ln w="19050">
            <a:solidFill>
              <a:schemeClr val="lt1"/>
            </a:solidFill>
          </a:ln>
          <a:effectLst/>
        </c:spPr>
      </c:pivotFmt>
      <c:pivotFmt>
        <c:idx val="1150"/>
        <c:spPr>
          <a:solidFill>
            <a:schemeClr val="accent1"/>
          </a:solidFill>
          <a:ln w="19050">
            <a:solidFill>
              <a:schemeClr val="lt1"/>
            </a:solidFill>
          </a:ln>
          <a:effectLst/>
        </c:spPr>
      </c:pivotFmt>
      <c:pivotFmt>
        <c:idx val="1151"/>
        <c:spPr>
          <a:solidFill>
            <a:schemeClr val="accent1"/>
          </a:solidFill>
          <a:ln w="19050">
            <a:solidFill>
              <a:schemeClr val="lt1"/>
            </a:solidFill>
          </a:ln>
          <a:effectLst/>
        </c:spPr>
      </c:pivotFmt>
      <c:pivotFmt>
        <c:idx val="1152"/>
        <c:spPr>
          <a:solidFill>
            <a:schemeClr val="accent1"/>
          </a:solidFill>
          <a:ln w="19050">
            <a:solidFill>
              <a:schemeClr val="lt1"/>
            </a:solidFill>
          </a:ln>
          <a:effectLst/>
        </c:spPr>
      </c:pivotFmt>
      <c:pivotFmt>
        <c:idx val="1153"/>
        <c:spPr>
          <a:solidFill>
            <a:schemeClr val="accent1"/>
          </a:solidFill>
          <a:ln w="19050">
            <a:solidFill>
              <a:schemeClr val="lt1"/>
            </a:solidFill>
          </a:ln>
          <a:effectLst/>
        </c:spPr>
      </c:pivotFmt>
      <c:pivotFmt>
        <c:idx val="1154"/>
        <c:spPr>
          <a:solidFill>
            <a:schemeClr val="accent1"/>
          </a:solidFill>
          <a:ln w="19050">
            <a:solidFill>
              <a:schemeClr val="lt1"/>
            </a:solidFill>
          </a:ln>
          <a:effectLst/>
        </c:spPr>
      </c:pivotFmt>
      <c:pivotFmt>
        <c:idx val="1155"/>
        <c:spPr>
          <a:solidFill>
            <a:schemeClr val="accent1"/>
          </a:solidFill>
          <a:ln w="19050">
            <a:solidFill>
              <a:schemeClr val="lt1"/>
            </a:solidFill>
          </a:ln>
          <a:effectLst/>
        </c:spPr>
      </c:pivotFmt>
      <c:pivotFmt>
        <c:idx val="1156"/>
        <c:spPr>
          <a:solidFill>
            <a:schemeClr val="accent1"/>
          </a:solidFill>
          <a:ln w="19050">
            <a:solidFill>
              <a:schemeClr val="lt1"/>
            </a:solidFill>
          </a:ln>
          <a:effectLst/>
        </c:spPr>
      </c:pivotFmt>
      <c:pivotFmt>
        <c:idx val="1157"/>
        <c:spPr>
          <a:solidFill>
            <a:schemeClr val="accent1"/>
          </a:solidFill>
          <a:ln w="19050">
            <a:solidFill>
              <a:schemeClr val="lt1"/>
            </a:solidFill>
          </a:ln>
          <a:effectLst/>
        </c:spPr>
      </c:pivotFmt>
      <c:pivotFmt>
        <c:idx val="1158"/>
        <c:spPr>
          <a:solidFill>
            <a:schemeClr val="accent1"/>
          </a:solidFill>
          <a:ln w="19050">
            <a:solidFill>
              <a:schemeClr val="lt1"/>
            </a:solidFill>
          </a:ln>
          <a:effectLst/>
        </c:spPr>
      </c:pivotFmt>
      <c:pivotFmt>
        <c:idx val="1159"/>
        <c:spPr>
          <a:solidFill>
            <a:schemeClr val="accent1"/>
          </a:solidFill>
          <a:ln w="19050">
            <a:solidFill>
              <a:schemeClr val="lt1"/>
            </a:solidFill>
          </a:ln>
          <a:effectLst/>
        </c:spPr>
      </c:pivotFmt>
      <c:pivotFmt>
        <c:idx val="1160"/>
        <c:spPr>
          <a:solidFill>
            <a:schemeClr val="accent1"/>
          </a:solidFill>
          <a:ln w="19050">
            <a:solidFill>
              <a:schemeClr val="lt1"/>
            </a:solidFill>
          </a:ln>
          <a:effectLst/>
        </c:spPr>
      </c:pivotFmt>
      <c:pivotFmt>
        <c:idx val="1161"/>
        <c:spPr>
          <a:solidFill>
            <a:schemeClr val="accent1"/>
          </a:solidFill>
          <a:ln w="19050">
            <a:solidFill>
              <a:schemeClr val="lt1"/>
            </a:solidFill>
          </a:ln>
          <a:effectLst/>
        </c:spPr>
      </c:pivotFmt>
      <c:pivotFmt>
        <c:idx val="1162"/>
        <c:spPr>
          <a:solidFill>
            <a:schemeClr val="accent1"/>
          </a:solidFill>
          <a:ln w="19050">
            <a:solidFill>
              <a:schemeClr val="lt1"/>
            </a:solidFill>
          </a:ln>
          <a:effectLst/>
        </c:spPr>
      </c:pivotFmt>
      <c:pivotFmt>
        <c:idx val="1163"/>
        <c:spPr>
          <a:solidFill>
            <a:schemeClr val="accent1"/>
          </a:solidFill>
          <a:ln w="19050">
            <a:solidFill>
              <a:schemeClr val="lt1"/>
            </a:solidFill>
          </a:ln>
          <a:effectLst/>
        </c:spPr>
      </c:pivotFmt>
      <c:pivotFmt>
        <c:idx val="1164"/>
        <c:spPr>
          <a:solidFill>
            <a:schemeClr val="accent1"/>
          </a:solidFill>
          <a:ln w="19050">
            <a:solidFill>
              <a:schemeClr val="lt1"/>
            </a:solidFill>
          </a:ln>
          <a:effectLst/>
        </c:spPr>
      </c:pivotFmt>
      <c:pivotFmt>
        <c:idx val="1165"/>
        <c:spPr>
          <a:solidFill>
            <a:schemeClr val="accent1"/>
          </a:solidFill>
          <a:ln w="19050">
            <a:solidFill>
              <a:schemeClr val="lt1"/>
            </a:solidFill>
          </a:ln>
          <a:effectLst/>
        </c:spPr>
      </c:pivotFmt>
      <c:pivotFmt>
        <c:idx val="1166"/>
        <c:spPr>
          <a:solidFill>
            <a:schemeClr val="accent1"/>
          </a:solidFill>
          <a:ln w="19050">
            <a:solidFill>
              <a:schemeClr val="lt1"/>
            </a:solidFill>
          </a:ln>
          <a:effectLst/>
        </c:spPr>
      </c:pivotFmt>
      <c:pivotFmt>
        <c:idx val="1167"/>
        <c:spPr>
          <a:solidFill>
            <a:schemeClr val="accent1"/>
          </a:solidFill>
          <a:ln w="19050">
            <a:solidFill>
              <a:schemeClr val="lt1"/>
            </a:solidFill>
          </a:ln>
          <a:effectLst/>
        </c:spPr>
      </c:pivotFmt>
      <c:pivotFmt>
        <c:idx val="1168"/>
        <c:spPr>
          <a:solidFill>
            <a:schemeClr val="accent1"/>
          </a:solidFill>
          <a:ln w="19050">
            <a:solidFill>
              <a:schemeClr val="lt1"/>
            </a:solidFill>
          </a:ln>
          <a:effectLst/>
        </c:spPr>
      </c:pivotFmt>
      <c:pivotFmt>
        <c:idx val="1169"/>
        <c:spPr>
          <a:solidFill>
            <a:schemeClr val="accent1"/>
          </a:solidFill>
          <a:ln w="19050">
            <a:solidFill>
              <a:schemeClr val="lt1"/>
            </a:solidFill>
          </a:ln>
          <a:effectLst/>
        </c:spPr>
      </c:pivotFmt>
      <c:pivotFmt>
        <c:idx val="1170"/>
        <c:spPr>
          <a:solidFill>
            <a:schemeClr val="accent1"/>
          </a:solidFill>
          <a:ln w="19050">
            <a:solidFill>
              <a:schemeClr val="lt1"/>
            </a:solidFill>
          </a:ln>
          <a:effectLst/>
        </c:spPr>
      </c:pivotFmt>
      <c:pivotFmt>
        <c:idx val="1171"/>
        <c:spPr>
          <a:solidFill>
            <a:schemeClr val="accent1"/>
          </a:solidFill>
          <a:ln w="19050">
            <a:solidFill>
              <a:schemeClr val="lt1"/>
            </a:solidFill>
          </a:ln>
          <a:effectLst/>
        </c:spPr>
      </c:pivotFmt>
      <c:pivotFmt>
        <c:idx val="1172"/>
        <c:spPr>
          <a:solidFill>
            <a:schemeClr val="accent1"/>
          </a:solidFill>
          <a:ln w="19050">
            <a:solidFill>
              <a:schemeClr val="lt1"/>
            </a:solidFill>
          </a:ln>
          <a:effectLst/>
        </c:spPr>
      </c:pivotFmt>
      <c:pivotFmt>
        <c:idx val="1173"/>
        <c:spPr>
          <a:solidFill>
            <a:schemeClr val="accent1"/>
          </a:solidFill>
          <a:ln w="19050">
            <a:solidFill>
              <a:schemeClr val="lt1"/>
            </a:solidFill>
          </a:ln>
          <a:effectLst/>
        </c:spPr>
      </c:pivotFmt>
      <c:pivotFmt>
        <c:idx val="1174"/>
        <c:spPr>
          <a:solidFill>
            <a:schemeClr val="accent1"/>
          </a:solidFill>
          <a:ln w="19050">
            <a:solidFill>
              <a:schemeClr val="lt1"/>
            </a:solidFill>
          </a:ln>
          <a:effectLst/>
        </c:spPr>
      </c:pivotFmt>
      <c:pivotFmt>
        <c:idx val="1175"/>
        <c:spPr>
          <a:solidFill>
            <a:schemeClr val="accent1"/>
          </a:solidFill>
          <a:ln w="19050">
            <a:solidFill>
              <a:schemeClr val="lt1"/>
            </a:solidFill>
          </a:ln>
          <a:effectLst/>
        </c:spPr>
      </c:pivotFmt>
      <c:pivotFmt>
        <c:idx val="1176"/>
        <c:spPr>
          <a:solidFill>
            <a:schemeClr val="accent1"/>
          </a:solidFill>
          <a:ln w="19050">
            <a:solidFill>
              <a:schemeClr val="lt1"/>
            </a:solidFill>
          </a:ln>
          <a:effectLst/>
        </c:spPr>
      </c:pivotFmt>
      <c:pivotFmt>
        <c:idx val="1177"/>
        <c:spPr>
          <a:solidFill>
            <a:schemeClr val="accent1"/>
          </a:solidFill>
          <a:ln w="19050">
            <a:solidFill>
              <a:schemeClr val="lt1"/>
            </a:solidFill>
          </a:ln>
          <a:effectLst/>
        </c:spPr>
      </c:pivotFmt>
      <c:pivotFmt>
        <c:idx val="1178"/>
        <c:spPr>
          <a:solidFill>
            <a:schemeClr val="accent1"/>
          </a:solidFill>
          <a:ln w="19050">
            <a:solidFill>
              <a:schemeClr val="lt1"/>
            </a:solidFill>
          </a:ln>
          <a:effectLst/>
        </c:spPr>
      </c:pivotFmt>
      <c:pivotFmt>
        <c:idx val="1179"/>
        <c:spPr>
          <a:solidFill>
            <a:schemeClr val="accent1"/>
          </a:solidFill>
          <a:ln w="19050">
            <a:solidFill>
              <a:schemeClr val="lt1"/>
            </a:solidFill>
          </a:ln>
          <a:effectLst/>
        </c:spPr>
      </c:pivotFmt>
      <c:pivotFmt>
        <c:idx val="1180"/>
        <c:spPr>
          <a:solidFill>
            <a:schemeClr val="accent1"/>
          </a:solidFill>
          <a:ln w="19050">
            <a:solidFill>
              <a:schemeClr val="lt1"/>
            </a:solidFill>
          </a:ln>
          <a:effectLst/>
        </c:spPr>
      </c:pivotFmt>
      <c:pivotFmt>
        <c:idx val="1181"/>
        <c:spPr>
          <a:solidFill>
            <a:schemeClr val="accent1"/>
          </a:solidFill>
          <a:ln w="19050">
            <a:solidFill>
              <a:schemeClr val="lt1"/>
            </a:solidFill>
          </a:ln>
          <a:effectLst/>
        </c:spPr>
      </c:pivotFmt>
      <c:pivotFmt>
        <c:idx val="1182"/>
        <c:spPr>
          <a:solidFill>
            <a:schemeClr val="accent1"/>
          </a:solidFill>
          <a:ln w="19050">
            <a:solidFill>
              <a:schemeClr val="lt1"/>
            </a:solidFill>
          </a:ln>
          <a:effectLst/>
        </c:spPr>
      </c:pivotFmt>
      <c:pivotFmt>
        <c:idx val="1183"/>
        <c:spPr>
          <a:solidFill>
            <a:schemeClr val="accent1"/>
          </a:solidFill>
          <a:ln w="19050">
            <a:solidFill>
              <a:schemeClr val="lt1"/>
            </a:solidFill>
          </a:ln>
          <a:effectLst/>
        </c:spPr>
      </c:pivotFmt>
      <c:pivotFmt>
        <c:idx val="1184"/>
        <c:spPr>
          <a:solidFill>
            <a:schemeClr val="accent1"/>
          </a:solidFill>
          <a:ln w="19050">
            <a:solidFill>
              <a:schemeClr val="lt1"/>
            </a:solidFill>
          </a:ln>
          <a:effectLst/>
        </c:spPr>
      </c:pivotFmt>
      <c:pivotFmt>
        <c:idx val="1185"/>
        <c:spPr>
          <a:solidFill>
            <a:schemeClr val="accent1"/>
          </a:solidFill>
          <a:ln w="19050">
            <a:solidFill>
              <a:schemeClr val="lt1"/>
            </a:solidFill>
          </a:ln>
          <a:effectLst/>
        </c:spPr>
      </c:pivotFmt>
      <c:pivotFmt>
        <c:idx val="1186"/>
        <c:spPr>
          <a:solidFill>
            <a:schemeClr val="accent1"/>
          </a:solidFill>
          <a:ln w="19050">
            <a:solidFill>
              <a:schemeClr val="lt1"/>
            </a:solidFill>
          </a:ln>
          <a:effectLst/>
        </c:spPr>
      </c:pivotFmt>
      <c:pivotFmt>
        <c:idx val="1187"/>
        <c:spPr>
          <a:solidFill>
            <a:schemeClr val="accent1"/>
          </a:solidFill>
          <a:ln w="19050">
            <a:solidFill>
              <a:schemeClr val="lt1"/>
            </a:solidFill>
          </a:ln>
          <a:effectLst/>
        </c:spPr>
      </c:pivotFmt>
      <c:pivotFmt>
        <c:idx val="1188"/>
        <c:spPr>
          <a:solidFill>
            <a:schemeClr val="accent1"/>
          </a:solidFill>
          <a:ln w="19050">
            <a:solidFill>
              <a:schemeClr val="lt1"/>
            </a:solidFill>
          </a:ln>
          <a:effectLst/>
        </c:spPr>
      </c:pivotFmt>
      <c:pivotFmt>
        <c:idx val="1189"/>
        <c:spPr>
          <a:solidFill>
            <a:schemeClr val="accent1"/>
          </a:solidFill>
          <a:ln w="19050">
            <a:solidFill>
              <a:schemeClr val="lt1"/>
            </a:solidFill>
          </a:ln>
          <a:effectLst/>
        </c:spPr>
      </c:pivotFmt>
      <c:pivotFmt>
        <c:idx val="1190"/>
        <c:spPr>
          <a:solidFill>
            <a:schemeClr val="accent1"/>
          </a:solidFill>
          <a:ln w="19050">
            <a:solidFill>
              <a:schemeClr val="lt1"/>
            </a:solidFill>
          </a:ln>
          <a:effectLst/>
        </c:spPr>
      </c:pivotFmt>
      <c:pivotFmt>
        <c:idx val="1191"/>
        <c:spPr>
          <a:solidFill>
            <a:schemeClr val="accent1"/>
          </a:solidFill>
          <a:ln w="19050">
            <a:solidFill>
              <a:schemeClr val="lt1"/>
            </a:solidFill>
          </a:ln>
          <a:effectLst/>
        </c:spPr>
      </c:pivotFmt>
      <c:pivotFmt>
        <c:idx val="1192"/>
        <c:spPr>
          <a:solidFill>
            <a:schemeClr val="accent1"/>
          </a:solidFill>
          <a:ln w="19050">
            <a:solidFill>
              <a:schemeClr val="lt1"/>
            </a:solidFill>
          </a:ln>
          <a:effectLst/>
        </c:spPr>
      </c:pivotFmt>
      <c:pivotFmt>
        <c:idx val="1193"/>
        <c:spPr>
          <a:solidFill>
            <a:schemeClr val="accent1"/>
          </a:solidFill>
          <a:ln w="19050">
            <a:solidFill>
              <a:schemeClr val="lt1"/>
            </a:solidFill>
          </a:ln>
          <a:effectLst/>
        </c:spPr>
      </c:pivotFmt>
      <c:pivotFmt>
        <c:idx val="1194"/>
        <c:spPr>
          <a:solidFill>
            <a:schemeClr val="accent1"/>
          </a:solidFill>
          <a:ln w="19050">
            <a:solidFill>
              <a:schemeClr val="lt1"/>
            </a:solidFill>
          </a:ln>
          <a:effectLst/>
        </c:spPr>
      </c:pivotFmt>
      <c:pivotFmt>
        <c:idx val="1195"/>
        <c:spPr>
          <a:solidFill>
            <a:schemeClr val="accent1"/>
          </a:solidFill>
          <a:ln w="19050">
            <a:solidFill>
              <a:schemeClr val="lt1"/>
            </a:solidFill>
          </a:ln>
          <a:effectLst/>
        </c:spPr>
      </c:pivotFmt>
      <c:pivotFmt>
        <c:idx val="1196"/>
        <c:spPr>
          <a:solidFill>
            <a:schemeClr val="accent1"/>
          </a:solidFill>
          <a:ln w="19050">
            <a:solidFill>
              <a:schemeClr val="lt1"/>
            </a:solidFill>
          </a:ln>
          <a:effectLst/>
        </c:spPr>
      </c:pivotFmt>
      <c:pivotFmt>
        <c:idx val="1197"/>
        <c:spPr>
          <a:solidFill>
            <a:schemeClr val="accent1"/>
          </a:solidFill>
          <a:ln w="19050">
            <a:solidFill>
              <a:schemeClr val="lt1"/>
            </a:solidFill>
          </a:ln>
          <a:effectLst/>
        </c:spPr>
      </c:pivotFmt>
      <c:pivotFmt>
        <c:idx val="1198"/>
        <c:spPr>
          <a:solidFill>
            <a:schemeClr val="accent1"/>
          </a:solidFill>
          <a:ln w="19050">
            <a:solidFill>
              <a:schemeClr val="lt1"/>
            </a:solidFill>
          </a:ln>
          <a:effectLst/>
        </c:spPr>
      </c:pivotFmt>
      <c:pivotFmt>
        <c:idx val="1199"/>
        <c:spPr>
          <a:solidFill>
            <a:schemeClr val="accent1"/>
          </a:solidFill>
          <a:ln w="19050">
            <a:solidFill>
              <a:schemeClr val="lt1"/>
            </a:solidFill>
          </a:ln>
          <a:effectLst/>
        </c:spPr>
      </c:pivotFmt>
      <c:pivotFmt>
        <c:idx val="1200"/>
        <c:spPr>
          <a:solidFill>
            <a:schemeClr val="accent1"/>
          </a:solidFill>
          <a:ln w="19050">
            <a:solidFill>
              <a:schemeClr val="lt1"/>
            </a:solidFill>
          </a:ln>
          <a:effectLst/>
        </c:spPr>
      </c:pivotFmt>
      <c:pivotFmt>
        <c:idx val="1201"/>
        <c:spPr>
          <a:solidFill>
            <a:schemeClr val="accent1"/>
          </a:solidFill>
          <a:ln w="19050">
            <a:solidFill>
              <a:schemeClr val="lt1"/>
            </a:solidFill>
          </a:ln>
          <a:effectLst/>
        </c:spPr>
      </c:pivotFmt>
      <c:pivotFmt>
        <c:idx val="1202"/>
        <c:spPr>
          <a:solidFill>
            <a:schemeClr val="accent1"/>
          </a:solidFill>
          <a:ln w="19050">
            <a:solidFill>
              <a:schemeClr val="lt1"/>
            </a:solidFill>
          </a:ln>
          <a:effectLst/>
        </c:spPr>
      </c:pivotFmt>
      <c:pivotFmt>
        <c:idx val="1203"/>
        <c:spPr>
          <a:solidFill>
            <a:schemeClr val="accent1"/>
          </a:solidFill>
          <a:ln w="19050">
            <a:solidFill>
              <a:schemeClr val="lt1"/>
            </a:solidFill>
          </a:ln>
          <a:effectLst/>
        </c:spPr>
      </c:pivotFmt>
      <c:pivotFmt>
        <c:idx val="1204"/>
        <c:spPr>
          <a:solidFill>
            <a:schemeClr val="accent1"/>
          </a:solidFill>
          <a:ln w="19050">
            <a:solidFill>
              <a:schemeClr val="lt1"/>
            </a:solidFill>
          </a:ln>
          <a:effectLst/>
        </c:spPr>
      </c:pivotFmt>
      <c:pivotFmt>
        <c:idx val="1205"/>
        <c:spPr>
          <a:solidFill>
            <a:schemeClr val="accent1"/>
          </a:solidFill>
          <a:ln w="19050">
            <a:solidFill>
              <a:schemeClr val="lt1"/>
            </a:solidFill>
          </a:ln>
          <a:effectLst/>
        </c:spPr>
      </c:pivotFmt>
      <c:pivotFmt>
        <c:idx val="1206"/>
        <c:spPr>
          <a:solidFill>
            <a:schemeClr val="accent1"/>
          </a:solidFill>
          <a:ln w="19050">
            <a:solidFill>
              <a:schemeClr val="lt1"/>
            </a:solidFill>
          </a:ln>
          <a:effectLst/>
        </c:spPr>
      </c:pivotFmt>
      <c:pivotFmt>
        <c:idx val="1207"/>
        <c:spPr>
          <a:solidFill>
            <a:schemeClr val="accent1"/>
          </a:solidFill>
          <a:ln w="19050">
            <a:solidFill>
              <a:schemeClr val="lt1"/>
            </a:solidFill>
          </a:ln>
          <a:effectLst/>
        </c:spPr>
      </c:pivotFmt>
      <c:pivotFmt>
        <c:idx val="1208"/>
        <c:spPr>
          <a:solidFill>
            <a:schemeClr val="accent1"/>
          </a:solidFill>
          <a:ln w="19050">
            <a:solidFill>
              <a:schemeClr val="lt1"/>
            </a:solidFill>
          </a:ln>
          <a:effectLst/>
        </c:spPr>
      </c:pivotFmt>
      <c:pivotFmt>
        <c:idx val="1209"/>
        <c:spPr>
          <a:solidFill>
            <a:schemeClr val="accent1"/>
          </a:solidFill>
          <a:ln w="19050">
            <a:solidFill>
              <a:schemeClr val="lt1"/>
            </a:solidFill>
          </a:ln>
          <a:effectLst/>
        </c:spPr>
      </c:pivotFmt>
      <c:pivotFmt>
        <c:idx val="1210"/>
        <c:spPr>
          <a:solidFill>
            <a:schemeClr val="accent1"/>
          </a:solidFill>
          <a:ln w="19050">
            <a:solidFill>
              <a:schemeClr val="lt1"/>
            </a:solidFill>
          </a:ln>
          <a:effectLst/>
        </c:spPr>
      </c:pivotFmt>
      <c:pivotFmt>
        <c:idx val="1211"/>
        <c:spPr>
          <a:solidFill>
            <a:schemeClr val="accent1"/>
          </a:solidFill>
          <a:ln w="19050">
            <a:solidFill>
              <a:schemeClr val="lt1"/>
            </a:solidFill>
          </a:ln>
          <a:effectLst/>
        </c:spPr>
      </c:pivotFmt>
      <c:pivotFmt>
        <c:idx val="1212"/>
        <c:spPr>
          <a:solidFill>
            <a:schemeClr val="accent1"/>
          </a:solidFill>
          <a:ln w="19050">
            <a:solidFill>
              <a:schemeClr val="lt1"/>
            </a:solidFill>
          </a:ln>
          <a:effectLst/>
        </c:spPr>
      </c:pivotFmt>
      <c:pivotFmt>
        <c:idx val="1213"/>
        <c:spPr>
          <a:solidFill>
            <a:schemeClr val="accent1"/>
          </a:solidFill>
          <a:ln w="19050">
            <a:solidFill>
              <a:schemeClr val="lt1"/>
            </a:solidFill>
          </a:ln>
          <a:effectLst/>
        </c:spPr>
      </c:pivotFmt>
      <c:pivotFmt>
        <c:idx val="1214"/>
        <c:spPr>
          <a:solidFill>
            <a:schemeClr val="accent1"/>
          </a:solidFill>
          <a:ln w="19050">
            <a:solidFill>
              <a:schemeClr val="lt1"/>
            </a:solidFill>
          </a:ln>
          <a:effectLst/>
        </c:spPr>
      </c:pivotFmt>
      <c:pivotFmt>
        <c:idx val="1215"/>
        <c:spPr>
          <a:solidFill>
            <a:schemeClr val="accent1"/>
          </a:solidFill>
          <a:ln w="19050">
            <a:solidFill>
              <a:schemeClr val="lt1"/>
            </a:solidFill>
          </a:ln>
          <a:effectLst/>
        </c:spPr>
      </c:pivotFmt>
      <c:pivotFmt>
        <c:idx val="1216"/>
        <c:spPr>
          <a:solidFill>
            <a:schemeClr val="accent1"/>
          </a:solidFill>
          <a:ln w="19050">
            <a:solidFill>
              <a:schemeClr val="lt1"/>
            </a:solidFill>
          </a:ln>
          <a:effectLst/>
        </c:spPr>
      </c:pivotFmt>
      <c:pivotFmt>
        <c:idx val="1217"/>
        <c:spPr>
          <a:solidFill>
            <a:schemeClr val="accent1"/>
          </a:solidFill>
          <a:ln w="19050">
            <a:solidFill>
              <a:schemeClr val="lt1"/>
            </a:solidFill>
          </a:ln>
          <a:effectLst/>
        </c:spPr>
      </c:pivotFmt>
      <c:pivotFmt>
        <c:idx val="1218"/>
        <c:spPr>
          <a:solidFill>
            <a:schemeClr val="accent1"/>
          </a:solidFill>
          <a:ln w="19050">
            <a:solidFill>
              <a:schemeClr val="lt1"/>
            </a:solidFill>
          </a:ln>
          <a:effectLst/>
        </c:spPr>
      </c:pivotFmt>
      <c:pivotFmt>
        <c:idx val="1219"/>
        <c:spPr>
          <a:solidFill>
            <a:schemeClr val="accent1"/>
          </a:solidFill>
          <a:ln w="19050">
            <a:solidFill>
              <a:schemeClr val="lt1"/>
            </a:solidFill>
          </a:ln>
          <a:effectLst/>
        </c:spPr>
      </c:pivotFmt>
      <c:pivotFmt>
        <c:idx val="1220"/>
        <c:spPr>
          <a:solidFill>
            <a:schemeClr val="accent1"/>
          </a:solidFill>
          <a:ln w="19050">
            <a:solidFill>
              <a:schemeClr val="lt1"/>
            </a:solidFill>
          </a:ln>
          <a:effectLst/>
        </c:spPr>
      </c:pivotFmt>
      <c:pivotFmt>
        <c:idx val="1221"/>
        <c:spPr>
          <a:solidFill>
            <a:schemeClr val="accent1"/>
          </a:solidFill>
          <a:ln w="19050">
            <a:solidFill>
              <a:schemeClr val="lt1"/>
            </a:solidFill>
          </a:ln>
          <a:effectLst/>
        </c:spPr>
      </c:pivotFmt>
      <c:pivotFmt>
        <c:idx val="1222"/>
        <c:spPr>
          <a:solidFill>
            <a:schemeClr val="accent1"/>
          </a:solidFill>
          <a:ln w="19050">
            <a:solidFill>
              <a:schemeClr val="lt1"/>
            </a:solidFill>
          </a:ln>
          <a:effectLst/>
        </c:spPr>
      </c:pivotFmt>
      <c:pivotFmt>
        <c:idx val="1223"/>
        <c:spPr>
          <a:solidFill>
            <a:schemeClr val="accent1"/>
          </a:solidFill>
          <a:ln w="19050">
            <a:solidFill>
              <a:schemeClr val="lt1"/>
            </a:solidFill>
          </a:ln>
          <a:effectLst/>
        </c:spPr>
      </c:pivotFmt>
      <c:pivotFmt>
        <c:idx val="1224"/>
        <c:spPr>
          <a:solidFill>
            <a:schemeClr val="accent1"/>
          </a:solidFill>
          <a:ln w="19050">
            <a:solidFill>
              <a:schemeClr val="lt1"/>
            </a:solidFill>
          </a:ln>
          <a:effectLst/>
        </c:spPr>
      </c:pivotFmt>
      <c:pivotFmt>
        <c:idx val="1225"/>
        <c:spPr>
          <a:solidFill>
            <a:schemeClr val="accent1"/>
          </a:solidFill>
          <a:ln w="19050">
            <a:solidFill>
              <a:schemeClr val="lt1"/>
            </a:solidFill>
          </a:ln>
          <a:effectLst/>
        </c:spPr>
      </c:pivotFmt>
      <c:pivotFmt>
        <c:idx val="1226"/>
        <c:spPr>
          <a:solidFill>
            <a:schemeClr val="accent1"/>
          </a:solidFill>
          <a:ln w="19050">
            <a:solidFill>
              <a:schemeClr val="lt1"/>
            </a:solidFill>
          </a:ln>
          <a:effectLst/>
        </c:spPr>
      </c:pivotFmt>
      <c:pivotFmt>
        <c:idx val="1227"/>
        <c:spPr>
          <a:solidFill>
            <a:schemeClr val="accent1"/>
          </a:solidFill>
          <a:ln w="19050">
            <a:solidFill>
              <a:schemeClr val="lt1"/>
            </a:solidFill>
          </a:ln>
          <a:effectLst/>
        </c:spPr>
      </c:pivotFmt>
      <c:pivotFmt>
        <c:idx val="1228"/>
        <c:spPr>
          <a:solidFill>
            <a:schemeClr val="accent1"/>
          </a:solidFill>
          <a:ln w="19050">
            <a:solidFill>
              <a:schemeClr val="lt1"/>
            </a:solidFill>
          </a:ln>
          <a:effectLst/>
        </c:spPr>
      </c:pivotFmt>
      <c:pivotFmt>
        <c:idx val="1229"/>
        <c:spPr>
          <a:solidFill>
            <a:schemeClr val="accent1"/>
          </a:solidFill>
          <a:ln w="19050">
            <a:solidFill>
              <a:schemeClr val="lt1"/>
            </a:solidFill>
          </a:ln>
          <a:effectLst/>
        </c:spPr>
      </c:pivotFmt>
      <c:pivotFmt>
        <c:idx val="1230"/>
        <c:spPr>
          <a:solidFill>
            <a:schemeClr val="accent1"/>
          </a:solidFill>
          <a:ln w="19050">
            <a:solidFill>
              <a:schemeClr val="lt1"/>
            </a:solidFill>
          </a:ln>
          <a:effectLst/>
        </c:spPr>
      </c:pivotFmt>
      <c:pivotFmt>
        <c:idx val="1231"/>
        <c:spPr>
          <a:solidFill>
            <a:schemeClr val="accent1"/>
          </a:solidFill>
          <a:ln w="19050">
            <a:solidFill>
              <a:schemeClr val="lt1"/>
            </a:solidFill>
          </a:ln>
          <a:effectLst/>
        </c:spPr>
      </c:pivotFmt>
      <c:pivotFmt>
        <c:idx val="1232"/>
        <c:spPr>
          <a:solidFill>
            <a:schemeClr val="accent1"/>
          </a:solidFill>
          <a:ln w="19050">
            <a:solidFill>
              <a:schemeClr val="lt1"/>
            </a:solidFill>
          </a:ln>
          <a:effectLst/>
        </c:spPr>
      </c:pivotFmt>
      <c:pivotFmt>
        <c:idx val="1233"/>
        <c:spPr>
          <a:solidFill>
            <a:schemeClr val="accent1"/>
          </a:solidFill>
          <a:ln w="19050">
            <a:solidFill>
              <a:schemeClr val="lt1"/>
            </a:solidFill>
          </a:ln>
          <a:effectLst/>
        </c:spPr>
      </c:pivotFmt>
      <c:pivotFmt>
        <c:idx val="1234"/>
        <c:spPr>
          <a:solidFill>
            <a:schemeClr val="accent1"/>
          </a:solidFill>
          <a:ln w="19050">
            <a:solidFill>
              <a:schemeClr val="lt1"/>
            </a:solidFill>
          </a:ln>
          <a:effectLst/>
        </c:spPr>
      </c:pivotFmt>
      <c:pivotFmt>
        <c:idx val="1235"/>
        <c:spPr>
          <a:solidFill>
            <a:schemeClr val="accent1"/>
          </a:solidFill>
          <a:ln w="19050">
            <a:solidFill>
              <a:schemeClr val="lt1"/>
            </a:solidFill>
          </a:ln>
          <a:effectLst/>
        </c:spPr>
      </c:pivotFmt>
      <c:pivotFmt>
        <c:idx val="1236"/>
        <c:spPr>
          <a:solidFill>
            <a:schemeClr val="accent1"/>
          </a:solidFill>
          <a:ln w="19050">
            <a:solidFill>
              <a:schemeClr val="lt1"/>
            </a:solidFill>
          </a:ln>
          <a:effectLst/>
        </c:spPr>
      </c:pivotFmt>
      <c:pivotFmt>
        <c:idx val="1237"/>
        <c:spPr>
          <a:solidFill>
            <a:schemeClr val="accent1"/>
          </a:solidFill>
          <a:ln w="19050">
            <a:solidFill>
              <a:schemeClr val="lt1"/>
            </a:solidFill>
          </a:ln>
          <a:effectLst/>
        </c:spPr>
      </c:pivotFmt>
      <c:pivotFmt>
        <c:idx val="1238"/>
        <c:spPr>
          <a:solidFill>
            <a:schemeClr val="accent1"/>
          </a:solidFill>
          <a:ln w="19050">
            <a:solidFill>
              <a:schemeClr val="lt1"/>
            </a:solidFill>
          </a:ln>
          <a:effectLst/>
        </c:spPr>
      </c:pivotFmt>
      <c:pivotFmt>
        <c:idx val="1239"/>
        <c:spPr>
          <a:solidFill>
            <a:schemeClr val="accent1"/>
          </a:solidFill>
          <a:ln w="19050">
            <a:solidFill>
              <a:schemeClr val="lt1"/>
            </a:solidFill>
          </a:ln>
          <a:effectLst/>
        </c:spPr>
      </c:pivotFmt>
      <c:pivotFmt>
        <c:idx val="1240"/>
        <c:spPr>
          <a:solidFill>
            <a:schemeClr val="accent1"/>
          </a:solidFill>
          <a:ln w="19050">
            <a:solidFill>
              <a:schemeClr val="lt1"/>
            </a:solidFill>
          </a:ln>
          <a:effectLst/>
        </c:spPr>
      </c:pivotFmt>
      <c:pivotFmt>
        <c:idx val="1241"/>
        <c:spPr>
          <a:solidFill>
            <a:schemeClr val="accent1"/>
          </a:solidFill>
          <a:ln w="19050">
            <a:solidFill>
              <a:schemeClr val="lt1"/>
            </a:solidFill>
          </a:ln>
          <a:effectLst/>
        </c:spPr>
      </c:pivotFmt>
      <c:pivotFmt>
        <c:idx val="1242"/>
        <c:spPr>
          <a:solidFill>
            <a:schemeClr val="accent1"/>
          </a:solidFill>
          <a:ln w="19050">
            <a:solidFill>
              <a:schemeClr val="lt1"/>
            </a:solidFill>
          </a:ln>
          <a:effectLst/>
        </c:spPr>
      </c:pivotFmt>
      <c:pivotFmt>
        <c:idx val="1243"/>
        <c:spPr>
          <a:solidFill>
            <a:schemeClr val="accent1"/>
          </a:solidFill>
          <a:ln w="19050">
            <a:solidFill>
              <a:schemeClr val="lt1"/>
            </a:solidFill>
          </a:ln>
          <a:effectLst/>
        </c:spPr>
      </c:pivotFmt>
      <c:pivotFmt>
        <c:idx val="1244"/>
        <c:spPr>
          <a:solidFill>
            <a:schemeClr val="accent1"/>
          </a:solidFill>
          <a:ln w="19050">
            <a:solidFill>
              <a:schemeClr val="lt1"/>
            </a:solidFill>
          </a:ln>
          <a:effectLst/>
        </c:spPr>
      </c:pivotFmt>
      <c:pivotFmt>
        <c:idx val="1245"/>
        <c:spPr>
          <a:solidFill>
            <a:schemeClr val="accent1"/>
          </a:solidFill>
          <a:ln w="19050">
            <a:solidFill>
              <a:schemeClr val="lt1"/>
            </a:solidFill>
          </a:ln>
          <a:effectLst/>
        </c:spPr>
      </c:pivotFmt>
      <c:pivotFmt>
        <c:idx val="1246"/>
        <c:spPr>
          <a:solidFill>
            <a:schemeClr val="accent1"/>
          </a:solidFill>
          <a:ln w="19050">
            <a:solidFill>
              <a:schemeClr val="lt1"/>
            </a:solidFill>
          </a:ln>
          <a:effectLst/>
        </c:spPr>
      </c:pivotFmt>
      <c:pivotFmt>
        <c:idx val="1247"/>
        <c:spPr>
          <a:solidFill>
            <a:schemeClr val="accent1"/>
          </a:solidFill>
          <a:ln w="19050">
            <a:solidFill>
              <a:schemeClr val="lt1"/>
            </a:solidFill>
          </a:ln>
          <a:effectLst/>
        </c:spPr>
      </c:pivotFmt>
      <c:pivotFmt>
        <c:idx val="1248"/>
        <c:spPr>
          <a:solidFill>
            <a:schemeClr val="accent1"/>
          </a:solidFill>
          <a:ln w="19050">
            <a:solidFill>
              <a:schemeClr val="lt1"/>
            </a:solidFill>
          </a:ln>
          <a:effectLst/>
        </c:spPr>
      </c:pivotFmt>
      <c:pivotFmt>
        <c:idx val="1249"/>
        <c:spPr>
          <a:solidFill>
            <a:schemeClr val="accent1"/>
          </a:solidFill>
          <a:ln w="19050">
            <a:solidFill>
              <a:schemeClr val="lt1"/>
            </a:solidFill>
          </a:ln>
          <a:effectLst/>
        </c:spPr>
      </c:pivotFmt>
      <c:pivotFmt>
        <c:idx val="1250"/>
        <c:spPr>
          <a:solidFill>
            <a:schemeClr val="accent1"/>
          </a:solidFill>
          <a:ln w="19050">
            <a:solidFill>
              <a:schemeClr val="lt1"/>
            </a:solidFill>
          </a:ln>
          <a:effectLst/>
        </c:spPr>
      </c:pivotFmt>
      <c:pivotFmt>
        <c:idx val="1251"/>
        <c:spPr>
          <a:solidFill>
            <a:schemeClr val="accent1"/>
          </a:solidFill>
          <a:ln w="19050">
            <a:solidFill>
              <a:schemeClr val="lt1"/>
            </a:solidFill>
          </a:ln>
          <a:effectLst/>
        </c:spPr>
      </c:pivotFmt>
      <c:pivotFmt>
        <c:idx val="1252"/>
        <c:spPr>
          <a:solidFill>
            <a:schemeClr val="accent1"/>
          </a:solidFill>
          <a:ln w="19050">
            <a:solidFill>
              <a:schemeClr val="lt1"/>
            </a:solidFill>
          </a:ln>
          <a:effectLst/>
        </c:spPr>
      </c:pivotFmt>
      <c:pivotFmt>
        <c:idx val="1253"/>
        <c:spPr>
          <a:solidFill>
            <a:schemeClr val="accent1"/>
          </a:solidFill>
          <a:ln w="19050">
            <a:solidFill>
              <a:schemeClr val="lt1"/>
            </a:solidFill>
          </a:ln>
          <a:effectLst/>
        </c:spPr>
      </c:pivotFmt>
      <c:pivotFmt>
        <c:idx val="1254"/>
        <c:spPr>
          <a:solidFill>
            <a:schemeClr val="accent1"/>
          </a:solidFill>
          <a:ln w="19050">
            <a:solidFill>
              <a:schemeClr val="lt1"/>
            </a:solidFill>
          </a:ln>
          <a:effectLst/>
        </c:spPr>
      </c:pivotFmt>
      <c:pivotFmt>
        <c:idx val="1255"/>
        <c:spPr>
          <a:solidFill>
            <a:schemeClr val="accent1"/>
          </a:solidFill>
          <a:ln w="19050">
            <a:solidFill>
              <a:schemeClr val="lt1"/>
            </a:solidFill>
          </a:ln>
          <a:effectLst/>
        </c:spPr>
      </c:pivotFmt>
      <c:pivotFmt>
        <c:idx val="1256"/>
        <c:spPr>
          <a:solidFill>
            <a:schemeClr val="accent1"/>
          </a:solidFill>
          <a:ln w="19050">
            <a:solidFill>
              <a:schemeClr val="lt1"/>
            </a:solidFill>
          </a:ln>
          <a:effectLst/>
        </c:spPr>
      </c:pivotFmt>
      <c:pivotFmt>
        <c:idx val="1257"/>
        <c:spPr>
          <a:solidFill>
            <a:schemeClr val="accent1"/>
          </a:solidFill>
          <a:ln w="19050">
            <a:solidFill>
              <a:schemeClr val="lt1"/>
            </a:solidFill>
          </a:ln>
          <a:effectLst/>
        </c:spPr>
      </c:pivotFmt>
      <c:pivotFmt>
        <c:idx val="1258"/>
        <c:spPr>
          <a:solidFill>
            <a:schemeClr val="accent1"/>
          </a:solidFill>
          <a:ln w="19050">
            <a:solidFill>
              <a:schemeClr val="lt1"/>
            </a:solidFill>
          </a:ln>
          <a:effectLst/>
        </c:spPr>
      </c:pivotFmt>
      <c:pivotFmt>
        <c:idx val="1259"/>
        <c:spPr>
          <a:solidFill>
            <a:schemeClr val="accent1"/>
          </a:solidFill>
          <a:ln w="19050">
            <a:solidFill>
              <a:schemeClr val="lt1"/>
            </a:solidFill>
          </a:ln>
          <a:effectLst/>
        </c:spPr>
      </c:pivotFmt>
      <c:pivotFmt>
        <c:idx val="1260"/>
        <c:spPr>
          <a:solidFill>
            <a:schemeClr val="accent1"/>
          </a:solidFill>
          <a:ln w="19050">
            <a:solidFill>
              <a:schemeClr val="lt1"/>
            </a:solidFill>
          </a:ln>
          <a:effectLst/>
        </c:spPr>
      </c:pivotFmt>
      <c:pivotFmt>
        <c:idx val="1261"/>
        <c:spPr>
          <a:solidFill>
            <a:schemeClr val="accent1"/>
          </a:solidFill>
          <a:ln w="19050">
            <a:solidFill>
              <a:schemeClr val="lt1"/>
            </a:solidFill>
          </a:ln>
          <a:effectLst/>
        </c:spPr>
      </c:pivotFmt>
      <c:pivotFmt>
        <c:idx val="1262"/>
        <c:spPr>
          <a:solidFill>
            <a:schemeClr val="accent1"/>
          </a:solidFill>
          <a:ln w="19050">
            <a:solidFill>
              <a:schemeClr val="lt1"/>
            </a:solidFill>
          </a:ln>
          <a:effectLst/>
        </c:spPr>
      </c:pivotFmt>
      <c:pivotFmt>
        <c:idx val="1263"/>
        <c:spPr>
          <a:solidFill>
            <a:schemeClr val="accent1"/>
          </a:solidFill>
          <a:ln w="19050">
            <a:solidFill>
              <a:schemeClr val="lt1"/>
            </a:solidFill>
          </a:ln>
          <a:effectLst/>
        </c:spPr>
      </c:pivotFmt>
      <c:pivotFmt>
        <c:idx val="1264"/>
        <c:spPr>
          <a:solidFill>
            <a:schemeClr val="accent1"/>
          </a:solidFill>
          <a:ln w="19050">
            <a:solidFill>
              <a:schemeClr val="lt1"/>
            </a:solidFill>
          </a:ln>
          <a:effectLst/>
        </c:spPr>
      </c:pivotFmt>
      <c:pivotFmt>
        <c:idx val="1265"/>
        <c:spPr>
          <a:solidFill>
            <a:schemeClr val="accent1"/>
          </a:solidFill>
          <a:ln w="19050">
            <a:solidFill>
              <a:schemeClr val="lt1"/>
            </a:solidFill>
          </a:ln>
          <a:effectLst/>
        </c:spPr>
      </c:pivotFmt>
      <c:pivotFmt>
        <c:idx val="1266"/>
        <c:spPr>
          <a:solidFill>
            <a:schemeClr val="accent1"/>
          </a:solidFill>
          <a:ln w="19050">
            <a:solidFill>
              <a:schemeClr val="lt1"/>
            </a:solidFill>
          </a:ln>
          <a:effectLst/>
        </c:spPr>
      </c:pivotFmt>
      <c:pivotFmt>
        <c:idx val="1267"/>
        <c:spPr>
          <a:solidFill>
            <a:schemeClr val="accent1"/>
          </a:solidFill>
          <a:ln w="19050">
            <a:solidFill>
              <a:schemeClr val="lt1"/>
            </a:solidFill>
          </a:ln>
          <a:effectLst/>
        </c:spPr>
      </c:pivotFmt>
      <c:pivotFmt>
        <c:idx val="1268"/>
        <c:spPr>
          <a:solidFill>
            <a:schemeClr val="accent1"/>
          </a:solidFill>
          <a:ln w="19050">
            <a:solidFill>
              <a:schemeClr val="lt1"/>
            </a:solidFill>
          </a:ln>
          <a:effectLst/>
        </c:spPr>
      </c:pivotFmt>
      <c:pivotFmt>
        <c:idx val="1269"/>
        <c:spPr>
          <a:solidFill>
            <a:schemeClr val="accent1"/>
          </a:solidFill>
          <a:ln w="19050">
            <a:solidFill>
              <a:schemeClr val="lt1"/>
            </a:solidFill>
          </a:ln>
          <a:effectLst/>
        </c:spPr>
      </c:pivotFmt>
      <c:pivotFmt>
        <c:idx val="1270"/>
        <c:spPr>
          <a:solidFill>
            <a:schemeClr val="accent1"/>
          </a:solidFill>
          <a:ln w="19050">
            <a:solidFill>
              <a:schemeClr val="lt1"/>
            </a:solidFill>
          </a:ln>
          <a:effectLst/>
        </c:spPr>
      </c:pivotFmt>
      <c:pivotFmt>
        <c:idx val="1271"/>
        <c:spPr>
          <a:solidFill>
            <a:schemeClr val="accent1"/>
          </a:solidFill>
          <a:ln w="19050">
            <a:solidFill>
              <a:schemeClr val="lt1"/>
            </a:solidFill>
          </a:ln>
          <a:effectLst/>
        </c:spPr>
      </c:pivotFmt>
      <c:pivotFmt>
        <c:idx val="1272"/>
        <c:spPr>
          <a:solidFill>
            <a:schemeClr val="accent1"/>
          </a:solidFill>
          <a:ln w="19050">
            <a:solidFill>
              <a:schemeClr val="lt1"/>
            </a:solidFill>
          </a:ln>
          <a:effectLst/>
        </c:spPr>
      </c:pivotFmt>
      <c:pivotFmt>
        <c:idx val="1273"/>
        <c:spPr>
          <a:solidFill>
            <a:schemeClr val="accent1"/>
          </a:solidFill>
          <a:ln w="19050">
            <a:solidFill>
              <a:schemeClr val="lt1"/>
            </a:solidFill>
          </a:ln>
          <a:effectLst/>
        </c:spPr>
      </c:pivotFmt>
      <c:pivotFmt>
        <c:idx val="1274"/>
        <c:spPr>
          <a:solidFill>
            <a:schemeClr val="accent1"/>
          </a:solidFill>
          <a:ln w="19050">
            <a:solidFill>
              <a:schemeClr val="lt1"/>
            </a:solidFill>
          </a:ln>
          <a:effectLst/>
        </c:spPr>
      </c:pivotFmt>
      <c:pivotFmt>
        <c:idx val="1275"/>
        <c:spPr>
          <a:solidFill>
            <a:schemeClr val="accent1"/>
          </a:solidFill>
          <a:ln w="19050">
            <a:solidFill>
              <a:schemeClr val="lt1"/>
            </a:solidFill>
          </a:ln>
          <a:effectLst/>
        </c:spPr>
      </c:pivotFmt>
      <c:pivotFmt>
        <c:idx val="1276"/>
        <c:spPr>
          <a:solidFill>
            <a:schemeClr val="accent1"/>
          </a:solidFill>
          <a:ln w="19050">
            <a:solidFill>
              <a:schemeClr val="lt1"/>
            </a:solidFill>
          </a:ln>
          <a:effectLst/>
        </c:spPr>
      </c:pivotFmt>
      <c:pivotFmt>
        <c:idx val="1277"/>
        <c:spPr>
          <a:solidFill>
            <a:schemeClr val="accent1"/>
          </a:solidFill>
          <a:ln w="19050">
            <a:solidFill>
              <a:schemeClr val="lt1"/>
            </a:solidFill>
          </a:ln>
          <a:effectLst/>
        </c:spPr>
      </c:pivotFmt>
      <c:pivotFmt>
        <c:idx val="1278"/>
        <c:spPr>
          <a:solidFill>
            <a:schemeClr val="accent1"/>
          </a:solidFill>
          <a:ln w="19050">
            <a:solidFill>
              <a:schemeClr val="lt1"/>
            </a:solidFill>
          </a:ln>
          <a:effectLst/>
        </c:spPr>
      </c:pivotFmt>
      <c:pivotFmt>
        <c:idx val="1279"/>
        <c:spPr>
          <a:solidFill>
            <a:schemeClr val="accent1"/>
          </a:solidFill>
          <a:ln w="19050">
            <a:solidFill>
              <a:schemeClr val="lt1"/>
            </a:solidFill>
          </a:ln>
          <a:effectLst/>
        </c:spPr>
      </c:pivotFmt>
      <c:pivotFmt>
        <c:idx val="1280"/>
        <c:spPr>
          <a:solidFill>
            <a:schemeClr val="accent1"/>
          </a:solidFill>
          <a:ln w="19050">
            <a:solidFill>
              <a:schemeClr val="lt1"/>
            </a:solidFill>
          </a:ln>
          <a:effectLst/>
        </c:spPr>
      </c:pivotFmt>
      <c:pivotFmt>
        <c:idx val="1281"/>
        <c:spPr>
          <a:solidFill>
            <a:schemeClr val="accent1"/>
          </a:solidFill>
          <a:ln w="19050">
            <a:solidFill>
              <a:schemeClr val="lt1"/>
            </a:solidFill>
          </a:ln>
          <a:effectLst/>
        </c:spPr>
      </c:pivotFmt>
      <c:pivotFmt>
        <c:idx val="1282"/>
        <c:spPr>
          <a:solidFill>
            <a:schemeClr val="accent1"/>
          </a:solidFill>
          <a:ln w="19050">
            <a:solidFill>
              <a:schemeClr val="lt1"/>
            </a:solidFill>
          </a:ln>
          <a:effectLst/>
        </c:spPr>
      </c:pivotFmt>
      <c:pivotFmt>
        <c:idx val="1283"/>
        <c:spPr>
          <a:solidFill>
            <a:schemeClr val="accent1"/>
          </a:solidFill>
          <a:ln w="19050">
            <a:solidFill>
              <a:schemeClr val="lt1"/>
            </a:solidFill>
          </a:ln>
          <a:effectLst/>
        </c:spPr>
      </c:pivotFmt>
      <c:pivotFmt>
        <c:idx val="1284"/>
        <c:spPr>
          <a:solidFill>
            <a:schemeClr val="accent1"/>
          </a:solidFill>
          <a:ln w="19050">
            <a:solidFill>
              <a:schemeClr val="lt1"/>
            </a:solidFill>
          </a:ln>
          <a:effectLst/>
        </c:spPr>
      </c:pivotFmt>
      <c:pivotFmt>
        <c:idx val="1285"/>
        <c:spPr>
          <a:solidFill>
            <a:schemeClr val="accent1"/>
          </a:solidFill>
          <a:ln w="19050">
            <a:solidFill>
              <a:schemeClr val="lt1"/>
            </a:solidFill>
          </a:ln>
          <a:effectLst/>
        </c:spPr>
      </c:pivotFmt>
      <c:pivotFmt>
        <c:idx val="1286"/>
        <c:spPr>
          <a:solidFill>
            <a:schemeClr val="accent1"/>
          </a:solidFill>
          <a:ln w="19050">
            <a:solidFill>
              <a:schemeClr val="lt1"/>
            </a:solidFill>
          </a:ln>
          <a:effectLst/>
        </c:spPr>
      </c:pivotFmt>
      <c:pivotFmt>
        <c:idx val="1287"/>
        <c:spPr>
          <a:solidFill>
            <a:schemeClr val="accent1"/>
          </a:solidFill>
          <a:ln w="19050">
            <a:solidFill>
              <a:schemeClr val="lt1"/>
            </a:solidFill>
          </a:ln>
          <a:effectLst/>
        </c:spPr>
      </c:pivotFmt>
      <c:pivotFmt>
        <c:idx val="1288"/>
        <c:spPr>
          <a:solidFill>
            <a:schemeClr val="accent1"/>
          </a:solidFill>
          <a:ln w="19050">
            <a:solidFill>
              <a:schemeClr val="lt1"/>
            </a:solidFill>
          </a:ln>
          <a:effectLst/>
        </c:spPr>
      </c:pivotFmt>
      <c:pivotFmt>
        <c:idx val="1289"/>
        <c:spPr>
          <a:solidFill>
            <a:schemeClr val="accent1"/>
          </a:solidFill>
          <a:ln w="19050">
            <a:solidFill>
              <a:schemeClr val="lt1"/>
            </a:solidFill>
          </a:ln>
          <a:effectLst/>
        </c:spPr>
      </c:pivotFmt>
      <c:pivotFmt>
        <c:idx val="1290"/>
        <c:spPr>
          <a:solidFill>
            <a:schemeClr val="accent1"/>
          </a:solidFill>
          <a:ln w="19050">
            <a:solidFill>
              <a:schemeClr val="lt1"/>
            </a:solidFill>
          </a:ln>
          <a:effectLst/>
        </c:spPr>
      </c:pivotFmt>
      <c:pivotFmt>
        <c:idx val="1291"/>
        <c:spPr>
          <a:solidFill>
            <a:schemeClr val="accent1"/>
          </a:solidFill>
          <a:ln w="19050">
            <a:solidFill>
              <a:schemeClr val="lt1"/>
            </a:solidFill>
          </a:ln>
          <a:effectLst/>
        </c:spPr>
      </c:pivotFmt>
      <c:pivotFmt>
        <c:idx val="1292"/>
        <c:spPr>
          <a:solidFill>
            <a:schemeClr val="accent1"/>
          </a:solidFill>
          <a:ln w="19050">
            <a:solidFill>
              <a:schemeClr val="lt1"/>
            </a:solidFill>
          </a:ln>
          <a:effectLst/>
        </c:spPr>
      </c:pivotFmt>
      <c:pivotFmt>
        <c:idx val="1293"/>
        <c:spPr>
          <a:solidFill>
            <a:schemeClr val="accent1"/>
          </a:solidFill>
          <a:ln w="19050">
            <a:solidFill>
              <a:schemeClr val="lt1"/>
            </a:solidFill>
          </a:ln>
          <a:effectLst/>
        </c:spPr>
      </c:pivotFmt>
      <c:pivotFmt>
        <c:idx val="1294"/>
        <c:spPr>
          <a:solidFill>
            <a:schemeClr val="accent1"/>
          </a:solidFill>
          <a:ln w="19050">
            <a:solidFill>
              <a:schemeClr val="lt1"/>
            </a:solidFill>
          </a:ln>
          <a:effectLst/>
        </c:spPr>
      </c:pivotFmt>
      <c:pivotFmt>
        <c:idx val="1295"/>
        <c:spPr>
          <a:solidFill>
            <a:schemeClr val="accent1"/>
          </a:solidFill>
          <a:ln w="19050">
            <a:solidFill>
              <a:schemeClr val="lt1"/>
            </a:solidFill>
          </a:ln>
          <a:effectLst/>
        </c:spPr>
      </c:pivotFmt>
      <c:pivotFmt>
        <c:idx val="1296"/>
        <c:spPr>
          <a:solidFill>
            <a:schemeClr val="accent1"/>
          </a:solidFill>
          <a:ln w="19050">
            <a:solidFill>
              <a:schemeClr val="lt1"/>
            </a:solidFill>
          </a:ln>
          <a:effectLst/>
        </c:spPr>
      </c:pivotFmt>
      <c:pivotFmt>
        <c:idx val="1297"/>
        <c:spPr>
          <a:solidFill>
            <a:schemeClr val="accent1"/>
          </a:solidFill>
          <a:ln w="19050">
            <a:solidFill>
              <a:schemeClr val="lt1"/>
            </a:solidFill>
          </a:ln>
          <a:effectLst/>
        </c:spPr>
      </c:pivotFmt>
      <c:pivotFmt>
        <c:idx val="1298"/>
        <c:spPr>
          <a:solidFill>
            <a:schemeClr val="accent1"/>
          </a:solidFill>
          <a:ln w="19050">
            <a:solidFill>
              <a:schemeClr val="lt1"/>
            </a:solidFill>
          </a:ln>
          <a:effectLst/>
        </c:spPr>
      </c:pivotFmt>
      <c:pivotFmt>
        <c:idx val="1299"/>
        <c:spPr>
          <a:solidFill>
            <a:schemeClr val="accent1"/>
          </a:solidFill>
          <a:ln w="19050">
            <a:solidFill>
              <a:schemeClr val="lt1"/>
            </a:solidFill>
          </a:ln>
          <a:effectLst/>
        </c:spPr>
      </c:pivotFmt>
      <c:pivotFmt>
        <c:idx val="1300"/>
        <c:spPr>
          <a:solidFill>
            <a:schemeClr val="accent1"/>
          </a:solidFill>
          <a:ln w="19050">
            <a:solidFill>
              <a:schemeClr val="lt1"/>
            </a:solidFill>
          </a:ln>
          <a:effectLst/>
        </c:spPr>
      </c:pivotFmt>
      <c:pivotFmt>
        <c:idx val="1301"/>
        <c:spPr>
          <a:solidFill>
            <a:schemeClr val="accent1"/>
          </a:solidFill>
          <a:ln w="19050">
            <a:solidFill>
              <a:schemeClr val="lt1"/>
            </a:solidFill>
          </a:ln>
          <a:effectLst/>
        </c:spPr>
      </c:pivotFmt>
      <c:pivotFmt>
        <c:idx val="1302"/>
        <c:spPr>
          <a:solidFill>
            <a:schemeClr val="accent1"/>
          </a:solidFill>
          <a:ln w="19050">
            <a:solidFill>
              <a:schemeClr val="lt1"/>
            </a:solidFill>
          </a:ln>
          <a:effectLst/>
        </c:spPr>
      </c:pivotFmt>
      <c:pivotFmt>
        <c:idx val="1303"/>
        <c:spPr>
          <a:solidFill>
            <a:schemeClr val="accent1"/>
          </a:solidFill>
          <a:ln w="19050">
            <a:solidFill>
              <a:schemeClr val="lt1"/>
            </a:solidFill>
          </a:ln>
          <a:effectLst/>
        </c:spPr>
      </c:pivotFmt>
      <c:pivotFmt>
        <c:idx val="1304"/>
        <c:spPr>
          <a:solidFill>
            <a:schemeClr val="accent1"/>
          </a:solidFill>
          <a:ln w="19050">
            <a:solidFill>
              <a:schemeClr val="lt1"/>
            </a:solidFill>
          </a:ln>
          <a:effectLst/>
        </c:spPr>
      </c:pivotFmt>
      <c:pivotFmt>
        <c:idx val="1305"/>
        <c:spPr>
          <a:solidFill>
            <a:schemeClr val="accent1"/>
          </a:solidFill>
          <a:ln w="19050">
            <a:solidFill>
              <a:schemeClr val="lt1"/>
            </a:solidFill>
          </a:ln>
          <a:effectLst/>
        </c:spPr>
      </c:pivotFmt>
      <c:pivotFmt>
        <c:idx val="1306"/>
        <c:spPr>
          <a:solidFill>
            <a:schemeClr val="accent1"/>
          </a:solidFill>
          <a:ln w="19050">
            <a:solidFill>
              <a:schemeClr val="lt1"/>
            </a:solidFill>
          </a:ln>
          <a:effectLst/>
        </c:spPr>
      </c:pivotFmt>
      <c:pivotFmt>
        <c:idx val="1307"/>
        <c:spPr>
          <a:solidFill>
            <a:schemeClr val="accent1"/>
          </a:solidFill>
          <a:ln w="19050">
            <a:solidFill>
              <a:schemeClr val="lt1"/>
            </a:solidFill>
          </a:ln>
          <a:effectLst/>
        </c:spPr>
      </c:pivotFmt>
      <c:pivotFmt>
        <c:idx val="1308"/>
        <c:spPr>
          <a:solidFill>
            <a:schemeClr val="accent1"/>
          </a:solidFill>
          <a:ln w="19050">
            <a:solidFill>
              <a:schemeClr val="lt1"/>
            </a:solidFill>
          </a:ln>
          <a:effectLst/>
        </c:spPr>
      </c:pivotFmt>
      <c:pivotFmt>
        <c:idx val="1309"/>
        <c:spPr>
          <a:solidFill>
            <a:schemeClr val="accent1"/>
          </a:solidFill>
          <a:ln w="19050">
            <a:solidFill>
              <a:schemeClr val="lt1"/>
            </a:solidFill>
          </a:ln>
          <a:effectLst/>
        </c:spPr>
      </c:pivotFmt>
      <c:pivotFmt>
        <c:idx val="1310"/>
        <c:spPr>
          <a:solidFill>
            <a:schemeClr val="accent1"/>
          </a:solidFill>
          <a:ln w="19050">
            <a:solidFill>
              <a:schemeClr val="lt1"/>
            </a:solidFill>
          </a:ln>
          <a:effectLst/>
        </c:spPr>
      </c:pivotFmt>
      <c:pivotFmt>
        <c:idx val="1311"/>
        <c:spPr>
          <a:solidFill>
            <a:schemeClr val="accent1"/>
          </a:solidFill>
          <a:ln w="19050">
            <a:solidFill>
              <a:schemeClr val="lt1"/>
            </a:solidFill>
          </a:ln>
          <a:effectLst/>
        </c:spPr>
      </c:pivotFmt>
      <c:pivotFmt>
        <c:idx val="1312"/>
        <c:spPr>
          <a:solidFill>
            <a:schemeClr val="accent1"/>
          </a:solidFill>
          <a:ln w="19050">
            <a:solidFill>
              <a:schemeClr val="lt1"/>
            </a:solidFill>
          </a:ln>
          <a:effectLst/>
        </c:spPr>
      </c:pivotFmt>
      <c:pivotFmt>
        <c:idx val="1313"/>
        <c:spPr>
          <a:solidFill>
            <a:schemeClr val="accent1"/>
          </a:solidFill>
          <a:ln w="19050">
            <a:solidFill>
              <a:schemeClr val="lt1"/>
            </a:solidFill>
          </a:ln>
          <a:effectLst/>
        </c:spPr>
      </c:pivotFmt>
      <c:pivotFmt>
        <c:idx val="1314"/>
        <c:spPr>
          <a:solidFill>
            <a:schemeClr val="accent1"/>
          </a:solidFill>
          <a:ln w="19050">
            <a:solidFill>
              <a:schemeClr val="lt1"/>
            </a:solidFill>
          </a:ln>
          <a:effectLst/>
        </c:spPr>
      </c:pivotFmt>
      <c:pivotFmt>
        <c:idx val="1315"/>
        <c:spPr>
          <a:solidFill>
            <a:schemeClr val="accent1"/>
          </a:solidFill>
          <a:ln w="19050">
            <a:solidFill>
              <a:schemeClr val="lt1"/>
            </a:solidFill>
          </a:ln>
          <a:effectLst/>
        </c:spPr>
      </c:pivotFmt>
      <c:pivotFmt>
        <c:idx val="1316"/>
        <c:spPr>
          <a:solidFill>
            <a:schemeClr val="accent1"/>
          </a:solidFill>
          <a:ln w="19050">
            <a:solidFill>
              <a:schemeClr val="lt1"/>
            </a:solidFill>
          </a:ln>
          <a:effectLst/>
        </c:spPr>
      </c:pivotFmt>
      <c:pivotFmt>
        <c:idx val="1317"/>
        <c:spPr>
          <a:solidFill>
            <a:schemeClr val="accent1"/>
          </a:solidFill>
          <a:ln w="19050">
            <a:solidFill>
              <a:schemeClr val="lt1"/>
            </a:solidFill>
          </a:ln>
          <a:effectLst/>
        </c:spPr>
      </c:pivotFmt>
      <c:pivotFmt>
        <c:idx val="1318"/>
        <c:spPr>
          <a:solidFill>
            <a:schemeClr val="accent1"/>
          </a:solidFill>
          <a:ln w="19050">
            <a:solidFill>
              <a:schemeClr val="lt1"/>
            </a:solidFill>
          </a:ln>
          <a:effectLst/>
        </c:spPr>
      </c:pivotFmt>
      <c:pivotFmt>
        <c:idx val="1319"/>
        <c:spPr>
          <a:solidFill>
            <a:schemeClr val="accent1"/>
          </a:solidFill>
          <a:ln w="19050">
            <a:solidFill>
              <a:schemeClr val="lt1"/>
            </a:solidFill>
          </a:ln>
          <a:effectLst/>
        </c:spPr>
      </c:pivotFmt>
      <c:pivotFmt>
        <c:idx val="1320"/>
        <c:spPr>
          <a:solidFill>
            <a:schemeClr val="accent1"/>
          </a:solidFill>
          <a:ln w="19050">
            <a:solidFill>
              <a:schemeClr val="lt1"/>
            </a:solidFill>
          </a:ln>
          <a:effectLst/>
        </c:spPr>
      </c:pivotFmt>
      <c:pivotFmt>
        <c:idx val="1321"/>
        <c:spPr>
          <a:solidFill>
            <a:schemeClr val="accent1"/>
          </a:solidFill>
          <a:ln w="19050">
            <a:solidFill>
              <a:schemeClr val="lt1"/>
            </a:solidFill>
          </a:ln>
          <a:effectLst/>
        </c:spPr>
      </c:pivotFmt>
      <c:pivotFmt>
        <c:idx val="1322"/>
        <c:spPr>
          <a:solidFill>
            <a:schemeClr val="accent1"/>
          </a:solidFill>
          <a:ln w="19050">
            <a:solidFill>
              <a:schemeClr val="lt1"/>
            </a:solidFill>
          </a:ln>
          <a:effectLst/>
        </c:spPr>
      </c:pivotFmt>
      <c:pivotFmt>
        <c:idx val="1323"/>
        <c:spPr>
          <a:solidFill>
            <a:schemeClr val="accent1"/>
          </a:solidFill>
          <a:ln w="19050">
            <a:solidFill>
              <a:schemeClr val="lt1"/>
            </a:solidFill>
          </a:ln>
          <a:effectLst/>
        </c:spPr>
      </c:pivotFmt>
      <c:pivotFmt>
        <c:idx val="1324"/>
        <c:spPr>
          <a:solidFill>
            <a:schemeClr val="accent1"/>
          </a:solidFill>
          <a:ln w="19050">
            <a:solidFill>
              <a:schemeClr val="lt1"/>
            </a:solidFill>
          </a:ln>
          <a:effectLst/>
        </c:spPr>
      </c:pivotFmt>
      <c:pivotFmt>
        <c:idx val="1325"/>
        <c:spPr>
          <a:solidFill>
            <a:schemeClr val="accent1"/>
          </a:solidFill>
          <a:ln w="19050">
            <a:solidFill>
              <a:schemeClr val="lt1"/>
            </a:solidFill>
          </a:ln>
          <a:effectLst/>
        </c:spPr>
      </c:pivotFmt>
      <c:pivotFmt>
        <c:idx val="1326"/>
        <c:spPr>
          <a:solidFill>
            <a:schemeClr val="accent1"/>
          </a:solidFill>
          <a:ln w="19050">
            <a:solidFill>
              <a:schemeClr val="lt1"/>
            </a:solidFill>
          </a:ln>
          <a:effectLst/>
        </c:spPr>
      </c:pivotFmt>
      <c:pivotFmt>
        <c:idx val="1327"/>
        <c:spPr>
          <a:solidFill>
            <a:schemeClr val="accent1"/>
          </a:solidFill>
          <a:ln w="19050">
            <a:solidFill>
              <a:schemeClr val="lt1"/>
            </a:solidFill>
          </a:ln>
          <a:effectLst/>
        </c:spPr>
      </c:pivotFmt>
      <c:pivotFmt>
        <c:idx val="1328"/>
        <c:spPr>
          <a:solidFill>
            <a:schemeClr val="accent1"/>
          </a:solidFill>
          <a:ln w="19050">
            <a:solidFill>
              <a:schemeClr val="lt1"/>
            </a:solidFill>
          </a:ln>
          <a:effectLst/>
        </c:spPr>
      </c:pivotFmt>
      <c:pivotFmt>
        <c:idx val="1329"/>
        <c:spPr>
          <a:solidFill>
            <a:schemeClr val="accent1"/>
          </a:solidFill>
          <a:ln w="19050">
            <a:solidFill>
              <a:schemeClr val="lt1"/>
            </a:solidFill>
          </a:ln>
          <a:effectLst/>
        </c:spPr>
      </c:pivotFmt>
      <c:pivotFmt>
        <c:idx val="1330"/>
        <c:spPr>
          <a:solidFill>
            <a:schemeClr val="accent1"/>
          </a:solidFill>
          <a:ln w="19050">
            <a:solidFill>
              <a:schemeClr val="lt1"/>
            </a:solidFill>
          </a:ln>
          <a:effectLst/>
        </c:spPr>
      </c:pivotFmt>
      <c:pivotFmt>
        <c:idx val="1331"/>
        <c:spPr>
          <a:solidFill>
            <a:schemeClr val="accent1"/>
          </a:solidFill>
          <a:ln w="19050">
            <a:solidFill>
              <a:schemeClr val="lt1"/>
            </a:solidFill>
          </a:ln>
          <a:effectLst/>
        </c:spPr>
      </c:pivotFmt>
      <c:pivotFmt>
        <c:idx val="1332"/>
        <c:spPr>
          <a:solidFill>
            <a:schemeClr val="accent1"/>
          </a:solidFill>
          <a:ln w="19050">
            <a:solidFill>
              <a:schemeClr val="lt1"/>
            </a:solidFill>
          </a:ln>
          <a:effectLst/>
        </c:spPr>
      </c:pivotFmt>
      <c:pivotFmt>
        <c:idx val="1333"/>
        <c:spPr>
          <a:solidFill>
            <a:schemeClr val="accent1"/>
          </a:solidFill>
          <a:ln w="19050">
            <a:solidFill>
              <a:schemeClr val="lt1"/>
            </a:solidFill>
          </a:ln>
          <a:effectLst/>
        </c:spPr>
      </c:pivotFmt>
      <c:pivotFmt>
        <c:idx val="1334"/>
        <c:spPr>
          <a:solidFill>
            <a:schemeClr val="accent1"/>
          </a:solidFill>
          <a:ln w="19050">
            <a:solidFill>
              <a:schemeClr val="lt1"/>
            </a:solidFill>
          </a:ln>
          <a:effectLst/>
        </c:spPr>
      </c:pivotFmt>
      <c:pivotFmt>
        <c:idx val="1335"/>
        <c:spPr>
          <a:solidFill>
            <a:schemeClr val="accent1"/>
          </a:solidFill>
          <a:ln w="19050">
            <a:solidFill>
              <a:schemeClr val="lt1"/>
            </a:solidFill>
          </a:ln>
          <a:effectLst/>
        </c:spPr>
      </c:pivotFmt>
      <c:pivotFmt>
        <c:idx val="1336"/>
        <c:spPr>
          <a:solidFill>
            <a:schemeClr val="accent1"/>
          </a:solidFill>
          <a:ln w="19050">
            <a:solidFill>
              <a:schemeClr val="lt1"/>
            </a:solidFill>
          </a:ln>
          <a:effectLst/>
        </c:spPr>
      </c:pivotFmt>
      <c:pivotFmt>
        <c:idx val="1337"/>
        <c:spPr>
          <a:solidFill>
            <a:schemeClr val="accent1"/>
          </a:solidFill>
          <a:ln w="19050">
            <a:solidFill>
              <a:schemeClr val="lt1"/>
            </a:solidFill>
          </a:ln>
          <a:effectLst/>
        </c:spPr>
      </c:pivotFmt>
      <c:pivotFmt>
        <c:idx val="1338"/>
        <c:spPr>
          <a:solidFill>
            <a:schemeClr val="accent1"/>
          </a:solidFill>
          <a:ln w="19050">
            <a:solidFill>
              <a:schemeClr val="lt1"/>
            </a:solidFill>
          </a:ln>
          <a:effectLst/>
        </c:spPr>
      </c:pivotFmt>
      <c:pivotFmt>
        <c:idx val="1339"/>
        <c:spPr>
          <a:solidFill>
            <a:schemeClr val="accent1"/>
          </a:solidFill>
          <a:ln w="19050">
            <a:solidFill>
              <a:schemeClr val="lt1"/>
            </a:solidFill>
          </a:ln>
          <a:effectLst/>
        </c:spPr>
      </c:pivotFmt>
      <c:pivotFmt>
        <c:idx val="1340"/>
        <c:spPr>
          <a:solidFill>
            <a:schemeClr val="accent1"/>
          </a:solidFill>
          <a:ln w="19050">
            <a:solidFill>
              <a:schemeClr val="lt1"/>
            </a:solidFill>
          </a:ln>
          <a:effectLst/>
        </c:spPr>
      </c:pivotFmt>
      <c:pivotFmt>
        <c:idx val="1341"/>
        <c:spPr>
          <a:solidFill>
            <a:schemeClr val="accent1"/>
          </a:solidFill>
          <a:ln w="19050">
            <a:solidFill>
              <a:schemeClr val="lt1"/>
            </a:solidFill>
          </a:ln>
          <a:effectLst/>
        </c:spPr>
      </c:pivotFmt>
      <c:pivotFmt>
        <c:idx val="1342"/>
        <c:spPr>
          <a:solidFill>
            <a:schemeClr val="accent1"/>
          </a:solidFill>
          <a:ln w="19050">
            <a:solidFill>
              <a:schemeClr val="lt1"/>
            </a:solidFill>
          </a:ln>
          <a:effectLst/>
        </c:spPr>
      </c:pivotFmt>
      <c:pivotFmt>
        <c:idx val="1343"/>
        <c:spPr>
          <a:solidFill>
            <a:schemeClr val="accent1"/>
          </a:solidFill>
          <a:ln w="19050">
            <a:solidFill>
              <a:schemeClr val="lt1"/>
            </a:solidFill>
          </a:ln>
          <a:effectLst/>
        </c:spPr>
      </c:pivotFmt>
      <c:pivotFmt>
        <c:idx val="1344"/>
        <c:spPr>
          <a:solidFill>
            <a:schemeClr val="accent1"/>
          </a:solidFill>
          <a:ln w="19050">
            <a:solidFill>
              <a:schemeClr val="lt1"/>
            </a:solidFill>
          </a:ln>
          <a:effectLst/>
        </c:spPr>
      </c:pivotFmt>
      <c:pivotFmt>
        <c:idx val="1345"/>
        <c:spPr>
          <a:solidFill>
            <a:schemeClr val="accent1"/>
          </a:solidFill>
          <a:ln w="19050">
            <a:solidFill>
              <a:schemeClr val="lt1"/>
            </a:solidFill>
          </a:ln>
          <a:effectLst/>
        </c:spPr>
      </c:pivotFmt>
      <c:pivotFmt>
        <c:idx val="1346"/>
        <c:spPr>
          <a:solidFill>
            <a:schemeClr val="accent1"/>
          </a:solidFill>
          <a:ln w="19050">
            <a:solidFill>
              <a:schemeClr val="lt1"/>
            </a:solidFill>
          </a:ln>
          <a:effectLst/>
        </c:spPr>
      </c:pivotFmt>
      <c:pivotFmt>
        <c:idx val="1347"/>
        <c:spPr>
          <a:solidFill>
            <a:schemeClr val="accent1"/>
          </a:solidFill>
          <a:ln w="19050">
            <a:solidFill>
              <a:schemeClr val="lt1"/>
            </a:solidFill>
          </a:ln>
          <a:effectLst/>
        </c:spPr>
      </c:pivotFmt>
      <c:pivotFmt>
        <c:idx val="1348"/>
        <c:spPr>
          <a:solidFill>
            <a:schemeClr val="accent1"/>
          </a:solidFill>
          <a:ln w="19050">
            <a:solidFill>
              <a:schemeClr val="lt1"/>
            </a:solidFill>
          </a:ln>
          <a:effectLst/>
        </c:spPr>
      </c:pivotFmt>
      <c:pivotFmt>
        <c:idx val="1349"/>
        <c:spPr>
          <a:solidFill>
            <a:schemeClr val="accent1"/>
          </a:solidFill>
          <a:ln w="19050">
            <a:solidFill>
              <a:schemeClr val="lt1"/>
            </a:solidFill>
          </a:ln>
          <a:effectLst/>
        </c:spPr>
      </c:pivotFmt>
      <c:pivotFmt>
        <c:idx val="1350"/>
        <c:spPr>
          <a:solidFill>
            <a:schemeClr val="accent1"/>
          </a:solidFill>
          <a:ln w="19050">
            <a:solidFill>
              <a:schemeClr val="lt1"/>
            </a:solidFill>
          </a:ln>
          <a:effectLst/>
        </c:spPr>
      </c:pivotFmt>
      <c:pivotFmt>
        <c:idx val="1351"/>
        <c:spPr>
          <a:solidFill>
            <a:schemeClr val="accent1"/>
          </a:solidFill>
          <a:ln w="19050">
            <a:solidFill>
              <a:schemeClr val="lt1"/>
            </a:solidFill>
          </a:ln>
          <a:effectLst/>
        </c:spPr>
      </c:pivotFmt>
      <c:pivotFmt>
        <c:idx val="1352"/>
        <c:spPr>
          <a:solidFill>
            <a:schemeClr val="accent1"/>
          </a:solidFill>
          <a:ln w="19050">
            <a:solidFill>
              <a:schemeClr val="lt1"/>
            </a:solidFill>
          </a:ln>
          <a:effectLst/>
        </c:spPr>
      </c:pivotFmt>
      <c:pivotFmt>
        <c:idx val="1353"/>
        <c:spPr>
          <a:solidFill>
            <a:schemeClr val="accent1"/>
          </a:solidFill>
          <a:ln w="19050">
            <a:solidFill>
              <a:schemeClr val="lt1"/>
            </a:solidFill>
          </a:ln>
          <a:effectLst/>
        </c:spPr>
      </c:pivotFmt>
      <c:pivotFmt>
        <c:idx val="1354"/>
        <c:spPr>
          <a:solidFill>
            <a:schemeClr val="accent1"/>
          </a:solidFill>
          <a:ln w="19050">
            <a:solidFill>
              <a:schemeClr val="lt1"/>
            </a:solidFill>
          </a:ln>
          <a:effectLst/>
        </c:spPr>
      </c:pivotFmt>
      <c:pivotFmt>
        <c:idx val="1355"/>
        <c:spPr>
          <a:solidFill>
            <a:schemeClr val="accent1"/>
          </a:solidFill>
          <a:ln w="19050">
            <a:solidFill>
              <a:schemeClr val="lt1"/>
            </a:solidFill>
          </a:ln>
          <a:effectLst/>
        </c:spPr>
      </c:pivotFmt>
      <c:pivotFmt>
        <c:idx val="1356"/>
        <c:spPr>
          <a:solidFill>
            <a:schemeClr val="accent1"/>
          </a:solidFill>
          <a:ln w="19050">
            <a:solidFill>
              <a:schemeClr val="lt1"/>
            </a:solidFill>
          </a:ln>
          <a:effectLst/>
        </c:spPr>
      </c:pivotFmt>
      <c:pivotFmt>
        <c:idx val="1357"/>
        <c:spPr>
          <a:solidFill>
            <a:schemeClr val="accent1"/>
          </a:solidFill>
          <a:ln w="19050">
            <a:solidFill>
              <a:schemeClr val="lt1"/>
            </a:solidFill>
          </a:ln>
          <a:effectLst/>
        </c:spPr>
      </c:pivotFmt>
      <c:pivotFmt>
        <c:idx val="1358"/>
        <c:spPr>
          <a:solidFill>
            <a:schemeClr val="accent1"/>
          </a:solidFill>
          <a:ln w="19050">
            <a:solidFill>
              <a:schemeClr val="lt1"/>
            </a:solidFill>
          </a:ln>
          <a:effectLst/>
        </c:spPr>
      </c:pivotFmt>
      <c:pivotFmt>
        <c:idx val="1359"/>
        <c:spPr>
          <a:solidFill>
            <a:schemeClr val="accent1"/>
          </a:solidFill>
          <a:ln w="19050">
            <a:solidFill>
              <a:schemeClr val="lt1"/>
            </a:solidFill>
          </a:ln>
          <a:effectLst/>
        </c:spPr>
      </c:pivotFmt>
      <c:pivotFmt>
        <c:idx val="1360"/>
        <c:spPr>
          <a:solidFill>
            <a:schemeClr val="accent1"/>
          </a:solidFill>
          <a:ln w="19050">
            <a:solidFill>
              <a:schemeClr val="lt1"/>
            </a:solidFill>
          </a:ln>
          <a:effectLst/>
        </c:spPr>
      </c:pivotFmt>
      <c:pivotFmt>
        <c:idx val="1361"/>
        <c:spPr>
          <a:solidFill>
            <a:schemeClr val="accent1"/>
          </a:solidFill>
          <a:ln w="19050">
            <a:solidFill>
              <a:schemeClr val="lt1"/>
            </a:solidFill>
          </a:ln>
          <a:effectLst/>
        </c:spPr>
      </c:pivotFmt>
      <c:pivotFmt>
        <c:idx val="1362"/>
        <c:spPr>
          <a:solidFill>
            <a:schemeClr val="accent1"/>
          </a:solidFill>
          <a:ln w="19050">
            <a:solidFill>
              <a:schemeClr val="lt1"/>
            </a:solidFill>
          </a:ln>
          <a:effectLst/>
        </c:spPr>
      </c:pivotFmt>
      <c:pivotFmt>
        <c:idx val="1363"/>
        <c:spPr>
          <a:solidFill>
            <a:schemeClr val="accent1"/>
          </a:solidFill>
          <a:ln w="19050">
            <a:solidFill>
              <a:schemeClr val="lt1"/>
            </a:solidFill>
          </a:ln>
          <a:effectLst/>
        </c:spPr>
      </c:pivotFmt>
      <c:pivotFmt>
        <c:idx val="1364"/>
        <c:spPr>
          <a:solidFill>
            <a:schemeClr val="accent1"/>
          </a:solidFill>
          <a:ln w="19050">
            <a:solidFill>
              <a:schemeClr val="lt1"/>
            </a:solidFill>
          </a:ln>
          <a:effectLst/>
        </c:spPr>
      </c:pivotFmt>
      <c:pivotFmt>
        <c:idx val="1365"/>
        <c:spPr>
          <a:solidFill>
            <a:schemeClr val="accent1"/>
          </a:solidFill>
          <a:ln w="19050">
            <a:solidFill>
              <a:schemeClr val="lt1"/>
            </a:solidFill>
          </a:ln>
          <a:effectLst/>
        </c:spPr>
      </c:pivotFmt>
      <c:pivotFmt>
        <c:idx val="1366"/>
        <c:spPr>
          <a:solidFill>
            <a:schemeClr val="accent1"/>
          </a:solidFill>
          <a:ln w="19050">
            <a:solidFill>
              <a:schemeClr val="lt1"/>
            </a:solidFill>
          </a:ln>
          <a:effectLst/>
        </c:spPr>
      </c:pivotFmt>
      <c:pivotFmt>
        <c:idx val="1367"/>
        <c:spPr>
          <a:solidFill>
            <a:schemeClr val="accent1"/>
          </a:solidFill>
          <a:ln w="19050">
            <a:solidFill>
              <a:schemeClr val="lt1"/>
            </a:solidFill>
          </a:ln>
          <a:effectLst/>
        </c:spPr>
      </c:pivotFmt>
      <c:pivotFmt>
        <c:idx val="1368"/>
        <c:spPr>
          <a:solidFill>
            <a:schemeClr val="accent1"/>
          </a:solidFill>
          <a:ln w="19050">
            <a:solidFill>
              <a:schemeClr val="lt1"/>
            </a:solidFill>
          </a:ln>
          <a:effectLst/>
        </c:spPr>
      </c:pivotFmt>
      <c:pivotFmt>
        <c:idx val="1369"/>
        <c:spPr>
          <a:solidFill>
            <a:schemeClr val="accent1"/>
          </a:solidFill>
          <a:ln w="19050">
            <a:solidFill>
              <a:schemeClr val="lt1"/>
            </a:solidFill>
          </a:ln>
          <a:effectLst/>
        </c:spPr>
      </c:pivotFmt>
      <c:pivotFmt>
        <c:idx val="1370"/>
        <c:spPr>
          <a:solidFill>
            <a:schemeClr val="accent1"/>
          </a:solidFill>
          <a:ln w="19050">
            <a:solidFill>
              <a:schemeClr val="lt1"/>
            </a:solidFill>
          </a:ln>
          <a:effectLst/>
        </c:spPr>
      </c:pivotFmt>
      <c:pivotFmt>
        <c:idx val="1371"/>
        <c:spPr>
          <a:solidFill>
            <a:schemeClr val="accent1"/>
          </a:solidFill>
          <a:ln w="19050">
            <a:solidFill>
              <a:schemeClr val="lt1"/>
            </a:solidFill>
          </a:ln>
          <a:effectLst/>
        </c:spPr>
      </c:pivotFmt>
      <c:pivotFmt>
        <c:idx val="1372"/>
        <c:spPr>
          <a:solidFill>
            <a:schemeClr val="accent1"/>
          </a:solidFill>
          <a:ln w="19050">
            <a:solidFill>
              <a:schemeClr val="lt1"/>
            </a:solidFill>
          </a:ln>
          <a:effectLst/>
        </c:spPr>
      </c:pivotFmt>
      <c:pivotFmt>
        <c:idx val="1373"/>
        <c:spPr>
          <a:solidFill>
            <a:schemeClr val="accent1"/>
          </a:solidFill>
          <a:ln w="19050">
            <a:solidFill>
              <a:schemeClr val="lt1"/>
            </a:solidFill>
          </a:ln>
          <a:effectLst/>
        </c:spPr>
      </c:pivotFmt>
      <c:pivotFmt>
        <c:idx val="1374"/>
        <c:spPr>
          <a:solidFill>
            <a:schemeClr val="accent1"/>
          </a:solidFill>
          <a:ln w="19050">
            <a:solidFill>
              <a:schemeClr val="lt1"/>
            </a:solidFill>
          </a:ln>
          <a:effectLst/>
        </c:spPr>
      </c:pivotFmt>
      <c:pivotFmt>
        <c:idx val="1375"/>
        <c:spPr>
          <a:solidFill>
            <a:schemeClr val="accent1"/>
          </a:solidFill>
          <a:ln w="19050">
            <a:solidFill>
              <a:schemeClr val="lt1"/>
            </a:solidFill>
          </a:ln>
          <a:effectLst/>
        </c:spPr>
      </c:pivotFmt>
      <c:pivotFmt>
        <c:idx val="1376"/>
        <c:spPr>
          <a:solidFill>
            <a:schemeClr val="accent1"/>
          </a:solidFill>
          <a:ln w="19050">
            <a:solidFill>
              <a:schemeClr val="lt1"/>
            </a:solidFill>
          </a:ln>
          <a:effectLst/>
        </c:spPr>
      </c:pivotFmt>
      <c:pivotFmt>
        <c:idx val="1377"/>
        <c:spPr>
          <a:solidFill>
            <a:schemeClr val="accent1"/>
          </a:solidFill>
          <a:ln w="19050">
            <a:solidFill>
              <a:schemeClr val="lt1"/>
            </a:solidFill>
          </a:ln>
          <a:effectLst/>
        </c:spPr>
      </c:pivotFmt>
      <c:pivotFmt>
        <c:idx val="1378"/>
        <c:spPr>
          <a:solidFill>
            <a:schemeClr val="accent1"/>
          </a:solidFill>
          <a:ln w="19050">
            <a:solidFill>
              <a:schemeClr val="lt1"/>
            </a:solidFill>
          </a:ln>
          <a:effectLst/>
        </c:spPr>
      </c:pivotFmt>
      <c:pivotFmt>
        <c:idx val="1379"/>
        <c:spPr>
          <a:solidFill>
            <a:schemeClr val="accent1"/>
          </a:solidFill>
          <a:ln w="19050">
            <a:solidFill>
              <a:schemeClr val="lt1"/>
            </a:solidFill>
          </a:ln>
          <a:effectLst/>
        </c:spPr>
      </c:pivotFmt>
      <c:pivotFmt>
        <c:idx val="1380"/>
        <c:spPr>
          <a:solidFill>
            <a:schemeClr val="accent1"/>
          </a:solidFill>
          <a:ln w="19050">
            <a:solidFill>
              <a:schemeClr val="lt1"/>
            </a:solidFill>
          </a:ln>
          <a:effectLst/>
        </c:spPr>
      </c:pivotFmt>
      <c:pivotFmt>
        <c:idx val="1381"/>
        <c:spPr>
          <a:solidFill>
            <a:schemeClr val="accent1"/>
          </a:solidFill>
          <a:ln w="19050">
            <a:solidFill>
              <a:schemeClr val="lt1"/>
            </a:solidFill>
          </a:ln>
          <a:effectLst/>
        </c:spPr>
      </c:pivotFmt>
      <c:pivotFmt>
        <c:idx val="1382"/>
        <c:spPr>
          <a:solidFill>
            <a:schemeClr val="accent1"/>
          </a:solidFill>
          <a:ln w="19050">
            <a:solidFill>
              <a:schemeClr val="lt1"/>
            </a:solidFill>
          </a:ln>
          <a:effectLst/>
        </c:spPr>
      </c:pivotFmt>
      <c:pivotFmt>
        <c:idx val="1383"/>
        <c:spPr>
          <a:solidFill>
            <a:schemeClr val="accent1"/>
          </a:solidFill>
          <a:ln w="19050">
            <a:solidFill>
              <a:schemeClr val="lt1"/>
            </a:solidFill>
          </a:ln>
          <a:effectLst/>
        </c:spPr>
      </c:pivotFmt>
      <c:pivotFmt>
        <c:idx val="1384"/>
        <c:spPr>
          <a:solidFill>
            <a:schemeClr val="accent1"/>
          </a:solidFill>
          <a:ln w="19050">
            <a:solidFill>
              <a:schemeClr val="lt1"/>
            </a:solidFill>
          </a:ln>
          <a:effectLst/>
        </c:spPr>
      </c:pivotFmt>
      <c:pivotFmt>
        <c:idx val="1385"/>
        <c:spPr>
          <a:solidFill>
            <a:schemeClr val="accent1"/>
          </a:solidFill>
          <a:ln w="19050">
            <a:solidFill>
              <a:schemeClr val="lt1"/>
            </a:solidFill>
          </a:ln>
          <a:effectLst/>
        </c:spPr>
      </c:pivotFmt>
      <c:pivotFmt>
        <c:idx val="1386"/>
        <c:spPr>
          <a:solidFill>
            <a:schemeClr val="accent1"/>
          </a:solidFill>
          <a:ln w="19050">
            <a:solidFill>
              <a:schemeClr val="lt1"/>
            </a:solidFill>
          </a:ln>
          <a:effectLst/>
        </c:spPr>
      </c:pivotFmt>
      <c:pivotFmt>
        <c:idx val="1387"/>
        <c:spPr>
          <a:solidFill>
            <a:schemeClr val="accent1"/>
          </a:solidFill>
          <a:ln w="19050">
            <a:solidFill>
              <a:schemeClr val="lt1"/>
            </a:solidFill>
          </a:ln>
          <a:effectLst/>
        </c:spPr>
      </c:pivotFmt>
      <c:pivotFmt>
        <c:idx val="1388"/>
        <c:spPr>
          <a:solidFill>
            <a:schemeClr val="accent1"/>
          </a:solidFill>
          <a:ln w="19050">
            <a:solidFill>
              <a:schemeClr val="lt1"/>
            </a:solidFill>
          </a:ln>
          <a:effectLst/>
        </c:spPr>
      </c:pivotFmt>
      <c:pivotFmt>
        <c:idx val="1389"/>
        <c:spPr>
          <a:solidFill>
            <a:schemeClr val="accent1"/>
          </a:solidFill>
          <a:ln w="19050">
            <a:solidFill>
              <a:schemeClr val="lt1"/>
            </a:solidFill>
          </a:ln>
          <a:effectLst/>
        </c:spPr>
      </c:pivotFmt>
      <c:pivotFmt>
        <c:idx val="1390"/>
        <c:spPr>
          <a:solidFill>
            <a:schemeClr val="accent1"/>
          </a:solidFill>
          <a:ln w="19050">
            <a:solidFill>
              <a:schemeClr val="lt1"/>
            </a:solidFill>
          </a:ln>
          <a:effectLst/>
        </c:spPr>
      </c:pivotFmt>
      <c:pivotFmt>
        <c:idx val="1391"/>
        <c:spPr>
          <a:solidFill>
            <a:schemeClr val="accent1"/>
          </a:solidFill>
          <a:ln w="19050">
            <a:solidFill>
              <a:schemeClr val="lt1"/>
            </a:solidFill>
          </a:ln>
          <a:effectLst/>
        </c:spPr>
      </c:pivotFmt>
      <c:pivotFmt>
        <c:idx val="1392"/>
        <c:spPr>
          <a:solidFill>
            <a:schemeClr val="accent1"/>
          </a:solidFill>
          <a:ln w="19050">
            <a:solidFill>
              <a:schemeClr val="lt1"/>
            </a:solidFill>
          </a:ln>
          <a:effectLst/>
        </c:spPr>
      </c:pivotFmt>
      <c:pivotFmt>
        <c:idx val="1393"/>
        <c:spPr>
          <a:solidFill>
            <a:schemeClr val="accent1"/>
          </a:solidFill>
          <a:ln w="19050">
            <a:solidFill>
              <a:schemeClr val="lt1"/>
            </a:solidFill>
          </a:ln>
          <a:effectLst/>
        </c:spPr>
      </c:pivotFmt>
      <c:pivotFmt>
        <c:idx val="1394"/>
        <c:spPr>
          <a:solidFill>
            <a:schemeClr val="accent1"/>
          </a:solidFill>
          <a:ln w="19050">
            <a:solidFill>
              <a:schemeClr val="lt1"/>
            </a:solidFill>
          </a:ln>
          <a:effectLst/>
        </c:spPr>
      </c:pivotFmt>
      <c:pivotFmt>
        <c:idx val="1395"/>
        <c:spPr>
          <a:solidFill>
            <a:schemeClr val="accent1"/>
          </a:solidFill>
          <a:ln w="19050">
            <a:solidFill>
              <a:schemeClr val="lt1"/>
            </a:solidFill>
          </a:ln>
          <a:effectLst/>
        </c:spPr>
      </c:pivotFmt>
      <c:pivotFmt>
        <c:idx val="1396"/>
        <c:spPr>
          <a:solidFill>
            <a:schemeClr val="accent1"/>
          </a:solidFill>
          <a:ln w="19050">
            <a:solidFill>
              <a:schemeClr val="lt1"/>
            </a:solidFill>
          </a:ln>
          <a:effectLst/>
        </c:spPr>
      </c:pivotFmt>
      <c:pivotFmt>
        <c:idx val="1397"/>
        <c:spPr>
          <a:solidFill>
            <a:schemeClr val="accent1"/>
          </a:solidFill>
          <a:ln w="19050">
            <a:solidFill>
              <a:schemeClr val="lt1"/>
            </a:solidFill>
          </a:ln>
          <a:effectLst/>
        </c:spPr>
      </c:pivotFmt>
      <c:pivotFmt>
        <c:idx val="1398"/>
        <c:spPr>
          <a:solidFill>
            <a:schemeClr val="accent1"/>
          </a:solidFill>
          <a:ln w="19050">
            <a:solidFill>
              <a:schemeClr val="lt1"/>
            </a:solidFill>
          </a:ln>
          <a:effectLst/>
        </c:spPr>
      </c:pivotFmt>
      <c:pivotFmt>
        <c:idx val="1399"/>
        <c:spPr>
          <a:solidFill>
            <a:schemeClr val="accent1"/>
          </a:solidFill>
          <a:ln w="19050">
            <a:solidFill>
              <a:schemeClr val="lt1"/>
            </a:solidFill>
          </a:ln>
          <a:effectLst/>
        </c:spPr>
      </c:pivotFmt>
      <c:pivotFmt>
        <c:idx val="1400"/>
        <c:spPr>
          <a:solidFill>
            <a:schemeClr val="accent1"/>
          </a:solidFill>
          <a:ln w="19050">
            <a:solidFill>
              <a:schemeClr val="lt1"/>
            </a:solidFill>
          </a:ln>
          <a:effectLst/>
        </c:spPr>
      </c:pivotFmt>
      <c:pivotFmt>
        <c:idx val="1401"/>
        <c:spPr>
          <a:solidFill>
            <a:schemeClr val="accent1"/>
          </a:solidFill>
          <a:ln w="19050">
            <a:solidFill>
              <a:schemeClr val="lt1"/>
            </a:solidFill>
          </a:ln>
          <a:effectLst/>
        </c:spPr>
      </c:pivotFmt>
      <c:pivotFmt>
        <c:idx val="1402"/>
        <c:spPr>
          <a:solidFill>
            <a:schemeClr val="accent1"/>
          </a:solidFill>
          <a:ln w="19050">
            <a:solidFill>
              <a:schemeClr val="lt1"/>
            </a:solidFill>
          </a:ln>
          <a:effectLst/>
        </c:spPr>
      </c:pivotFmt>
      <c:pivotFmt>
        <c:idx val="1403"/>
        <c:spPr>
          <a:solidFill>
            <a:schemeClr val="accent1"/>
          </a:solidFill>
          <a:ln w="19050">
            <a:solidFill>
              <a:schemeClr val="lt1"/>
            </a:solidFill>
          </a:ln>
          <a:effectLst/>
        </c:spPr>
      </c:pivotFmt>
      <c:pivotFmt>
        <c:idx val="1404"/>
        <c:spPr>
          <a:solidFill>
            <a:schemeClr val="accent1"/>
          </a:solidFill>
          <a:ln w="19050">
            <a:solidFill>
              <a:schemeClr val="lt1"/>
            </a:solidFill>
          </a:ln>
          <a:effectLst/>
        </c:spPr>
      </c:pivotFmt>
      <c:pivotFmt>
        <c:idx val="1405"/>
        <c:spPr>
          <a:solidFill>
            <a:schemeClr val="accent1"/>
          </a:solidFill>
          <a:ln w="19050">
            <a:solidFill>
              <a:schemeClr val="lt1"/>
            </a:solidFill>
          </a:ln>
          <a:effectLst/>
        </c:spPr>
      </c:pivotFmt>
      <c:pivotFmt>
        <c:idx val="1406"/>
        <c:spPr>
          <a:solidFill>
            <a:schemeClr val="accent1"/>
          </a:solidFill>
          <a:ln w="19050">
            <a:solidFill>
              <a:schemeClr val="lt1"/>
            </a:solidFill>
          </a:ln>
          <a:effectLst/>
        </c:spPr>
      </c:pivotFmt>
      <c:pivotFmt>
        <c:idx val="1407"/>
        <c:spPr>
          <a:solidFill>
            <a:schemeClr val="accent1"/>
          </a:solidFill>
          <a:ln w="19050">
            <a:solidFill>
              <a:schemeClr val="lt1"/>
            </a:solidFill>
          </a:ln>
          <a:effectLst/>
        </c:spPr>
      </c:pivotFmt>
      <c:pivotFmt>
        <c:idx val="1408"/>
        <c:spPr>
          <a:solidFill>
            <a:schemeClr val="accent1"/>
          </a:solidFill>
          <a:ln w="19050">
            <a:solidFill>
              <a:schemeClr val="lt1"/>
            </a:solidFill>
          </a:ln>
          <a:effectLst/>
        </c:spPr>
      </c:pivotFmt>
      <c:pivotFmt>
        <c:idx val="1409"/>
        <c:spPr>
          <a:solidFill>
            <a:schemeClr val="accent1"/>
          </a:solidFill>
          <a:ln w="19050">
            <a:solidFill>
              <a:schemeClr val="lt1"/>
            </a:solidFill>
          </a:ln>
          <a:effectLst/>
        </c:spPr>
      </c:pivotFmt>
      <c:pivotFmt>
        <c:idx val="1410"/>
        <c:spPr>
          <a:solidFill>
            <a:schemeClr val="accent1"/>
          </a:solidFill>
          <a:ln w="19050">
            <a:solidFill>
              <a:schemeClr val="lt1"/>
            </a:solidFill>
          </a:ln>
          <a:effectLst/>
        </c:spPr>
      </c:pivotFmt>
      <c:pivotFmt>
        <c:idx val="1411"/>
        <c:spPr>
          <a:solidFill>
            <a:schemeClr val="accent1"/>
          </a:solidFill>
          <a:ln w="19050">
            <a:solidFill>
              <a:schemeClr val="lt1"/>
            </a:solidFill>
          </a:ln>
          <a:effectLst/>
        </c:spPr>
      </c:pivotFmt>
      <c:pivotFmt>
        <c:idx val="1412"/>
        <c:spPr>
          <a:solidFill>
            <a:schemeClr val="accent1"/>
          </a:solidFill>
          <a:ln w="19050">
            <a:solidFill>
              <a:schemeClr val="lt1"/>
            </a:solidFill>
          </a:ln>
          <a:effectLst/>
        </c:spPr>
      </c:pivotFmt>
      <c:pivotFmt>
        <c:idx val="1413"/>
        <c:spPr>
          <a:solidFill>
            <a:schemeClr val="accent1"/>
          </a:solidFill>
          <a:ln w="19050">
            <a:solidFill>
              <a:schemeClr val="lt1"/>
            </a:solidFill>
          </a:ln>
          <a:effectLst/>
        </c:spPr>
      </c:pivotFmt>
      <c:pivotFmt>
        <c:idx val="1414"/>
        <c:spPr>
          <a:solidFill>
            <a:schemeClr val="accent1"/>
          </a:solidFill>
          <a:ln w="19050">
            <a:solidFill>
              <a:schemeClr val="lt1"/>
            </a:solidFill>
          </a:ln>
          <a:effectLst/>
        </c:spPr>
      </c:pivotFmt>
      <c:pivotFmt>
        <c:idx val="1415"/>
        <c:spPr>
          <a:solidFill>
            <a:schemeClr val="accent1"/>
          </a:solidFill>
          <a:ln w="19050">
            <a:solidFill>
              <a:schemeClr val="lt1"/>
            </a:solidFill>
          </a:ln>
          <a:effectLst/>
        </c:spPr>
      </c:pivotFmt>
      <c:pivotFmt>
        <c:idx val="1416"/>
        <c:spPr>
          <a:solidFill>
            <a:schemeClr val="accent1"/>
          </a:solidFill>
          <a:ln w="19050">
            <a:solidFill>
              <a:schemeClr val="lt1"/>
            </a:solidFill>
          </a:ln>
          <a:effectLst/>
        </c:spPr>
      </c:pivotFmt>
      <c:pivotFmt>
        <c:idx val="1417"/>
        <c:spPr>
          <a:solidFill>
            <a:schemeClr val="accent1"/>
          </a:solidFill>
          <a:ln w="19050">
            <a:solidFill>
              <a:schemeClr val="lt1"/>
            </a:solidFill>
          </a:ln>
          <a:effectLst/>
        </c:spPr>
      </c:pivotFmt>
      <c:pivotFmt>
        <c:idx val="1418"/>
        <c:spPr>
          <a:solidFill>
            <a:schemeClr val="accent1"/>
          </a:solidFill>
          <a:ln w="19050">
            <a:solidFill>
              <a:schemeClr val="lt1"/>
            </a:solidFill>
          </a:ln>
          <a:effectLst/>
        </c:spPr>
      </c:pivotFmt>
      <c:pivotFmt>
        <c:idx val="1419"/>
        <c:spPr>
          <a:solidFill>
            <a:schemeClr val="accent1"/>
          </a:solidFill>
          <a:ln w="19050">
            <a:solidFill>
              <a:schemeClr val="lt1"/>
            </a:solidFill>
          </a:ln>
          <a:effectLst/>
        </c:spPr>
      </c:pivotFmt>
      <c:pivotFmt>
        <c:idx val="1420"/>
        <c:spPr>
          <a:solidFill>
            <a:schemeClr val="accent1"/>
          </a:solidFill>
          <a:ln w="19050">
            <a:solidFill>
              <a:schemeClr val="lt1"/>
            </a:solidFill>
          </a:ln>
          <a:effectLst/>
        </c:spPr>
      </c:pivotFmt>
      <c:pivotFmt>
        <c:idx val="1421"/>
        <c:spPr>
          <a:solidFill>
            <a:schemeClr val="accent1"/>
          </a:solidFill>
          <a:ln w="19050">
            <a:solidFill>
              <a:schemeClr val="lt1"/>
            </a:solidFill>
          </a:ln>
          <a:effectLst/>
        </c:spPr>
      </c:pivotFmt>
      <c:pivotFmt>
        <c:idx val="1422"/>
        <c:spPr>
          <a:solidFill>
            <a:schemeClr val="accent1"/>
          </a:solidFill>
          <a:ln w="19050">
            <a:solidFill>
              <a:schemeClr val="lt1"/>
            </a:solidFill>
          </a:ln>
          <a:effectLst/>
        </c:spPr>
      </c:pivotFmt>
      <c:pivotFmt>
        <c:idx val="1423"/>
        <c:spPr>
          <a:solidFill>
            <a:schemeClr val="accent1"/>
          </a:solidFill>
          <a:ln w="19050">
            <a:solidFill>
              <a:schemeClr val="lt1"/>
            </a:solidFill>
          </a:ln>
          <a:effectLst/>
        </c:spPr>
      </c:pivotFmt>
      <c:pivotFmt>
        <c:idx val="1424"/>
        <c:spPr>
          <a:solidFill>
            <a:schemeClr val="accent1"/>
          </a:solidFill>
          <a:ln w="19050">
            <a:solidFill>
              <a:schemeClr val="lt1"/>
            </a:solidFill>
          </a:ln>
          <a:effectLst/>
        </c:spPr>
      </c:pivotFmt>
      <c:pivotFmt>
        <c:idx val="1425"/>
        <c:spPr>
          <a:solidFill>
            <a:schemeClr val="accent1"/>
          </a:solidFill>
          <a:ln w="19050">
            <a:solidFill>
              <a:schemeClr val="lt1"/>
            </a:solidFill>
          </a:ln>
          <a:effectLst/>
        </c:spPr>
      </c:pivotFmt>
      <c:pivotFmt>
        <c:idx val="1426"/>
        <c:spPr>
          <a:solidFill>
            <a:schemeClr val="accent1"/>
          </a:solidFill>
          <a:ln w="19050">
            <a:solidFill>
              <a:schemeClr val="lt1"/>
            </a:solidFill>
          </a:ln>
          <a:effectLst/>
        </c:spPr>
      </c:pivotFmt>
      <c:pivotFmt>
        <c:idx val="1427"/>
        <c:spPr>
          <a:solidFill>
            <a:schemeClr val="accent1"/>
          </a:solidFill>
          <a:ln w="19050">
            <a:solidFill>
              <a:schemeClr val="lt1"/>
            </a:solidFill>
          </a:ln>
          <a:effectLst/>
        </c:spPr>
      </c:pivotFmt>
      <c:pivotFmt>
        <c:idx val="1428"/>
        <c:spPr>
          <a:solidFill>
            <a:schemeClr val="accent1"/>
          </a:solidFill>
          <a:ln w="19050">
            <a:solidFill>
              <a:schemeClr val="lt1"/>
            </a:solidFill>
          </a:ln>
          <a:effectLst/>
        </c:spPr>
      </c:pivotFmt>
      <c:pivotFmt>
        <c:idx val="1429"/>
        <c:spPr>
          <a:solidFill>
            <a:schemeClr val="accent1"/>
          </a:solidFill>
          <a:ln w="19050">
            <a:solidFill>
              <a:schemeClr val="lt1"/>
            </a:solidFill>
          </a:ln>
          <a:effectLst/>
        </c:spPr>
      </c:pivotFmt>
      <c:pivotFmt>
        <c:idx val="1430"/>
        <c:spPr>
          <a:solidFill>
            <a:schemeClr val="accent1"/>
          </a:solidFill>
          <a:ln w="19050">
            <a:solidFill>
              <a:schemeClr val="lt1"/>
            </a:solidFill>
          </a:ln>
          <a:effectLst/>
        </c:spPr>
      </c:pivotFmt>
      <c:pivotFmt>
        <c:idx val="1431"/>
        <c:spPr>
          <a:solidFill>
            <a:schemeClr val="accent1"/>
          </a:solidFill>
          <a:ln w="19050">
            <a:solidFill>
              <a:schemeClr val="lt1"/>
            </a:solidFill>
          </a:ln>
          <a:effectLst/>
        </c:spPr>
      </c:pivotFmt>
      <c:pivotFmt>
        <c:idx val="1432"/>
        <c:spPr>
          <a:solidFill>
            <a:schemeClr val="accent1"/>
          </a:solidFill>
          <a:ln w="19050">
            <a:solidFill>
              <a:schemeClr val="lt1"/>
            </a:solidFill>
          </a:ln>
          <a:effectLst/>
        </c:spPr>
      </c:pivotFmt>
      <c:pivotFmt>
        <c:idx val="1433"/>
        <c:spPr>
          <a:solidFill>
            <a:schemeClr val="accent1"/>
          </a:solidFill>
          <a:ln w="19050">
            <a:solidFill>
              <a:schemeClr val="lt1"/>
            </a:solidFill>
          </a:ln>
          <a:effectLst/>
        </c:spPr>
      </c:pivotFmt>
      <c:pivotFmt>
        <c:idx val="1434"/>
        <c:spPr>
          <a:solidFill>
            <a:schemeClr val="accent1"/>
          </a:solidFill>
          <a:ln w="19050">
            <a:solidFill>
              <a:schemeClr val="lt1"/>
            </a:solidFill>
          </a:ln>
          <a:effectLst/>
        </c:spPr>
      </c:pivotFmt>
      <c:pivotFmt>
        <c:idx val="1435"/>
        <c:spPr>
          <a:solidFill>
            <a:schemeClr val="accent1"/>
          </a:solidFill>
          <a:ln w="19050">
            <a:solidFill>
              <a:schemeClr val="lt1"/>
            </a:solidFill>
          </a:ln>
          <a:effectLst/>
        </c:spPr>
      </c:pivotFmt>
      <c:pivotFmt>
        <c:idx val="1436"/>
        <c:spPr>
          <a:solidFill>
            <a:schemeClr val="accent1"/>
          </a:solidFill>
          <a:ln w="19050">
            <a:solidFill>
              <a:schemeClr val="lt1"/>
            </a:solidFill>
          </a:ln>
          <a:effectLst/>
        </c:spPr>
      </c:pivotFmt>
      <c:pivotFmt>
        <c:idx val="1437"/>
        <c:spPr>
          <a:solidFill>
            <a:schemeClr val="accent1"/>
          </a:solidFill>
          <a:ln w="19050">
            <a:solidFill>
              <a:schemeClr val="lt1"/>
            </a:solidFill>
          </a:ln>
          <a:effectLst/>
        </c:spPr>
      </c:pivotFmt>
      <c:pivotFmt>
        <c:idx val="1438"/>
        <c:spPr>
          <a:solidFill>
            <a:schemeClr val="accent1"/>
          </a:solidFill>
          <a:ln w="19050">
            <a:solidFill>
              <a:schemeClr val="lt1"/>
            </a:solidFill>
          </a:ln>
          <a:effectLst/>
        </c:spPr>
      </c:pivotFmt>
      <c:pivotFmt>
        <c:idx val="1439"/>
        <c:spPr>
          <a:solidFill>
            <a:schemeClr val="accent1"/>
          </a:solidFill>
          <a:ln w="19050">
            <a:solidFill>
              <a:schemeClr val="lt1"/>
            </a:solidFill>
          </a:ln>
          <a:effectLst/>
        </c:spPr>
      </c:pivotFmt>
      <c:pivotFmt>
        <c:idx val="1440"/>
        <c:spPr>
          <a:solidFill>
            <a:schemeClr val="accent1"/>
          </a:solidFill>
          <a:ln w="19050">
            <a:solidFill>
              <a:schemeClr val="lt1"/>
            </a:solidFill>
          </a:ln>
          <a:effectLst/>
        </c:spPr>
      </c:pivotFmt>
      <c:pivotFmt>
        <c:idx val="1441"/>
        <c:spPr>
          <a:solidFill>
            <a:schemeClr val="accent1"/>
          </a:solidFill>
          <a:ln w="19050">
            <a:solidFill>
              <a:schemeClr val="lt1"/>
            </a:solidFill>
          </a:ln>
          <a:effectLst/>
        </c:spPr>
      </c:pivotFmt>
      <c:pivotFmt>
        <c:idx val="1442"/>
        <c:spPr>
          <a:solidFill>
            <a:schemeClr val="accent1"/>
          </a:solidFill>
          <a:ln w="19050">
            <a:solidFill>
              <a:schemeClr val="lt1"/>
            </a:solidFill>
          </a:ln>
          <a:effectLst/>
        </c:spPr>
      </c:pivotFmt>
      <c:pivotFmt>
        <c:idx val="1443"/>
        <c:spPr>
          <a:solidFill>
            <a:schemeClr val="accent1"/>
          </a:solidFill>
          <a:ln w="19050">
            <a:solidFill>
              <a:schemeClr val="lt1"/>
            </a:solidFill>
          </a:ln>
          <a:effectLst/>
        </c:spPr>
      </c:pivotFmt>
      <c:pivotFmt>
        <c:idx val="1444"/>
        <c:spPr>
          <a:solidFill>
            <a:schemeClr val="accent1"/>
          </a:solidFill>
          <a:ln w="19050">
            <a:solidFill>
              <a:schemeClr val="lt1"/>
            </a:solidFill>
          </a:ln>
          <a:effectLst/>
        </c:spPr>
      </c:pivotFmt>
      <c:pivotFmt>
        <c:idx val="1445"/>
        <c:spPr>
          <a:solidFill>
            <a:schemeClr val="accent1"/>
          </a:solidFill>
          <a:ln w="19050">
            <a:solidFill>
              <a:schemeClr val="lt1"/>
            </a:solidFill>
          </a:ln>
          <a:effectLst/>
        </c:spPr>
      </c:pivotFmt>
      <c:pivotFmt>
        <c:idx val="1446"/>
        <c:spPr>
          <a:solidFill>
            <a:schemeClr val="accent1"/>
          </a:solidFill>
          <a:ln w="19050">
            <a:solidFill>
              <a:schemeClr val="lt1"/>
            </a:solidFill>
          </a:ln>
          <a:effectLst/>
        </c:spPr>
      </c:pivotFmt>
      <c:pivotFmt>
        <c:idx val="1447"/>
        <c:spPr>
          <a:solidFill>
            <a:schemeClr val="accent1"/>
          </a:solidFill>
          <a:ln w="19050">
            <a:solidFill>
              <a:schemeClr val="lt1"/>
            </a:solidFill>
          </a:ln>
          <a:effectLst/>
        </c:spPr>
      </c:pivotFmt>
      <c:pivotFmt>
        <c:idx val="1448"/>
        <c:spPr>
          <a:solidFill>
            <a:schemeClr val="accent1"/>
          </a:solidFill>
          <a:ln w="19050">
            <a:solidFill>
              <a:schemeClr val="lt1"/>
            </a:solidFill>
          </a:ln>
          <a:effectLst/>
        </c:spPr>
      </c:pivotFmt>
      <c:pivotFmt>
        <c:idx val="1449"/>
        <c:spPr>
          <a:solidFill>
            <a:schemeClr val="accent1"/>
          </a:solidFill>
          <a:ln w="19050">
            <a:solidFill>
              <a:schemeClr val="lt1"/>
            </a:solidFill>
          </a:ln>
          <a:effectLst/>
        </c:spPr>
      </c:pivotFmt>
      <c:pivotFmt>
        <c:idx val="1450"/>
        <c:spPr>
          <a:solidFill>
            <a:schemeClr val="accent1"/>
          </a:solidFill>
          <a:ln w="19050">
            <a:solidFill>
              <a:schemeClr val="lt1"/>
            </a:solidFill>
          </a:ln>
          <a:effectLst/>
        </c:spPr>
      </c:pivotFmt>
      <c:pivotFmt>
        <c:idx val="1451"/>
        <c:spPr>
          <a:solidFill>
            <a:schemeClr val="accent1"/>
          </a:solidFill>
          <a:ln w="19050">
            <a:solidFill>
              <a:schemeClr val="lt1"/>
            </a:solidFill>
          </a:ln>
          <a:effectLst/>
        </c:spPr>
      </c:pivotFmt>
      <c:pivotFmt>
        <c:idx val="1452"/>
        <c:spPr>
          <a:solidFill>
            <a:schemeClr val="accent1"/>
          </a:solidFill>
          <a:ln w="19050">
            <a:solidFill>
              <a:schemeClr val="lt1"/>
            </a:solidFill>
          </a:ln>
          <a:effectLst/>
        </c:spPr>
      </c:pivotFmt>
      <c:pivotFmt>
        <c:idx val="1453"/>
        <c:spPr>
          <a:solidFill>
            <a:schemeClr val="accent1"/>
          </a:solidFill>
          <a:ln w="19050">
            <a:solidFill>
              <a:schemeClr val="lt1"/>
            </a:solidFill>
          </a:ln>
          <a:effectLst/>
        </c:spPr>
      </c:pivotFmt>
      <c:pivotFmt>
        <c:idx val="1454"/>
        <c:spPr>
          <a:solidFill>
            <a:schemeClr val="accent1"/>
          </a:solidFill>
          <a:ln w="19050">
            <a:solidFill>
              <a:schemeClr val="lt1"/>
            </a:solidFill>
          </a:ln>
          <a:effectLst/>
        </c:spPr>
      </c:pivotFmt>
      <c:pivotFmt>
        <c:idx val="1455"/>
        <c:spPr>
          <a:solidFill>
            <a:schemeClr val="accent1"/>
          </a:solidFill>
          <a:ln w="19050">
            <a:solidFill>
              <a:schemeClr val="lt1"/>
            </a:solidFill>
          </a:ln>
          <a:effectLst/>
        </c:spPr>
      </c:pivotFmt>
      <c:pivotFmt>
        <c:idx val="1456"/>
        <c:spPr>
          <a:solidFill>
            <a:schemeClr val="accent1"/>
          </a:solidFill>
          <a:ln w="19050">
            <a:solidFill>
              <a:schemeClr val="lt1"/>
            </a:solidFill>
          </a:ln>
          <a:effectLst/>
        </c:spPr>
      </c:pivotFmt>
      <c:pivotFmt>
        <c:idx val="1457"/>
        <c:spPr>
          <a:solidFill>
            <a:schemeClr val="accent1"/>
          </a:solidFill>
          <a:ln w="19050">
            <a:solidFill>
              <a:schemeClr val="lt1"/>
            </a:solidFill>
          </a:ln>
          <a:effectLst/>
        </c:spPr>
      </c:pivotFmt>
      <c:pivotFmt>
        <c:idx val="1458"/>
        <c:spPr>
          <a:solidFill>
            <a:schemeClr val="accent1"/>
          </a:solidFill>
          <a:ln w="19050">
            <a:solidFill>
              <a:schemeClr val="lt1"/>
            </a:solidFill>
          </a:ln>
          <a:effectLst/>
        </c:spPr>
      </c:pivotFmt>
      <c:pivotFmt>
        <c:idx val="1459"/>
        <c:spPr>
          <a:solidFill>
            <a:schemeClr val="accent1"/>
          </a:solidFill>
          <a:ln w="19050">
            <a:solidFill>
              <a:schemeClr val="lt1"/>
            </a:solidFill>
          </a:ln>
          <a:effectLst/>
        </c:spPr>
      </c:pivotFmt>
      <c:pivotFmt>
        <c:idx val="1460"/>
        <c:spPr>
          <a:solidFill>
            <a:schemeClr val="accent1"/>
          </a:solidFill>
          <a:ln w="19050">
            <a:solidFill>
              <a:schemeClr val="lt1"/>
            </a:solidFill>
          </a:ln>
          <a:effectLst/>
        </c:spPr>
      </c:pivotFmt>
      <c:pivotFmt>
        <c:idx val="1461"/>
        <c:spPr>
          <a:solidFill>
            <a:schemeClr val="accent1"/>
          </a:solidFill>
          <a:ln w="19050">
            <a:solidFill>
              <a:schemeClr val="lt1"/>
            </a:solidFill>
          </a:ln>
          <a:effectLst/>
        </c:spPr>
      </c:pivotFmt>
      <c:pivotFmt>
        <c:idx val="1462"/>
        <c:spPr>
          <a:solidFill>
            <a:schemeClr val="accent1"/>
          </a:solidFill>
          <a:ln w="19050">
            <a:solidFill>
              <a:schemeClr val="lt1"/>
            </a:solidFill>
          </a:ln>
          <a:effectLst/>
        </c:spPr>
      </c:pivotFmt>
      <c:pivotFmt>
        <c:idx val="1463"/>
        <c:spPr>
          <a:solidFill>
            <a:schemeClr val="accent1"/>
          </a:solidFill>
          <a:ln w="19050">
            <a:solidFill>
              <a:schemeClr val="lt1"/>
            </a:solidFill>
          </a:ln>
          <a:effectLst/>
        </c:spPr>
      </c:pivotFmt>
      <c:pivotFmt>
        <c:idx val="1464"/>
        <c:spPr>
          <a:solidFill>
            <a:schemeClr val="accent1"/>
          </a:solidFill>
          <a:ln w="19050">
            <a:solidFill>
              <a:schemeClr val="lt1"/>
            </a:solidFill>
          </a:ln>
          <a:effectLst/>
        </c:spPr>
      </c:pivotFmt>
      <c:pivotFmt>
        <c:idx val="1465"/>
        <c:spPr>
          <a:solidFill>
            <a:schemeClr val="accent1"/>
          </a:solidFill>
          <a:ln w="19050">
            <a:solidFill>
              <a:schemeClr val="lt1"/>
            </a:solidFill>
          </a:ln>
          <a:effectLst/>
        </c:spPr>
      </c:pivotFmt>
      <c:pivotFmt>
        <c:idx val="1466"/>
        <c:spPr>
          <a:solidFill>
            <a:schemeClr val="accent1"/>
          </a:solidFill>
          <a:ln w="19050">
            <a:solidFill>
              <a:schemeClr val="lt1"/>
            </a:solidFill>
          </a:ln>
          <a:effectLst/>
        </c:spPr>
      </c:pivotFmt>
      <c:pivotFmt>
        <c:idx val="1467"/>
        <c:spPr>
          <a:solidFill>
            <a:schemeClr val="accent1"/>
          </a:solidFill>
          <a:ln w="19050">
            <a:solidFill>
              <a:schemeClr val="lt1"/>
            </a:solidFill>
          </a:ln>
          <a:effectLst/>
        </c:spPr>
      </c:pivotFmt>
      <c:pivotFmt>
        <c:idx val="1468"/>
        <c:spPr>
          <a:solidFill>
            <a:schemeClr val="accent1"/>
          </a:solidFill>
          <a:ln w="19050">
            <a:solidFill>
              <a:schemeClr val="lt1"/>
            </a:solidFill>
          </a:ln>
          <a:effectLst/>
        </c:spPr>
      </c:pivotFmt>
      <c:pivotFmt>
        <c:idx val="1469"/>
        <c:spPr>
          <a:solidFill>
            <a:schemeClr val="accent1"/>
          </a:solidFill>
          <a:ln w="19050">
            <a:solidFill>
              <a:schemeClr val="lt1"/>
            </a:solidFill>
          </a:ln>
          <a:effectLst/>
        </c:spPr>
      </c:pivotFmt>
      <c:pivotFmt>
        <c:idx val="1470"/>
        <c:spPr>
          <a:solidFill>
            <a:schemeClr val="accent1"/>
          </a:solidFill>
          <a:ln w="19050">
            <a:solidFill>
              <a:schemeClr val="lt1"/>
            </a:solidFill>
          </a:ln>
          <a:effectLst/>
        </c:spPr>
      </c:pivotFmt>
      <c:pivotFmt>
        <c:idx val="1471"/>
        <c:spPr>
          <a:solidFill>
            <a:schemeClr val="accent1"/>
          </a:solidFill>
          <a:ln w="19050">
            <a:solidFill>
              <a:schemeClr val="lt1"/>
            </a:solidFill>
          </a:ln>
          <a:effectLst/>
        </c:spPr>
      </c:pivotFmt>
      <c:pivotFmt>
        <c:idx val="1472"/>
        <c:spPr>
          <a:solidFill>
            <a:schemeClr val="accent1"/>
          </a:solidFill>
          <a:ln w="19050">
            <a:solidFill>
              <a:schemeClr val="lt1"/>
            </a:solidFill>
          </a:ln>
          <a:effectLst/>
        </c:spPr>
      </c:pivotFmt>
      <c:pivotFmt>
        <c:idx val="1473"/>
        <c:spPr>
          <a:solidFill>
            <a:schemeClr val="accent1"/>
          </a:solidFill>
          <a:ln w="19050">
            <a:solidFill>
              <a:schemeClr val="lt1"/>
            </a:solidFill>
          </a:ln>
          <a:effectLst/>
        </c:spPr>
      </c:pivotFmt>
      <c:pivotFmt>
        <c:idx val="1474"/>
        <c:spPr>
          <a:solidFill>
            <a:schemeClr val="accent1"/>
          </a:solidFill>
          <a:ln w="19050">
            <a:solidFill>
              <a:schemeClr val="lt1"/>
            </a:solidFill>
          </a:ln>
          <a:effectLst/>
        </c:spPr>
      </c:pivotFmt>
      <c:pivotFmt>
        <c:idx val="1475"/>
        <c:spPr>
          <a:solidFill>
            <a:schemeClr val="accent1"/>
          </a:solidFill>
          <a:ln w="19050">
            <a:solidFill>
              <a:schemeClr val="lt1"/>
            </a:solidFill>
          </a:ln>
          <a:effectLst/>
        </c:spPr>
      </c:pivotFmt>
      <c:pivotFmt>
        <c:idx val="1476"/>
        <c:spPr>
          <a:solidFill>
            <a:schemeClr val="accent1"/>
          </a:solidFill>
          <a:ln w="19050">
            <a:solidFill>
              <a:schemeClr val="lt1"/>
            </a:solidFill>
          </a:ln>
          <a:effectLst/>
        </c:spPr>
      </c:pivotFmt>
      <c:pivotFmt>
        <c:idx val="1477"/>
        <c:spPr>
          <a:solidFill>
            <a:schemeClr val="accent1"/>
          </a:solidFill>
          <a:ln w="19050">
            <a:solidFill>
              <a:schemeClr val="lt1"/>
            </a:solidFill>
          </a:ln>
          <a:effectLst/>
        </c:spPr>
      </c:pivotFmt>
      <c:pivotFmt>
        <c:idx val="1478"/>
        <c:spPr>
          <a:solidFill>
            <a:schemeClr val="accent1"/>
          </a:solidFill>
          <a:ln w="19050">
            <a:solidFill>
              <a:schemeClr val="lt1"/>
            </a:solidFill>
          </a:ln>
          <a:effectLst/>
        </c:spPr>
      </c:pivotFmt>
      <c:pivotFmt>
        <c:idx val="1479"/>
        <c:spPr>
          <a:solidFill>
            <a:schemeClr val="accent1"/>
          </a:solidFill>
          <a:ln w="19050">
            <a:solidFill>
              <a:schemeClr val="lt1"/>
            </a:solidFill>
          </a:ln>
          <a:effectLst/>
        </c:spPr>
      </c:pivotFmt>
      <c:pivotFmt>
        <c:idx val="1480"/>
        <c:spPr>
          <a:solidFill>
            <a:schemeClr val="accent1"/>
          </a:solidFill>
          <a:ln w="19050">
            <a:solidFill>
              <a:schemeClr val="lt1"/>
            </a:solidFill>
          </a:ln>
          <a:effectLst/>
        </c:spPr>
      </c:pivotFmt>
      <c:pivotFmt>
        <c:idx val="1481"/>
        <c:spPr>
          <a:solidFill>
            <a:schemeClr val="accent1"/>
          </a:solidFill>
          <a:ln w="19050">
            <a:solidFill>
              <a:schemeClr val="lt1"/>
            </a:solidFill>
          </a:ln>
          <a:effectLst/>
        </c:spPr>
      </c:pivotFmt>
      <c:pivotFmt>
        <c:idx val="1482"/>
        <c:spPr>
          <a:solidFill>
            <a:schemeClr val="accent1"/>
          </a:solidFill>
          <a:ln w="19050">
            <a:solidFill>
              <a:schemeClr val="lt1"/>
            </a:solidFill>
          </a:ln>
          <a:effectLst/>
        </c:spPr>
      </c:pivotFmt>
      <c:pivotFmt>
        <c:idx val="1483"/>
        <c:spPr>
          <a:solidFill>
            <a:schemeClr val="accent1"/>
          </a:solidFill>
          <a:ln w="19050">
            <a:solidFill>
              <a:schemeClr val="lt1"/>
            </a:solidFill>
          </a:ln>
          <a:effectLst/>
        </c:spPr>
      </c:pivotFmt>
      <c:pivotFmt>
        <c:idx val="1484"/>
        <c:spPr>
          <a:solidFill>
            <a:schemeClr val="accent1"/>
          </a:solidFill>
          <a:ln w="19050">
            <a:solidFill>
              <a:schemeClr val="lt1"/>
            </a:solidFill>
          </a:ln>
          <a:effectLst/>
        </c:spPr>
      </c:pivotFmt>
      <c:pivotFmt>
        <c:idx val="1485"/>
        <c:spPr>
          <a:solidFill>
            <a:schemeClr val="accent1"/>
          </a:solidFill>
          <a:ln w="19050">
            <a:solidFill>
              <a:schemeClr val="lt1"/>
            </a:solidFill>
          </a:ln>
          <a:effectLst/>
        </c:spPr>
      </c:pivotFmt>
      <c:pivotFmt>
        <c:idx val="1486"/>
        <c:spPr>
          <a:solidFill>
            <a:schemeClr val="accent1"/>
          </a:solidFill>
          <a:ln w="19050">
            <a:solidFill>
              <a:schemeClr val="lt1"/>
            </a:solidFill>
          </a:ln>
          <a:effectLst/>
        </c:spPr>
      </c:pivotFmt>
      <c:pivotFmt>
        <c:idx val="1487"/>
        <c:spPr>
          <a:solidFill>
            <a:schemeClr val="accent1"/>
          </a:solidFill>
          <a:ln w="19050">
            <a:solidFill>
              <a:schemeClr val="lt1"/>
            </a:solidFill>
          </a:ln>
          <a:effectLst/>
        </c:spPr>
      </c:pivotFmt>
      <c:pivotFmt>
        <c:idx val="1488"/>
        <c:spPr>
          <a:solidFill>
            <a:schemeClr val="accent1"/>
          </a:solidFill>
          <a:ln w="19050">
            <a:solidFill>
              <a:schemeClr val="lt1"/>
            </a:solidFill>
          </a:ln>
          <a:effectLst/>
        </c:spPr>
      </c:pivotFmt>
      <c:pivotFmt>
        <c:idx val="1489"/>
        <c:spPr>
          <a:solidFill>
            <a:schemeClr val="accent1"/>
          </a:solidFill>
          <a:ln w="19050">
            <a:solidFill>
              <a:schemeClr val="lt1"/>
            </a:solidFill>
          </a:ln>
          <a:effectLst/>
        </c:spPr>
      </c:pivotFmt>
      <c:pivotFmt>
        <c:idx val="1490"/>
        <c:spPr>
          <a:solidFill>
            <a:schemeClr val="accent1"/>
          </a:solidFill>
          <a:ln w="19050">
            <a:solidFill>
              <a:schemeClr val="lt1"/>
            </a:solidFill>
          </a:ln>
          <a:effectLst/>
        </c:spPr>
      </c:pivotFmt>
      <c:pivotFmt>
        <c:idx val="1491"/>
        <c:spPr>
          <a:solidFill>
            <a:schemeClr val="accent1"/>
          </a:solidFill>
          <a:ln w="19050">
            <a:solidFill>
              <a:schemeClr val="lt1"/>
            </a:solidFill>
          </a:ln>
          <a:effectLst/>
        </c:spPr>
      </c:pivotFmt>
      <c:pivotFmt>
        <c:idx val="1492"/>
        <c:spPr>
          <a:solidFill>
            <a:schemeClr val="accent1"/>
          </a:solidFill>
          <a:ln w="19050">
            <a:solidFill>
              <a:schemeClr val="lt1"/>
            </a:solidFill>
          </a:ln>
          <a:effectLst/>
        </c:spPr>
      </c:pivotFmt>
      <c:pivotFmt>
        <c:idx val="1493"/>
        <c:spPr>
          <a:solidFill>
            <a:schemeClr val="accent1"/>
          </a:solidFill>
          <a:ln w="19050">
            <a:solidFill>
              <a:schemeClr val="lt1"/>
            </a:solidFill>
          </a:ln>
          <a:effectLst/>
        </c:spPr>
      </c:pivotFmt>
      <c:pivotFmt>
        <c:idx val="1494"/>
        <c:spPr>
          <a:solidFill>
            <a:schemeClr val="accent1"/>
          </a:solidFill>
          <a:ln w="19050">
            <a:solidFill>
              <a:schemeClr val="lt1"/>
            </a:solidFill>
          </a:ln>
          <a:effectLst/>
        </c:spPr>
      </c:pivotFmt>
      <c:pivotFmt>
        <c:idx val="1495"/>
        <c:spPr>
          <a:solidFill>
            <a:schemeClr val="accent1"/>
          </a:solidFill>
          <a:ln w="19050">
            <a:solidFill>
              <a:schemeClr val="lt1"/>
            </a:solidFill>
          </a:ln>
          <a:effectLst/>
        </c:spPr>
      </c:pivotFmt>
      <c:pivotFmt>
        <c:idx val="1496"/>
        <c:spPr>
          <a:solidFill>
            <a:schemeClr val="accent1"/>
          </a:solidFill>
          <a:ln w="19050">
            <a:solidFill>
              <a:schemeClr val="lt1"/>
            </a:solidFill>
          </a:ln>
          <a:effectLst/>
        </c:spPr>
      </c:pivotFmt>
      <c:pivotFmt>
        <c:idx val="1497"/>
        <c:spPr>
          <a:solidFill>
            <a:schemeClr val="accent1"/>
          </a:solidFill>
          <a:ln w="19050">
            <a:solidFill>
              <a:schemeClr val="lt1"/>
            </a:solidFill>
          </a:ln>
          <a:effectLst/>
        </c:spPr>
      </c:pivotFmt>
      <c:pivotFmt>
        <c:idx val="1498"/>
        <c:spPr>
          <a:solidFill>
            <a:schemeClr val="accent1"/>
          </a:solidFill>
          <a:ln w="19050">
            <a:solidFill>
              <a:schemeClr val="lt1"/>
            </a:solidFill>
          </a:ln>
          <a:effectLst/>
        </c:spPr>
      </c:pivotFmt>
      <c:pivotFmt>
        <c:idx val="1499"/>
        <c:spPr>
          <a:solidFill>
            <a:schemeClr val="accent1"/>
          </a:solidFill>
          <a:ln w="19050">
            <a:solidFill>
              <a:schemeClr val="lt1"/>
            </a:solidFill>
          </a:ln>
          <a:effectLst/>
        </c:spPr>
      </c:pivotFmt>
      <c:pivotFmt>
        <c:idx val="1500"/>
        <c:spPr>
          <a:solidFill>
            <a:schemeClr val="accent1"/>
          </a:solidFill>
          <a:ln w="19050">
            <a:solidFill>
              <a:schemeClr val="lt1"/>
            </a:solidFill>
          </a:ln>
          <a:effectLst/>
        </c:spPr>
      </c:pivotFmt>
      <c:pivotFmt>
        <c:idx val="1501"/>
        <c:spPr>
          <a:solidFill>
            <a:schemeClr val="accent1"/>
          </a:solidFill>
          <a:ln w="19050">
            <a:solidFill>
              <a:schemeClr val="lt1"/>
            </a:solidFill>
          </a:ln>
          <a:effectLst/>
        </c:spPr>
      </c:pivotFmt>
      <c:pivotFmt>
        <c:idx val="1502"/>
        <c:spPr>
          <a:solidFill>
            <a:schemeClr val="accent1"/>
          </a:solidFill>
          <a:ln w="19050">
            <a:solidFill>
              <a:schemeClr val="lt1"/>
            </a:solidFill>
          </a:ln>
          <a:effectLst/>
        </c:spPr>
      </c:pivotFmt>
      <c:pivotFmt>
        <c:idx val="1503"/>
        <c:spPr>
          <a:solidFill>
            <a:schemeClr val="accent1"/>
          </a:solidFill>
          <a:ln w="19050">
            <a:solidFill>
              <a:schemeClr val="lt1"/>
            </a:solidFill>
          </a:ln>
          <a:effectLst/>
        </c:spPr>
      </c:pivotFmt>
      <c:pivotFmt>
        <c:idx val="1504"/>
        <c:spPr>
          <a:solidFill>
            <a:schemeClr val="accent1"/>
          </a:solidFill>
          <a:ln w="19050">
            <a:solidFill>
              <a:schemeClr val="lt1"/>
            </a:solidFill>
          </a:ln>
          <a:effectLst/>
        </c:spPr>
      </c:pivotFmt>
      <c:pivotFmt>
        <c:idx val="1505"/>
        <c:spPr>
          <a:solidFill>
            <a:schemeClr val="accent1"/>
          </a:solidFill>
          <a:ln w="19050">
            <a:solidFill>
              <a:schemeClr val="lt1"/>
            </a:solidFill>
          </a:ln>
          <a:effectLst/>
        </c:spPr>
      </c:pivotFmt>
      <c:pivotFmt>
        <c:idx val="1506"/>
        <c:spPr>
          <a:solidFill>
            <a:schemeClr val="accent1"/>
          </a:solidFill>
          <a:ln w="19050">
            <a:solidFill>
              <a:schemeClr val="lt1"/>
            </a:solidFill>
          </a:ln>
          <a:effectLst/>
        </c:spPr>
      </c:pivotFmt>
      <c:pivotFmt>
        <c:idx val="1507"/>
        <c:spPr>
          <a:solidFill>
            <a:schemeClr val="accent1"/>
          </a:solidFill>
          <a:ln w="19050">
            <a:solidFill>
              <a:schemeClr val="lt1"/>
            </a:solidFill>
          </a:ln>
          <a:effectLst/>
        </c:spPr>
      </c:pivotFmt>
      <c:pivotFmt>
        <c:idx val="1508"/>
        <c:spPr>
          <a:solidFill>
            <a:schemeClr val="accent1"/>
          </a:solidFill>
          <a:ln w="19050">
            <a:solidFill>
              <a:schemeClr val="lt1"/>
            </a:solidFill>
          </a:ln>
          <a:effectLst/>
        </c:spPr>
      </c:pivotFmt>
      <c:pivotFmt>
        <c:idx val="1509"/>
        <c:spPr>
          <a:solidFill>
            <a:schemeClr val="accent1"/>
          </a:solidFill>
          <a:ln w="19050">
            <a:solidFill>
              <a:schemeClr val="lt1"/>
            </a:solidFill>
          </a:ln>
          <a:effectLst/>
        </c:spPr>
      </c:pivotFmt>
      <c:pivotFmt>
        <c:idx val="1510"/>
        <c:spPr>
          <a:solidFill>
            <a:schemeClr val="accent1"/>
          </a:solidFill>
          <a:ln w="19050">
            <a:solidFill>
              <a:schemeClr val="lt1"/>
            </a:solidFill>
          </a:ln>
          <a:effectLst/>
        </c:spPr>
      </c:pivotFmt>
      <c:pivotFmt>
        <c:idx val="1511"/>
        <c:spPr>
          <a:solidFill>
            <a:schemeClr val="accent1"/>
          </a:solidFill>
          <a:ln w="19050">
            <a:solidFill>
              <a:schemeClr val="lt1"/>
            </a:solidFill>
          </a:ln>
          <a:effectLst/>
        </c:spPr>
      </c:pivotFmt>
      <c:pivotFmt>
        <c:idx val="1512"/>
        <c:spPr>
          <a:solidFill>
            <a:schemeClr val="accent1"/>
          </a:solidFill>
          <a:ln w="19050">
            <a:solidFill>
              <a:schemeClr val="lt1"/>
            </a:solidFill>
          </a:ln>
          <a:effectLst/>
        </c:spPr>
      </c:pivotFmt>
      <c:pivotFmt>
        <c:idx val="1513"/>
        <c:spPr>
          <a:solidFill>
            <a:schemeClr val="accent1"/>
          </a:solidFill>
          <a:ln w="19050">
            <a:solidFill>
              <a:schemeClr val="lt1"/>
            </a:solidFill>
          </a:ln>
          <a:effectLst/>
        </c:spPr>
      </c:pivotFmt>
      <c:pivotFmt>
        <c:idx val="1514"/>
        <c:spPr>
          <a:solidFill>
            <a:schemeClr val="accent1"/>
          </a:solidFill>
          <a:ln w="19050">
            <a:solidFill>
              <a:schemeClr val="lt1"/>
            </a:solidFill>
          </a:ln>
          <a:effectLst/>
        </c:spPr>
      </c:pivotFmt>
      <c:pivotFmt>
        <c:idx val="1515"/>
        <c:spPr>
          <a:solidFill>
            <a:schemeClr val="accent1"/>
          </a:solidFill>
          <a:ln w="19050">
            <a:solidFill>
              <a:schemeClr val="lt1"/>
            </a:solidFill>
          </a:ln>
          <a:effectLst/>
        </c:spPr>
      </c:pivotFmt>
      <c:pivotFmt>
        <c:idx val="1516"/>
        <c:spPr>
          <a:solidFill>
            <a:schemeClr val="accent1"/>
          </a:solidFill>
          <a:ln w="19050">
            <a:solidFill>
              <a:schemeClr val="lt1"/>
            </a:solidFill>
          </a:ln>
          <a:effectLst/>
        </c:spPr>
      </c:pivotFmt>
      <c:pivotFmt>
        <c:idx val="1517"/>
        <c:spPr>
          <a:solidFill>
            <a:schemeClr val="accent1"/>
          </a:solidFill>
          <a:ln w="19050">
            <a:solidFill>
              <a:schemeClr val="lt1"/>
            </a:solidFill>
          </a:ln>
          <a:effectLst/>
        </c:spPr>
      </c:pivotFmt>
      <c:pivotFmt>
        <c:idx val="1518"/>
        <c:spPr>
          <a:solidFill>
            <a:schemeClr val="accent1"/>
          </a:solidFill>
          <a:ln w="19050">
            <a:solidFill>
              <a:schemeClr val="lt1"/>
            </a:solidFill>
          </a:ln>
          <a:effectLst/>
        </c:spPr>
      </c:pivotFmt>
      <c:pivotFmt>
        <c:idx val="1519"/>
        <c:spPr>
          <a:solidFill>
            <a:schemeClr val="accent1"/>
          </a:solidFill>
          <a:ln w="19050">
            <a:solidFill>
              <a:schemeClr val="lt1"/>
            </a:solidFill>
          </a:ln>
          <a:effectLst/>
        </c:spPr>
      </c:pivotFmt>
      <c:pivotFmt>
        <c:idx val="1520"/>
        <c:spPr>
          <a:solidFill>
            <a:schemeClr val="accent1"/>
          </a:solidFill>
          <a:ln w="19050">
            <a:solidFill>
              <a:schemeClr val="lt1"/>
            </a:solidFill>
          </a:ln>
          <a:effectLst/>
        </c:spPr>
      </c:pivotFmt>
      <c:pivotFmt>
        <c:idx val="1521"/>
        <c:spPr>
          <a:solidFill>
            <a:schemeClr val="accent1"/>
          </a:solidFill>
          <a:ln w="19050">
            <a:solidFill>
              <a:schemeClr val="lt1"/>
            </a:solidFill>
          </a:ln>
          <a:effectLst/>
        </c:spPr>
      </c:pivotFmt>
      <c:pivotFmt>
        <c:idx val="1522"/>
        <c:spPr>
          <a:solidFill>
            <a:schemeClr val="accent1"/>
          </a:solidFill>
          <a:ln w="19050">
            <a:solidFill>
              <a:schemeClr val="lt1"/>
            </a:solidFill>
          </a:ln>
          <a:effectLst/>
        </c:spPr>
      </c:pivotFmt>
      <c:pivotFmt>
        <c:idx val="1523"/>
        <c:spPr>
          <a:solidFill>
            <a:schemeClr val="accent1"/>
          </a:solidFill>
          <a:ln w="19050">
            <a:solidFill>
              <a:schemeClr val="lt1"/>
            </a:solidFill>
          </a:ln>
          <a:effectLst/>
        </c:spPr>
      </c:pivotFmt>
      <c:pivotFmt>
        <c:idx val="1524"/>
        <c:spPr>
          <a:solidFill>
            <a:schemeClr val="accent1"/>
          </a:solidFill>
          <a:ln w="19050">
            <a:solidFill>
              <a:schemeClr val="lt1"/>
            </a:solidFill>
          </a:ln>
          <a:effectLst/>
        </c:spPr>
      </c:pivotFmt>
      <c:pivotFmt>
        <c:idx val="1525"/>
        <c:spPr>
          <a:solidFill>
            <a:schemeClr val="accent1"/>
          </a:solidFill>
          <a:ln w="19050">
            <a:solidFill>
              <a:schemeClr val="lt1"/>
            </a:solidFill>
          </a:ln>
          <a:effectLst/>
        </c:spPr>
      </c:pivotFmt>
      <c:pivotFmt>
        <c:idx val="1526"/>
        <c:spPr>
          <a:solidFill>
            <a:schemeClr val="accent1"/>
          </a:solidFill>
          <a:ln w="19050">
            <a:solidFill>
              <a:schemeClr val="lt1"/>
            </a:solidFill>
          </a:ln>
          <a:effectLst/>
        </c:spPr>
      </c:pivotFmt>
      <c:pivotFmt>
        <c:idx val="1527"/>
        <c:spPr>
          <a:solidFill>
            <a:schemeClr val="accent1"/>
          </a:solidFill>
          <a:ln w="19050">
            <a:solidFill>
              <a:schemeClr val="lt1"/>
            </a:solidFill>
          </a:ln>
          <a:effectLst/>
        </c:spPr>
      </c:pivotFmt>
      <c:pivotFmt>
        <c:idx val="1528"/>
        <c:spPr>
          <a:solidFill>
            <a:schemeClr val="accent1"/>
          </a:solidFill>
          <a:ln w="19050">
            <a:solidFill>
              <a:schemeClr val="lt1"/>
            </a:solidFill>
          </a:ln>
          <a:effectLst/>
        </c:spPr>
      </c:pivotFmt>
      <c:pivotFmt>
        <c:idx val="1529"/>
        <c:spPr>
          <a:solidFill>
            <a:schemeClr val="accent1"/>
          </a:solidFill>
          <a:ln w="19050">
            <a:solidFill>
              <a:schemeClr val="lt1"/>
            </a:solidFill>
          </a:ln>
          <a:effectLst/>
        </c:spPr>
      </c:pivotFmt>
      <c:pivotFmt>
        <c:idx val="1530"/>
        <c:spPr>
          <a:solidFill>
            <a:schemeClr val="accent1"/>
          </a:solidFill>
          <a:ln w="19050">
            <a:solidFill>
              <a:schemeClr val="lt1"/>
            </a:solidFill>
          </a:ln>
          <a:effectLst/>
        </c:spPr>
      </c:pivotFmt>
      <c:pivotFmt>
        <c:idx val="1531"/>
        <c:spPr>
          <a:solidFill>
            <a:schemeClr val="accent1"/>
          </a:solidFill>
          <a:ln w="19050">
            <a:solidFill>
              <a:schemeClr val="lt1"/>
            </a:solidFill>
          </a:ln>
          <a:effectLst/>
        </c:spPr>
      </c:pivotFmt>
      <c:pivotFmt>
        <c:idx val="1532"/>
        <c:spPr>
          <a:solidFill>
            <a:schemeClr val="accent1"/>
          </a:solidFill>
          <a:ln w="19050">
            <a:solidFill>
              <a:schemeClr val="lt1"/>
            </a:solidFill>
          </a:ln>
          <a:effectLst/>
        </c:spPr>
      </c:pivotFmt>
      <c:pivotFmt>
        <c:idx val="1533"/>
        <c:spPr>
          <a:solidFill>
            <a:schemeClr val="accent1"/>
          </a:solidFill>
          <a:ln w="19050">
            <a:solidFill>
              <a:schemeClr val="lt1"/>
            </a:solidFill>
          </a:ln>
          <a:effectLst/>
        </c:spPr>
      </c:pivotFmt>
      <c:pivotFmt>
        <c:idx val="1534"/>
        <c:spPr>
          <a:solidFill>
            <a:schemeClr val="accent1"/>
          </a:solidFill>
          <a:ln w="19050">
            <a:solidFill>
              <a:schemeClr val="lt1"/>
            </a:solidFill>
          </a:ln>
          <a:effectLst/>
        </c:spPr>
      </c:pivotFmt>
      <c:pivotFmt>
        <c:idx val="1535"/>
        <c:spPr>
          <a:solidFill>
            <a:schemeClr val="accent1"/>
          </a:solidFill>
          <a:ln w="19050">
            <a:solidFill>
              <a:schemeClr val="lt1"/>
            </a:solidFill>
          </a:ln>
          <a:effectLst/>
        </c:spPr>
      </c:pivotFmt>
      <c:pivotFmt>
        <c:idx val="1536"/>
        <c:spPr>
          <a:solidFill>
            <a:schemeClr val="accent1"/>
          </a:solidFill>
          <a:ln w="19050">
            <a:solidFill>
              <a:schemeClr val="lt1"/>
            </a:solidFill>
          </a:ln>
          <a:effectLst/>
        </c:spPr>
      </c:pivotFmt>
      <c:pivotFmt>
        <c:idx val="1537"/>
        <c:spPr>
          <a:solidFill>
            <a:schemeClr val="accent1"/>
          </a:solidFill>
          <a:ln w="19050">
            <a:solidFill>
              <a:schemeClr val="lt1"/>
            </a:solidFill>
          </a:ln>
          <a:effectLst/>
        </c:spPr>
      </c:pivotFmt>
      <c:pivotFmt>
        <c:idx val="1538"/>
        <c:spPr>
          <a:solidFill>
            <a:schemeClr val="accent1"/>
          </a:solidFill>
          <a:ln w="19050">
            <a:solidFill>
              <a:schemeClr val="lt1"/>
            </a:solidFill>
          </a:ln>
          <a:effectLst/>
        </c:spPr>
      </c:pivotFmt>
      <c:pivotFmt>
        <c:idx val="1539"/>
        <c:spPr>
          <a:solidFill>
            <a:schemeClr val="accent1"/>
          </a:solidFill>
          <a:ln w="19050">
            <a:solidFill>
              <a:schemeClr val="lt1"/>
            </a:solidFill>
          </a:ln>
          <a:effectLst/>
        </c:spPr>
      </c:pivotFmt>
      <c:pivotFmt>
        <c:idx val="1540"/>
        <c:spPr>
          <a:solidFill>
            <a:schemeClr val="accent1"/>
          </a:solidFill>
          <a:ln w="19050">
            <a:solidFill>
              <a:schemeClr val="lt1"/>
            </a:solidFill>
          </a:ln>
          <a:effectLst/>
        </c:spPr>
      </c:pivotFmt>
      <c:pivotFmt>
        <c:idx val="1541"/>
        <c:spPr>
          <a:solidFill>
            <a:schemeClr val="accent1"/>
          </a:solidFill>
          <a:ln w="19050">
            <a:solidFill>
              <a:schemeClr val="lt1"/>
            </a:solidFill>
          </a:ln>
          <a:effectLst/>
        </c:spPr>
      </c:pivotFmt>
      <c:pivotFmt>
        <c:idx val="1542"/>
        <c:spPr>
          <a:solidFill>
            <a:schemeClr val="accent1"/>
          </a:solidFill>
          <a:ln w="19050">
            <a:solidFill>
              <a:schemeClr val="lt1"/>
            </a:solidFill>
          </a:ln>
          <a:effectLst/>
        </c:spPr>
      </c:pivotFmt>
      <c:pivotFmt>
        <c:idx val="1543"/>
        <c:spPr>
          <a:solidFill>
            <a:schemeClr val="accent1"/>
          </a:solidFill>
          <a:ln w="19050">
            <a:solidFill>
              <a:schemeClr val="lt1"/>
            </a:solidFill>
          </a:ln>
          <a:effectLst/>
        </c:spPr>
      </c:pivotFmt>
      <c:pivotFmt>
        <c:idx val="1544"/>
        <c:spPr>
          <a:solidFill>
            <a:schemeClr val="accent1"/>
          </a:solidFill>
          <a:ln w="19050">
            <a:solidFill>
              <a:schemeClr val="lt1"/>
            </a:solidFill>
          </a:ln>
          <a:effectLst/>
        </c:spPr>
      </c:pivotFmt>
      <c:pivotFmt>
        <c:idx val="1545"/>
        <c:spPr>
          <a:solidFill>
            <a:schemeClr val="accent1"/>
          </a:solidFill>
          <a:ln w="19050">
            <a:solidFill>
              <a:schemeClr val="lt1"/>
            </a:solidFill>
          </a:ln>
          <a:effectLst/>
        </c:spPr>
      </c:pivotFmt>
      <c:pivotFmt>
        <c:idx val="1546"/>
        <c:spPr>
          <a:solidFill>
            <a:schemeClr val="accent1"/>
          </a:solidFill>
          <a:ln w="19050">
            <a:solidFill>
              <a:schemeClr val="lt1"/>
            </a:solidFill>
          </a:ln>
          <a:effectLst/>
        </c:spPr>
      </c:pivotFmt>
      <c:pivotFmt>
        <c:idx val="1547"/>
        <c:spPr>
          <a:solidFill>
            <a:schemeClr val="accent1"/>
          </a:solidFill>
          <a:ln w="19050">
            <a:solidFill>
              <a:schemeClr val="lt1"/>
            </a:solidFill>
          </a:ln>
          <a:effectLst/>
        </c:spPr>
      </c:pivotFmt>
      <c:pivotFmt>
        <c:idx val="1548"/>
        <c:spPr>
          <a:solidFill>
            <a:schemeClr val="accent1"/>
          </a:solidFill>
          <a:ln w="19050">
            <a:solidFill>
              <a:schemeClr val="lt1"/>
            </a:solidFill>
          </a:ln>
          <a:effectLst/>
        </c:spPr>
      </c:pivotFmt>
      <c:pivotFmt>
        <c:idx val="1549"/>
        <c:spPr>
          <a:solidFill>
            <a:schemeClr val="accent1"/>
          </a:solidFill>
          <a:ln w="19050">
            <a:solidFill>
              <a:schemeClr val="lt1"/>
            </a:solidFill>
          </a:ln>
          <a:effectLst/>
        </c:spPr>
      </c:pivotFmt>
      <c:pivotFmt>
        <c:idx val="1550"/>
        <c:spPr>
          <a:solidFill>
            <a:schemeClr val="accent1"/>
          </a:solidFill>
          <a:ln w="19050">
            <a:solidFill>
              <a:schemeClr val="lt1"/>
            </a:solidFill>
          </a:ln>
          <a:effectLst/>
        </c:spPr>
      </c:pivotFmt>
      <c:pivotFmt>
        <c:idx val="1551"/>
        <c:spPr>
          <a:solidFill>
            <a:schemeClr val="accent1"/>
          </a:solidFill>
          <a:ln w="19050">
            <a:solidFill>
              <a:schemeClr val="lt1"/>
            </a:solidFill>
          </a:ln>
          <a:effectLst/>
        </c:spPr>
      </c:pivotFmt>
      <c:pivotFmt>
        <c:idx val="1552"/>
        <c:spPr>
          <a:solidFill>
            <a:schemeClr val="accent1"/>
          </a:solidFill>
          <a:ln w="19050">
            <a:solidFill>
              <a:schemeClr val="lt1"/>
            </a:solidFill>
          </a:ln>
          <a:effectLst/>
        </c:spPr>
      </c:pivotFmt>
      <c:pivotFmt>
        <c:idx val="1553"/>
        <c:spPr>
          <a:solidFill>
            <a:schemeClr val="accent1"/>
          </a:solidFill>
          <a:ln w="19050">
            <a:solidFill>
              <a:schemeClr val="lt1"/>
            </a:solidFill>
          </a:ln>
          <a:effectLst/>
        </c:spPr>
      </c:pivotFmt>
      <c:pivotFmt>
        <c:idx val="1554"/>
        <c:spPr>
          <a:solidFill>
            <a:schemeClr val="accent1"/>
          </a:solidFill>
          <a:ln w="19050">
            <a:solidFill>
              <a:schemeClr val="lt1"/>
            </a:solidFill>
          </a:ln>
          <a:effectLst/>
        </c:spPr>
      </c:pivotFmt>
      <c:pivotFmt>
        <c:idx val="1555"/>
        <c:spPr>
          <a:solidFill>
            <a:schemeClr val="accent1"/>
          </a:solidFill>
          <a:ln w="19050">
            <a:solidFill>
              <a:schemeClr val="lt1"/>
            </a:solidFill>
          </a:ln>
          <a:effectLst/>
        </c:spPr>
      </c:pivotFmt>
      <c:pivotFmt>
        <c:idx val="1556"/>
        <c:spPr>
          <a:solidFill>
            <a:schemeClr val="accent1"/>
          </a:solidFill>
          <a:ln w="19050">
            <a:solidFill>
              <a:schemeClr val="lt1"/>
            </a:solidFill>
          </a:ln>
          <a:effectLst/>
        </c:spPr>
      </c:pivotFmt>
      <c:pivotFmt>
        <c:idx val="1557"/>
        <c:spPr>
          <a:solidFill>
            <a:schemeClr val="accent1"/>
          </a:solidFill>
          <a:ln w="19050">
            <a:solidFill>
              <a:schemeClr val="lt1"/>
            </a:solidFill>
          </a:ln>
          <a:effectLst/>
        </c:spPr>
      </c:pivotFmt>
      <c:pivotFmt>
        <c:idx val="1558"/>
        <c:spPr>
          <a:solidFill>
            <a:schemeClr val="accent1"/>
          </a:solidFill>
          <a:ln w="19050">
            <a:solidFill>
              <a:schemeClr val="lt1"/>
            </a:solidFill>
          </a:ln>
          <a:effectLst/>
        </c:spPr>
      </c:pivotFmt>
      <c:pivotFmt>
        <c:idx val="1559"/>
        <c:spPr>
          <a:solidFill>
            <a:schemeClr val="accent1"/>
          </a:solidFill>
          <a:ln w="19050">
            <a:solidFill>
              <a:schemeClr val="lt1"/>
            </a:solidFill>
          </a:ln>
          <a:effectLst/>
        </c:spPr>
      </c:pivotFmt>
      <c:pivotFmt>
        <c:idx val="1560"/>
        <c:spPr>
          <a:solidFill>
            <a:schemeClr val="accent1"/>
          </a:solidFill>
          <a:ln w="19050">
            <a:solidFill>
              <a:schemeClr val="lt1"/>
            </a:solidFill>
          </a:ln>
          <a:effectLst/>
        </c:spPr>
      </c:pivotFmt>
      <c:pivotFmt>
        <c:idx val="1561"/>
        <c:spPr>
          <a:solidFill>
            <a:schemeClr val="accent1"/>
          </a:solidFill>
          <a:ln w="19050">
            <a:solidFill>
              <a:schemeClr val="lt1"/>
            </a:solidFill>
          </a:ln>
          <a:effectLst/>
        </c:spPr>
      </c:pivotFmt>
      <c:pivotFmt>
        <c:idx val="1562"/>
        <c:spPr>
          <a:solidFill>
            <a:schemeClr val="accent1"/>
          </a:solidFill>
          <a:ln w="19050">
            <a:solidFill>
              <a:schemeClr val="lt1"/>
            </a:solidFill>
          </a:ln>
          <a:effectLst/>
        </c:spPr>
      </c:pivotFmt>
      <c:pivotFmt>
        <c:idx val="1563"/>
        <c:spPr>
          <a:solidFill>
            <a:schemeClr val="accent1"/>
          </a:solidFill>
          <a:ln w="19050">
            <a:solidFill>
              <a:schemeClr val="lt1"/>
            </a:solidFill>
          </a:ln>
          <a:effectLst/>
        </c:spPr>
      </c:pivotFmt>
      <c:pivotFmt>
        <c:idx val="1564"/>
        <c:spPr>
          <a:solidFill>
            <a:schemeClr val="accent1"/>
          </a:solidFill>
          <a:ln w="19050">
            <a:solidFill>
              <a:schemeClr val="lt1"/>
            </a:solidFill>
          </a:ln>
          <a:effectLst/>
        </c:spPr>
      </c:pivotFmt>
      <c:pivotFmt>
        <c:idx val="1565"/>
        <c:spPr>
          <a:solidFill>
            <a:schemeClr val="accent1"/>
          </a:solidFill>
          <a:ln w="19050">
            <a:solidFill>
              <a:schemeClr val="lt1"/>
            </a:solidFill>
          </a:ln>
          <a:effectLst/>
        </c:spPr>
      </c:pivotFmt>
      <c:pivotFmt>
        <c:idx val="1566"/>
        <c:spPr>
          <a:solidFill>
            <a:schemeClr val="accent1"/>
          </a:solidFill>
          <a:ln w="19050">
            <a:solidFill>
              <a:schemeClr val="lt1"/>
            </a:solidFill>
          </a:ln>
          <a:effectLst/>
        </c:spPr>
      </c:pivotFmt>
      <c:pivotFmt>
        <c:idx val="1567"/>
        <c:spPr>
          <a:solidFill>
            <a:schemeClr val="accent1"/>
          </a:solidFill>
          <a:ln w="19050">
            <a:solidFill>
              <a:schemeClr val="lt1"/>
            </a:solidFill>
          </a:ln>
          <a:effectLst/>
        </c:spPr>
      </c:pivotFmt>
      <c:pivotFmt>
        <c:idx val="1568"/>
        <c:spPr>
          <a:solidFill>
            <a:schemeClr val="accent1"/>
          </a:solidFill>
          <a:ln w="19050">
            <a:solidFill>
              <a:schemeClr val="lt1"/>
            </a:solidFill>
          </a:ln>
          <a:effectLst/>
        </c:spPr>
      </c:pivotFmt>
      <c:pivotFmt>
        <c:idx val="1569"/>
        <c:spPr>
          <a:solidFill>
            <a:schemeClr val="accent1"/>
          </a:solidFill>
          <a:ln w="19050">
            <a:solidFill>
              <a:schemeClr val="lt1"/>
            </a:solidFill>
          </a:ln>
          <a:effectLst/>
        </c:spPr>
      </c:pivotFmt>
      <c:pivotFmt>
        <c:idx val="1570"/>
        <c:spPr>
          <a:solidFill>
            <a:schemeClr val="accent1"/>
          </a:solidFill>
          <a:ln w="19050">
            <a:solidFill>
              <a:schemeClr val="lt1"/>
            </a:solidFill>
          </a:ln>
          <a:effectLst/>
        </c:spPr>
      </c:pivotFmt>
      <c:pivotFmt>
        <c:idx val="1571"/>
        <c:spPr>
          <a:solidFill>
            <a:schemeClr val="accent1"/>
          </a:solidFill>
          <a:ln w="19050">
            <a:solidFill>
              <a:schemeClr val="lt1"/>
            </a:solidFill>
          </a:ln>
          <a:effectLst/>
        </c:spPr>
      </c:pivotFmt>
      <c:pivotFmt>
        <c:idx val="1572"/>
        <c:spPr>
          <a:solidFill>
            <a:schemeClr val="accent1"/>
          </a:solidFill>
          <a:ln w="19050">
            <a:solidFill>
              <a:schemeClr val="lt1"/>
            </a:solidFill>
          </a:ln>
          <a:effectLst/>
        </c:spPr>
      </c:pivotFmt>
      <c:pivotFmt>
        <c:idx val="1573"/>
        <c:spPr>
          <a:solidFill>
            <a:schemeClr val="accent1"/>
          </a:solidFill>
          <a:ln w="19050">
            <a:solidFill>
              <a:schemeClr val="lt1"/>
            </a:solidFill>
          </a:ln>
          <a:effectLst/>
        </c:spPr>
      </c:pivotFmt>
      <c:pivotFmt>
        <c:idx val="1574"/>
        <c:spPr>
          <a:solidFill>
            <a:schemeClr val="accent1"/>
          </a:solidFill>
          <a:ln w="19050">
            <a:solidFill>
              <a:schemeClr val="lt1"/>
            </a:solidFill>
          </a:ln>
          <a:effectLst/>
        </c:spPr>
      </c:pivotFmt>
      <c:pivotFmt>
        <c:idx val="1575"/>
        <c:spPr>
          <a:solidFill>
            <a:schemeClr val="accent1"/>
          </a:solidFill>
          <a:ln w="19050">
            <a:solidFill>
              <a:schemeClr val="lt1"/>
            </a:solidFill>
          </a:ln>
          <a:effectLst/>
        </c:spPr>
      </c:pivotFmt>
      <c:pivotFmt>
        <c:idx val="1576"/>
        <c:spPr>
          <a:solidFill>
            <a:schemeClr val="accent1"/>
          </a:solidFill>
          <a:ln w="19050">
            <a:solidFill>
              <a:schemeClr val="lt1"/>
            </a:solidFill>
          </a:ln>
          <a:effectLst/>
        </c:spPr>
      </c:pivotFmt>
      <c:pivotFmt>
        <c:idx val="1577"/>
        <c:spPr>
          <a:solidFill>
            <a:schemeClr val="accent1"/>
          </a:solidFill>
          <a:ln w="19050">
            <a:solidFill>
              <a:schemeClr val="lt1"/>
            </a:solidFill>
          </a:ln>
          <a:effectLst/>
        </c:spPr>
      </c:pivotFmt>
      <c:pivotFmt>
        <c:idx val="1578"/>
        <c:spPr>
          <a:solidFill>
            <a:schemeClr val="accent1"/>
          </a:solidFill>
          <a:ln w="19050">
            <a:solidFill>
              <a:schemeClr val="lt1"/>
            </a:solidFill>
          </a:ln>
          <a:effectLst/>
        </c:spPr>
      </c:pivotFmt>
      <c:pivotFmt>
        <c:idx val="1579"/>
        <c:spPr>
          <a:solidFill>
            <a:schemeClr val="accent1"/>
          </a:solidFill>
          <a:ln w="19050">
            <a:solidFill>
              <a:schemeClr val="lt1"/>
            </a:solidFill>
          </a:ln>
          <a:effectLst/>
        </c:spPr>
      </c:pivotFmt>
      <c:pivotFmt>
        <c:idx val="1580"/>
        <c:spPr>
          <a:solidFill>
            <a:schemeClr val="accent1"/>
          </a:solidFill>
          <a:ln w="19050">
            <a:solidFill>
              <a:schemeClr val="lt1"/>
            </a:solidFill>
          </a:ln>
          <a:effectLst/>
        </c:spPr>
      </c:pivotFmt>
      <c:pivotFmt>
        <c:idx val="1581"/>
        <c:spPr>
          <a:solidFill>
            <a:schemeClr val="accent1"/>
          </a:solidFill>
          <a:ln w="19050">
            <a:solidFill>
              <a:schemeClr val="lt1"/>
            </a:solidFill>
          </a:ln>
          <a:effectLst/>
        </c:spPr>
      </c:pivotFmt>
      <c:pivotFmt>
        <c:idx val="1582"/>
        <c:spPr>
          <a:solidFill>
            <a:schemeClr val="accent1"/>
          </a:solidFill>
          <a:ln w="19050">
            <a:solidFill>
              <a:schemeClr val="lt1"/>
            </a:solidFill>
          </a:ln>
          <a:effectLst/>
        </c:spPr>
      </c:pivotFmt>
      <c:pivotFmt>
        <c:idx val="1583"/>
        <c:spPr>
          <a:solidFill>
            <a:schemeClr val="accent1"/>
          </a:solidFill>
          <a:ln w="19050">
            <a:solidFill>
              <a:schemeClr val="lt1"/>
            </a:solidFill>
          </a:ln>
          <a:effectLst/>
        </c:spPr>
      </c:pivotFmt>
      <c:pivotFmt>
        <c:idx val="1584"/>
        <c:spPr>
          <a:solidFill>
            <a:schemeClr val="accent1"/>
          </a:solidFill>
          <a:ln w="19050">
            <a:solidFill>
              <a:schemeClr val="lt1"/>
            </a:solidFill>
          </a:ln>
          <a:effectLst/>
        </c:spPr>
      </c:pivotFmt>
      <c:pivotFmt>
        <c:idx val="1585"/>
        <c:spPr>
          <a:solidFill>
            <a:schemeClr val="accent1"/>
          </a:solidFill>
          <a:ln w="19050">
            <a:solidFill>
              <a:schemeClr val="lt1"/>
            </a:solidFill>
          </a:ln>
          <a:effectLst/>
        </c:spPr>
      </c:pivotFmt>
      <c:pivotFmt>
        <c:idx val="1586"/>
        <c:spPr>
          <a:solidFill>
            <a:schemeClr val="accent1"/>
          </a:solidFill>
          <a:ln w="19050">
            <a:solidFill>
              <a:schemeClr val="lt1"/>
            </a:solidFill>
          </a:ln>
          <a:effectLst/>
        </c:spPr>
      </c:pivotFmt>
      <c:pivotFmt>
        <c:idx val="1587"/>
        <c:spPr>
          <a:solidFill>
            <a:schemeClr val="accent1"/>
          </a:solidFill>
          <a:ln w="19050">
            <a:solidFill>
              <a:schemeClr val="lt1"/>
            </a:solidFill>
          </a:ln>
          <a:effectLst/>
        </c:spPr>
      </c:pivotFmt>
      <c:pivotFmt>
        <c:idx val="1588"/>
        <c:spPr>
          <a:solidFill>
            <a:schemeClr val="accent1"/>
          </a:solidFill>
          <a:ln w="19050">
            <a:solidFill>
              <a:schemeClr val="lt1"/>
            </a:solidFill>
          </a:ln>
          <a:effectLst/>
        </c:spPr>
      </c:pivotFmt>
      <c:pivotFmt>
        <c:idx val="1589"/>
        <c:spPr>
          <a:solidFill>
            <a:schemeClr val="accent1"/>
          </a:solidFill>
          <a:ln w="19050">
            <a:solidFill>
              <a:schemeClr val="lt1"/>
            </a:solidFill>
          </a:ln>
          <a:effectLst/>
        </c:spPr>
      </c:pivotFmt>
      <c:pivotFmt>
        <c:idx val="1590"/>
        <c:spPr>
          <a:solidFill>
            <a:schemeClr val="accent1"/>
          </a:solidFill>
          <a:ln w="19050">
            <a:solidFill>
              <a:schemeClr val="lt1"/>
            </a:solidFill>
          </a:ln>
          <a:effectLst/>
        </c:spPr>
      </c:pivotFmt>
      <c:pivotFmt>
        <c:idx val="1591"/>
        <c:spPr>
          <a:solidFill>
            <a:schemeClr val="accent1"/>
          </a:solidFill>
          <a:ln w="19050">
            <a:solidFill>
              <a:schemeClr val="lt1"/>
            </a:solidFill>
          </a:ln>
          <a:effectLst/>
        </c:spPr>
      </c:pivotFmt>
      <c:pivotFmt>
        <c:idx val="1592"/>
        <c:spPr>
          <a:solidFill>
            <a:schemeClr val="accent1"/>
          </a:solidFill>
          <a:ln w="19050">
            <a:solidFill>
              <a:schemeClr val="lt1"/>
            </a:solidFill>
          </a:ln>
          <a:effectLst/>
        </c:spPr>
      </c:pivotFmt>
      <c:pivotFmt>
        <c:idx val="1593"/>
        <c:spPr>
          <a:solidFill>
            <a:schemeClr val="accent1"/>
          </a:solidFill>
          <a:ln w="19050">
            <a:solidFill>
              <a:schemeClr val="lt1"/>
            </a:solidFill>
          </a:ln>
          <a:effectLst/>
        </c:spPr>
      </c:pivotFmt>
      <c:pivotFmt>
        <c:idx val="1594"/>
        <c:spPr>
          <a:solidFill>
            <a:schemeClr val="accent1"/>
          </a:solidFill>
          <a:ln w="19050">
            <a:solidFill>
              <a:schemeClr val="lt1"/>
            </a:solidFill>
          </a:ln>
          <a:effectLst/>
        </c:spPr>
      </c:pivotFmt>
      <c:pivotFmt>
        <c:idx val="1595"/>
        <c:spPr>
          <a:solidFill>
            <a:schemeClr val="accent1"/>
          </a:solidFill>
          <a:ln w="19050">
            <a:solidFill>
              <a:schemeClr val="lt1"/>
            </a:solidFill>
          </a:ln>
          <a:effectLst/>
        </c:spPr>
      </c:pivotFmt>
      <c:pivotFmt>
        <c:idx val="1596"/>
        <c:spPr>
          <a:solidFill>
            <a:schemeClr val="accent1"/>
          </a:solidFill>
          <a:ln w="19050">
            <a:solidFill>
              <a:schemeClr val="lt1"/>
            </a:solidFill>
          </a:ln>
          <a:effectLst/>
        </c:spPr>
      </c:pivotFmt>
      <c:pivotFmt>
        <c:idx val="1597"/>
        <c:spPr>
          <a:solidFill>
            <a:schemeClr val="accent1"/>
          </a:solidFill>
          <a:ln w="19050">
            <a:solidFill>
              <a:schemeClr val="lt1"/>
            </a:solidFill>
          </a:ln>
          <a:effectLst/>
        </c:spPr>
      </c:pivotFmt>
      <c:pivotFmt>
        <c:idx val="1598"/>
        <c:spPr>
          <a:solidFill>
            <a:schemeClr val="accent1"/>
          </a:solidFill>
          <a:ln w="19050">
            <a:solidFill>
              <a:schemeClr val="lt1"/>
            </a:solidFill>
          </a:ln>
          <a:effectLst/>
        </c:spPr>
      </c:pivotFmt>
      <c:pivotFmt>
        <c:idx val="1599"/>
        <c:spPr>
          <a:solidFill>
            <a:schemeClr val="accent1"/>
          </a:solidFill>
          <a:ln w="19050">
            <a:solidFill>
              <a:schemeClr val="lt1"/>
            </a:solidFill>
          </a:ln>
          <a:effectLst/>
        </c:spPr>
      </c:pivotFmt>
      <c:pivotFmt>
        <c:idx val="1600"/>
        <c:spPr>
          <a:solidFill>
            <a:schemeClr val="accent1"/>
          </a:solidFill>
          <a:ln w="19050">
            <a:solidFill>
              <a:schemeClr val="lt1"/>
            </a:solidFill>
          </a:ln>
          <a:effectLst/>
        </c:spPr>
      </c:pivotFmt>
      <c:pivotFmt>
        <c:idx val="1601"/>
        <c:spPr>
          <a:solidFill>
            <a:schemeClr val="accent1"/>
          </a:solidFill>
          <a:ln w="19050">
            <a:solidFill>
              <a:schemeClr val="lt1"/>
            </a:solidFill>
          </a:ln>
          <a:effectLst/>
        </c:spPr>
      </c:pivotFmt>
      <c:pivotFmt>
        <c:idx val="1602"/>
        <c:spPr>
          <a:solidFill>
            <a:schemeClr val="accent1"/>
          </a:solidFill>
          <a:ln w="19050">
            <a:solidFill>
              <a:schemeClr val="lt1"/>
            </a:solidFill>
          </a:ln>
          <a:effectLst/>
        </c:spPr>
      </c:pivotFmt>
      <c:pivotFmt>
        <c:idx val="1603"/>
        <c:spPr>
          <a:solidFill>
            <a:schemeClr val="accent1"/>
          </a:solidFill>
          <a:ln w="19050">
            <a:solidFill>
              <a:schemeClr val="lt1"/>
            </a:solidFill>
          </a:ln>
          <a:effectLst/>
        </c:spPr>
      </c:pivotFmt>
      <c:pivotFmt>
        <c:idx val="1604"/>
        <c:spPr>
          <a:solidFill>
            <a:schemeClr val="accent1"/>
          </a:solidFill>
          <a:ln w="19050">
            <a:solidFill>
              <a:schemeClr val="lt1"/>
            </a:solidFill>
          </a:ln>
          <a:effectLst/>
        </c:spPr>
      </c:pivotFmt>
      <c:pivotFmt>
        <c:idx val="1605"/>
        <c:spPr>
          <a:solidFill>
            <a:schemeClr val="accent1"/>
          </a:solidFill>
          <a:ln w="19050">
            <a:solidFill>
              <a:schemeClr val="lt1"/>
            </a:solidFill>
          </a:ln>
          <a:effectLst/>
        </c:spPr>
      </c:pivotFmt>
      <c:pivotFmt>
        <c:idx val="1606"/>
        <c:spPr>
          <a:solidFill>
            <a:schemeClr val="accent1"/>
          </a:solidFill>
          <a:ln w="19050">
            <a:solidFill>
              <a:schemeClr val="lt1"/>
            </a:solidFill>
          </a:ln>
          <a:effectLst/>
        </c:spPr>
      </c:pivotFmt>
      <c:pivotFmt>
        <c:idx val="1607"/>
        <c:spPr>
          <a:solidFill>
            <a:schemeClr val="accent1"/>
          </a:solidFill>
          <a:ln w="19050">
            <a:solidFill>
              <a:schemeClr val="lt1"/>
            </a:solidFill>
          </a:ln>
          <a:effectLst/>
        </c:spPr>
      </c:pivotFmt>
      <c:pivotFmt>
        <c:idx val="1608"/>
        <c:spPr>
          <a:solidFill>
            <a:schemeClr val="accent1"/>
          </a:solidFill>
          <a:ln w="19050">
            <a:solidFill>
              <a:schemeClr val="lt1"/>
            </a:solidFill>
          </a:ln>
          <a:effectLst/>
        </c:spPr>
      </c:pivotFmt>
      <c:pivotFmt>
        <c:idx val="1609"/>
        <c:spPr>
          <a:solidFill>
            <a:schemeClr val="accent1"/>
          </a:solidFill>
          <a:ln w="19050">
            <a:solidFill>
              <a:schemeClr val="lt1"/>
            </a:solidFill>
          </a:ln>
          <a:effectLst/>
        </c:spPr>
      </c:pivotFmt>
      <c:pivotFmt>
        <c:idx val="1610"/>
        <c:spPr>
          <a:solidFill>
            <a:schemeClr val="accent1"/>
          </a:solidFill>
          <a:ln w="19050">
            <a:solidFill>
              <a:schemeClr val="lt1"/>
            </a:solidFill>
          </a:ln>
          <a:effectLst/>
        </c:spPr>
      </c:pivotFmt>
      <c:pivotFmt>
        <c:idx val="1611"/>
        <c:spPr>
          <a:solidFill>
            <a:schemeClr val="accent1"/>
          </a:solidFill>
          <a:ln w="19050">
            <a:solidFill>
              <a:schemeClr val="lt1"/>
            </a:solidFill>
          </a:ln>
          <a:effectLst/>
        </c:spPr>
      </c:pivotFmt>
      <c:pivotFmt>
        <c:idx val="1612"/>
        <c:spPr>
          <a:solidFill>
            <a:schemeClr val="accent1"/>
          </a:solidFill>
          <a:ln w="19050">
            <a:solidFill>
              <a:schemeClr val="lt1"/>
            </a:solidFill>
          </a:ln>
          <a:effectLst/>
        </c:spPr>
      </c:pivotFmt>
      <c:pivotFmt>
        <c:idx val="1613"/>
        <c:spPr>
          <a:solidFill>
            <a:schemeClr val="accent1"/>
          </a:solidFill>
          <a:ln w="19050">
            <a:solidFill>
              <a:schemeClr val="lt1"/>
            </a:solidFill>
          </a:ln>
          <a:effectLst/>
        </c:spPr>
      </c:pivotFmt>
      <c:pivotFmt>
        <c:idx val="1614"/>
        <c:spPr>
          <a:solidFill>
            <a:schemeClr val="accent1"/>
          </a:solidFill>
          <a:ln w="19050">
            <a:solidFill>
              <a:schemeClr val="lt1"/>
            </a:solidFill>
          </a:ln>
          <a:effectLst/>
        </c:spPr>
      </c:pivotFmt>
      <c:pivotFmt>
        <c:idx val="1615"/>
        <c:spPr>
          <a:solidFill>
            <a:schemeClr val="accent1"/>
          </a:solidFill>
          <a:ln w="19050">
            <a:solidFill>
              <a:schemeClr val="lt1"/>
            </a:solidFill>
          </a:ln>
          <a:effectLst/>
        </c:spPr>
      </c:pivotFmt>
      <c:pivotFmt>
        <c:idx val="1616"/>
        <c:spPr>
          <a:solidFill>
            <a:schemeClr val="accent1"/>
          </a:solidFill>
          <a:ln w="19050">
            <a:solidFill>
              <a:schemeClr val="lt1"/>
            </a:solidFill>
          </a:ln>
          <a:effectLst/>
        </c:spPr>
      </c:pivotFmt>
      <c:pivotFmt>
        <c:idx val="1617"/>
        <c:spPr>
          <a:solidFill>
            <a:schemeClr val="accent1"/>
          </a:solidFill>
          <a:ln w="19050">
            <a:solidFill>
              <a:schemeClr val="lt1"/>
            </a:solidFill>
          </a:ln>
          <a:effectLst/>
        </c:spPr>
      </c:pivotFmt>
      <c:pivotFmt>
        <c:idx val="1618"/>
        <c:spPr>
          <a:solidFill>
            <a:schemeClr val="accent1"/>
          </a:solidFill>
          <a:ln w="19050">
            <a:solidFill>
              <a:schemeClr val="lt1"/>
            </a:solidFill>
          </a:ln>
          <a:effectLst/>
        </c:spPr>
      </c:pivotFmt>
      <c:pivotFmt>
        <c:idx val="1619"/>
        <c:spPr>
          <a:solidFill>
            <a:schemeClr val="accent1"/>
          </a:solidFill>
          <a:ln w="19050">
            <a:solidFill>
              <a:schemeClr val="lt1"/>
            </a:solidFill>
          </a:ln>
          <a:effectLst/>
        </c:spPr>
      </c:pivotFmt>
      <c:pivotFmt>
        <c:idx val="1620"/>
        <c:spPr>
          <a:solidFill>
            <a:schemeClr val="accent1"/>
          </a:solidFill>
          <a:ln w="19050">
            <a:solidFill>
              <a:schemeClr val="lt1"/>
            </a:solidFill>
          </a:ln>
          <a:effectLst/>
        </c:spPr>
      </c:pivotFmt>
      <c:pivotFmt>
        <c:idx val="1621"/>
        <c:spPr>
          <a:solidFill>
            <a:schemeClr val="accent1"/>
          </a:solidFill>
          <a:ln w="19050">
            <a:solidFill>
              <a:schemeClr val="lt1"/>
            </a:solidFill>
          </a:ln>
          <a:effectLst/>
        </c:spPr>
      </c:pivotFmt>
      <c:pivotFmt>
        <c:idx val="1622"/>
        <c:spPr>
          <a:solidFill>
            <a:schemeClr val="accent1"/>
          </a:solidFill>
          <a:ln w="19050">
            <a:solidFill>
              <a:schemeClr val="lt1"/>
            </a:solidFill>
          </a:ln>
          <a:effectLst/>
        </c:spPr>
      </c:pivotFmt>
      <c:pivotFmt>
        <c:idx val="1623"/>
        <c:spPr>
          <a:solidFill>
            <a:schemeClr val="accent1"/>
          </a:solidFill>
          <a:ln w="19050">
            <a:solidFill>
              <a:schemeClr val="lt1"/>
            </a:solidFill>
          </a:ln>
          <a:effectLst/>
        </c:spPr>
      </c:pivotFmt>
      <c:pivotFmt>
        <c:idx val="1624"/>
        <c:spPr>
          <a:solidFill>
            <a:schemeClr val="accent1"/>
          </a:solidFill>
          <a:ln w="19050">
            <a:solidFill>
              <a:schemeClr val="lt1"/>
            </a:solidFill>
          </a:ln>
          <a:effectLst/>
        </c:spPr>
      </c:pivotFmt>
      <c:pivotFmt>
        <c:idx val="1625"/>
        <c:spPr>
          <a:solidFill>
            <a:schemeClr val="accent1"/>
          </a:solidFill>
          <a:ln w="19050">
            <a:solidFill>
              <a:schemeClr val="lt1"/>
            </a:solidFill>
          </a:ln>
          <a:effectLst/>
        </c:spPr>
      </c:pivotFmt>
      <c:pivotFmt>
        <c:idx val="1626"/>
        <c:spPr>
          <a:solidFill>
            <a:schemeClr val="accent1"/>
          </a:solidFill>
          <a:ln w="19050">
            <a:solidFill>
              <a:schemeClr val="lt1"/>
            </a:solidFill>
          </a:ln>
          <a:effectLst/>
        </c:spPr>
      </c:pivotFmt>
      <c:pivotFmt>
        <c:idx val="1627"/>
        <c:spPr>
          <a:solidFill>
            <a:schemeClr val="accent1"/>
          </a:solidFill>
          <a:ln w="19050">
            <a:solidFill>
              <a:schemeClr val="lt1"/>
            </a:solidFill>
          </a:ln>
          <a:effectLst/>
        </c:spPr>
      </c:pivotFmt>
      <c:pivotFmt>
        <c:idx val="1628"/>
        <c:spPr>
          <a:solidFill>
            <a:schemeClr val="accent1"/>
          </a:solidFill>
          <a:ln w="19050">
            <a:solidFill>
              <a:schemeClr val="lt1"/>
            </a:solidFill>
          </a:ln>
          <a:effectLst/>
        </c:spPr>
      </c:pivotFmt>
      <c:pivotFmt>
        <c:idx val="1629"/>
        <c:spPr>
          <a:solidFill>
            <a:schemeClr val="accent1"/>
          </a:solidFill>
          <a:ln w="19050">
            <a:solidFill>
              <a:schemeClr val="lt1"/>
            </a:solidFill>
          </a:ln>
          <a:effectLst/>
        </c:spPr>
      </c:pivotFmt>
      <c:pivotFmt>
        <c:idx val="1630"/>
        <c:spPr>
          <a:solidFill>
            <a:schemeClr val="accent1"/>
          </a:solidFill>
          <a:ln w="19050">
            <a:solidFill>
              <a:schemeClr val="lt1"/>
            </a:solidFill>
          </a:ln>
          <a:effectLst/>
        </c:spPr>
      </c:pivotFmt>
      <c:pivotFmt>
        <c:idx val="1631"/>
        <c:spPr>
          <a:solidFill>
            <a:schemeClr val="accent1"/>
          </a:solidFill>
          <a:ln w="19050">
            <a:solidFill>
              <a:schemeClr val="lt1"/>
            </a:solidFill>
          </a:ln>
          <a:effectLst/>
        </c:spPr>
      </c:pivotFmt>
      <c:pivotFmt>
        <c:idx val="1632"/>
        <c:spPr>
          <a:solidFill>
            <a:schemeClr val="accent1"/>
          </a:solidFill>
          <a:ln w="19050">
            <a:solidFill>
              <a:schemeClr val="lt1"/>
            </a:solidFill>
          </a:ln>
          <a:effectLst/>
        </c:spPr>
      </c:pivotFmt>
      <c:pivotFmt>
        <c:idx val="1633"/>
        <c:spPr>
          <a:solidFill>
            <a:schemeClr val="accent1"/>
          </a:solidFill>
          <a:ln w="19050">
            <a:solidFill>
              <a:schemeClr val="lt1"/>
            </a:solidFill>
          </a:ln>
          <a:effectLst/>
        </c:spPr>
      </c:pivotFmt>
      <c:pivotFmt>
        <c:idx val="1634"/>
        <c:spPr>
          <a:solidFill>
            <a:schemeClr val="accent1"/>
          </a:solidFill>
          <a:ln w="19050">
            <a:solidFill>
              <a:schemeClr val="lt1"/>
            </a:solidFill>
          </a:ln>
          <a:effectLst/>
        </c:spPr>
      </c:pivotFmt>
      <c:pivotFmt>
        <c:idx val="1635"/>
        <c:spPr>
          <a:solidFill>
            <a:schemeClr val="accent1"/>
          </a:solidFill>
          <a:ln w="19050">
            <a:solidFill>
              <a:schemeClr val="lt1"/>
            </a:solidFill>
          </a:ln>
          <a:effectLst/>
        </c:spPr>
      </c:pivotFmt>
      <c:pivotFmt>
        <c:idx val="1636"/>
        <c:spPr>
          <a:solidFill>
            <a:schemeClr val="accent1"/>
          </a:solidFill>
          <a:ln w="19050">
            <a:solidFill>
              <a:schemeClr val="lt1"/>
            </a:solidFill>
          </a:ln>
          <a:effectLst/>
        </c:spPr>
      </c:pivotFmt>
      <c:pivotFmt>
        <c:idx val="1637"/>
        <c:spPr>
          <a:solidFill>
            <a:schemeClr val="accent1"/>
          </a:solidFill>
          <a:ln w="19050">
            <a:solidFill>
              <a:schemeClr val="lt1"/>
            </a:solidFill>
          </a:ln>
          <a:effectLst/>
        </c:spPr>
      </c:pivotFmt>
      <c:pivotFmt>
        <c:idx val="1638"/>
        <c:spPr>
          <a:solidFill>
            <a:schemeClr val="accent1"/>
          </a:solidFill>
          <a:ln w="19050">
            <a:solidFill>
              <a:schemeClr val="lt1"/>
            </a:solidFill>
          </a:ln>
          <a:effectLst/>
        </c:spPr>
      </c:pivotFmt>
      <c:pivotFmt>
        <c:idx val="1639"/>
        <c:spPr>
          <a:solidFill>
            <a:schemeClr val="accent1"/>
          </a:solidFill>
          <a:ln w="19050">
            <a:solidFill>
              <a:schemeClr val="lt1"/>
            </a:solidFill>
          </a:ln>
          <a:effectLst/>
        </c:spPr>
      </c:pivotFmt>
      <c:pivotFmt>
        <c:idx val="1640"/>
        <c:spPr>
          <a:solidFill>
            <a:schemeClr val="accent1"/>
          </a:solidFill>
          <a:ln w="19050">
            <a:solidFill>
              <a:schemeClr val="lt1"/>
            </a:solidFill>
          </a:ln>
          <a:effectLst/>
        </c:spPr>
      </c:pivotFmt>
      <c:pivotFmt>
        <c:idx val="1641"/>
        <c:spPr>
          <a:solidFill>
            <a:schemeClr val="accent1"/>
          </a:solidFill>
          <a:ln w="19050">
            <a:solidFill>
              <a:schemeClr val="lt1"/>
            </a:solidFill>
          </a:ln>
          <a:effectLst/>
        </c:spPr>
      </c:pivotFmt>
      <c:pivotFmt>
        <c:idx val="1642"/>
        <c:spPr>
          <a:solidFill>
            <a:schemeClr val="accent1"/>
          </a:solidFill>
          <a:ln w="19050">
            <a:solidFill>
              <a:schemeClr val="lt1"/>
            </a:solidFill>
          </a:ln>
          <a:effectLst/>
        </c:spPr>
      </c:pivotFmt>
      <c:pivotFmt>
        <c:idx val="1643"/>
        <c:spPr>
          <a:solidFill>
            <a:schemeClr val="accent1"/>
          </a:solidFill>
          <a:ln w="19050">
            <a:solidFill>
              <a:schemeClr val="lt1"/>
            </a:solidFill>
          </a:ln>
          <a:effectLst/>
        </c:spPr>
      </c:pivotFmt>
      <c:pivotFmt>
        <c:idx val="1644"/>
        <c:spPr>
          <a:solidFill>
            <a:schemeClr val="accent1"/>
          </a:solidFill>
          <a:ln w="19050">
            <a:solidFill>
              <a:schemeClr val="lt1"/>
            </a:solidFill>
          </a:ln>
          <a:effectLst/>
        </c:spPr>
      </c:pivotFmt>
      <c:pivotFmt>
        <c:idx val="1645"/>
        <c:spPr>
          <a:solidFill>
            <a:schemeClr val="accent1"/>
          </a:solidFill>
          <a:ln w="19050">
            <a:solidFill>
              <a:schemeClr val="lt1"/>
            </a:solidFill>
          </a:ln>
          <a:effectLst/>
        </c:spPr>
      </c:pivotFmt>
      <c:pivotFmt>
        <c:idx val="1646"/>
        <c:spPr>
          <a:solidFill>
            <a:schemeClr val="accent1"/>
          </a:solidFill>
          <a:ln w="19050">
            <a:solidFill>
              <a:schemeClr val="lt1"/>
            </a:solidFill>
          </a:ln>
          <a:effectLst/>
        </c:spPr>
      </c:pivotFmt>
      <c:pivotFmt>
        <c:idx val="1647"/>
        <c:spPr>
          <a:solidFill>
            <a:schemeClr val="accent1"/>
          </a:solidFill>
          <a:ln w="19050">
            <a:solidFill>
              <a:schemeClr val="lt1"/>
            </a:solidFill>
          </a:ln>
          <a:effectLst/>
        </c:spPr>
      </c:pivotFmt>
      <c:pivotFmt>
        <c:idx val="1648"/>
        <c:spPr>
          <a:solidFill>
            <a:schemeClr val="accent1"/>
          </a:solidFill>
          <a:ln w="19050">
            <a:solidFill>
              <a:schemeClr val="lt1"/>
            </a:solidFill>
          </a:ln>
          <a:effectLst/>
        </c:spPr>
      </c:pivotFmt>
      <c:pivotFmt>
        <c:idx val="1649"/>
        <c:spPr>
          <a:solidFill>
            <a:schemeClr val="accent1"/>
          </a:solidFill>
          <a:ln w="19050">
            <a:solidFill>
              <a:schemeClr val="lt1"/>
            </a:solidFill>
          </a:ln>
          <a:effectLst/>
        </c:spPr>
      </c:pivotFmt>
      <c:pivotFmt>
        <c:idx val="1650"/>
        <c:spPr>
          <a:solidFill>
            <a:schemeClr val="accent1"/>
          </a:solidFill>
          <a:ln w="19050">
            <a:solidFill>
              <a:schemeClr val="lt1"/>
            </a:solidFill>
          </a:ln>
          <a:effectLst/>
        </c:spPr>
      </c:pivotFmt>
      <c:pivotFmt>
        <c:idx val="1651"/>
        <c:spPr>
          <a:solidFill>
            <a:schemeClr val="accent1"/>
          </a:solidFill>
          <a:ln w="19050">
            <a:solidFill>
              <a:schemeClr val="lt1"/>
            </a:solidFill>
          </a:ln>
          <a:effectLst/>
        </c:spPr>
      </c:pivotFmt>
      <c:pivotFmt>
        <c:idx val="1652"/>
        <c:spPr>
          <a:solidFill>
            <a:schemeClr val="accent1"/>
          </a:solidFill>
          <a:ln w="19050">
            <a:solidFill>
              <a:schemeClr val="lt1"/>
            </a:solidFill>
          </a:ln>
          <a:effectLst/>
        </c:spPr>
      </c:pivotFmt>
      <c:pivotFmt>
        <c:idx val="1653"/>
        <c:spPr>
          <a:solidFill>
            <a:schemeClr val="accent1"/>
          </a:solidFill>
          <a:ln w="19050">
            <a:solidFill>
              <a:schemeClr val="lt1"/>
            </a:solidFill>
          </a:ln>
          <a:effectLst/>
        </c:spPr>
      </c:pivotFmt>
      <c:pivotFmt>
        <c:idx val="1654"/>
        <c:spPr>
          <a:solidFill>
            <a:schemeClr val="accent1"/>
          </a:solidFill>
          <a:ln w="19050">
            <a:solidFill>
              <a:schemeClr val="lt1"/>
            </a:solidFill>
          </a:ln>
          <a:effectLst/>
        </c:spPr>
      </c:pivotFmt>
      <c:pivotFmt>
        <c:idx val="1655"/>
        <c:spPr>
          <a:solidFill>
            <a:schemeClr val="accent1"/>
          </a:solidFill>
          <a:ln w="19050">
            <a:solidFill>
              <a:schemeClr val="lt1"/>
            </a:solidFill>
          </a:ln>
          <a:effectLst/>
        </c:spPr>
      </c:pivotFmt>
      <c:pivotFmt>
        <c:idx val="1656"/>
        <c:spPr>
          <a:solidFill>
            <a:schemeClr val="accent1"/>
          </a:solidFill>
          <a:ln w="19050">
            <a:solidFill>
              <a:schemeClr val="lt1"/>
            </a:solidFill>
          </a:ln>
          <a:effectLst/>
        </c:spPr>
      </c:pivotFmt>
      <c:pivotFmt>
        <c:idx val="1657"/>
        <c:spPr>
          <a:solidFill>
            <a:schemeClr val="accent1"/>
          </a:solidFill>
          <a:ln w="19050">
            <a:solidFill>
              <a:schemeClr val="lt1"/>
            </a:solidFill>
          </a:ln>
          <a:effectLst/>
        </c:spPr>
      </c:pivotFmt>
      <c:pivotFmt>
        <c:idx val="1658"/>
        <c:spPr>
          <a:solidFill>
            <a:schemeClr val="accent1"/>
          </a:solidFill>
          <a:ln w="19050">
            <a:solidFill>
              <a:schemeClr val="lt1"/>
            </a:solidFill>
          </a:ln>
          <a:effectLst/>
        </c:spPr>
      </c:pivotFmt>
      <c:pivotFmt>
        <c:idx val="1659"/>
        <c:spPr>
          <a:solidFill>
            <a:schemeClr val="accent1"/>
          </a:solidFill>
          <a:ln w="19050">
            <a:solidFill>
              <a:schemeClr val="lt1"/>
            </a:solidFill>
          </a:ln>
          <a:effectLst/>
        </c:spPr>
      </c:pivotFmt>
      <c:pivotFmt>
        <c:idx val="1660"/>
        <c:spPr>
          <a:solidFill>
            <a:schemeClr val="accent1"/>
          </a:solidFill>
          <a:ln w="19050">
            <a:solidFill>
              <a:schemeClr val="lt1"/>
            </a:solidFill>
          </a:ln>
          <a:effectLst/>
        </c:spPr>
      </c:pivotFmt>
      <c:pivotFmt>
        <c:idx val="1661"/>
        <c:spPr>
          <a:solidFill>
            <a:schemeClr val="accent1"/>
          </a:solidFill>
          <a:ln w="19050">
            <a:solidFill>
              <a:schemeClr val="lt1"/>
            </a:solidFill>
          </a:ln>
          <a:effectLst/>
        </c:spPr>
      </c:pivotFmt>
      <c:pivotFmt>
        <c:idx val="1662"/>
        <c:spPr>
          <a:solidFill>
            <a:schemeClr val="accent1"/>
          </a:solidFill>
          <a:ln w="19050">
            <a:solidFill>
              <a:schemeClr val="lt1"/>
            </a:solidFill>
          </a:ln>
          <a:effectLst/>
        </c:spPr>
      </c:pivotFmt>
      <c:pivotFmt>
        <c:idx val="1663"/>
        <c:spPr>
          <a:solidFill>
            <a:schemeClr val="accent1"/>
          </a:solidFill>
          <a:ln w="19050">
            <a:solidFill>
              <a:schemeClr val="lt1"/>
            </a:solidFill>
          </a:ln>
          <a:effectLst/>
        </c:spPr>
      </c:pivotFmt>
      <c:pivotFmt>
        <c:idx val="1664"/>
        <c:spPr>
          <a:solidFill>
            <a:schemeClr val="accent1"/>
          </a:solidFill>
          <a:ln w="19050">
            <a:solidFill>
              <a:schemeClr val="lt1"/>
            </a:solidFill>
          </a:ln>
          <a:effectLst/>
        </c:spPr>
      </c:pivotFmt>
      <c:pivotFmt>
        <c:idx val="1665"/>
        <c:spPr>
          <a:solidFill>
            <a:schemeClr val="accent1"/>
          </a:solidFill>
          <a:ln w="19050">
            <a:solidFill>
              <a:schemeClr val="lt1"/>
            </a:solidFill>
          </a:ln>
          <a:effectLst/>
        </c:spPr>
      </c:pivotFmt>
      <c:pivotFmt>
        <c:idx val="1666"/>
        <c:spPr>
          <a:solidFill>
            <a:schemeClr val="accent1"/>
          </a:solidFill>
          <a:ln w="19050">
            <a:solidFill>
              <a:schemeClr val="lt1"/>
            </a:solidFill>
          </a:ln>
          <a:effectLst/>
        </c:spPr>
      </c:pivotFmt>
      <c:pivotFmt>
        <c:idx val="1667"/>
        <c:spPr>
          <a:solidFill>
            <a:schemeClr val="accent1"/>
          </a:solidFill>
          <a:ln w="19050">
            <a:solidFill>
              <a:schemeClr val="lt1"/>
            </a:solidFill>
          </a:ln>
          <a:effectLst/>
        </c:spPr>
      </c:pivotFmt>
      <c:pivotFmt>
        <c:idx val="1668"/>
        <c:spPr>
          <a:solidFill>
            <a:schemeClr val="accent1"/>
          </a:solidFill>
          <a:ln w="19050">
            <a:solidFill>
              <a:schemeClr val="lt1"/>
            </a:solidFill>
          </a:ln>
          <a:effectLst/>
        </c:spPr>
      </c:pivotFmt>
      <c:pivotFmt>
        <c:idx val="1669"/>
        <c:spPr>
          <a:solidFill>
            <a:schemeClr val="accent1"/>
          </a:solidFill>
          <a:ln w="19050">
            <a:solidFill>
              <a:schemeClr val="lt1"/>
            </a:solidFill>
          </a:ln>
          <a:effectLst/>
        </c:spPr>
      </c:pivotFmt>
      <c:pivotFmt>
        <c:idx val="1670"/>
        <c:spPr>
          <a:solidFill>
            <a:schemeClr val="accent1"/>
          </a:solidFill>
          <a:ln w="19050">
            <a:solidFill>
              <a:schemeClr val="lt1"/>
            </a:solidFill>
          </a:ln>
          <a:effectLst/>
        </c:spPr>
      </c:pivotFmt>
      <c:pivotFmt>
        <c:idx val="1671"/>
        <c:spPr>
          <a:solidFill>
            <a:schemeClr val="accent1"/>
          </a:solidFill>
          <a:ln w="19050">
            <a:solidFill>
              <a:schemeClr val="lt1"/>
            </a:solidFill>
          </a:ln>
          <a:effectLst/>
        </c:spPr>
      </c:pivotFmt>
      <c:pivotFmt>
        <c:idx val="1672"/>
        <c:spPr>
          <a:solidFill>
            <a:schemeClr val="accent1"/>
          </a:solidFill>
          <a:ln w="19050">
            <a:solidFill>
              <a:schemeClr val="lt1"/>
            </a:solidFill>
          </a:ln>
          <a:effectLst/>
        </c:spPr>
      </c:pivotFmt>
      <c:pivotFmt>
        <c:idx val="1673"/>
        <c:spPr>
          <a:solidFill>
            <a:schemeClr val="accent1"/>
          </a:solidFill>
          <a:ln w="19050">
            <a:solidFill>
              <a:schemeClr val="lt1"/>
            </a:solidFill>
          </a:ln>
          <a:effectLst/>
        </c:spPr>
      </c:pivotFmt>
      <c:pivotFmt>
        <c:idx val="1674"/>
        <c:spPr>
          <a:solidFill>
            <a:schemeClr val="accent1"/>
          </a:solidFill>
          <a:ln w="19050">
            <a:solidFill>
              <a:schemeClr val="lt1"/>
            </a:solidFill>
          </a:ln>
          <a:effectLst/>
        </c:spPr>
      </c:pivotFmt>
      <c:pivotFmt>
        <c:idx val="1675"/>
        <c:spPr>
          <a:solidFill>
            <a:schemeClr val="accent1"/>
          </a:solidFill>
          <a:ln w="19050">
            <a:solidFill>
              <a:schemeClr val="lt1"/>
            </a:solidFill>
          </a:ln>
          <a:effectLst/>
        </c:spPr>
      </c:pivotFmt>
      <c:pivotFmt>
        <c:idx val="1676"/>
        <c:spPr>
          <a:solidFill>
            <a:schemeClr val="accent1"/>
          </a:solidFill>
          <a:ln w="19050">
            <a:solidFill>
              <a:schemeClr val="lt1"/>
            </a:solidFill>
          </a:ln>
          <a:effectLst/>
        </c:spPr>
      </c:pivotFmt>
      <c:pivotFmt>
        <c:idx val="1677"/>
        <c:spPr>
          <a:solidFill>
            <a:schemeClr val="accent1"/>
          </a:solidFill>
          <a:ln w="19050">
            <a:solidFill>
              <a:schemeClr val="lt1"/>
            </a:solidFill>
          </a:ln>
          <a:effectLst/>
        </c:spPr>
      </c:pivotFmt>
      <c:pivotFmt>
        <c:idx val="1678"/>
        <c:spPr>
          <a:solidFill>
            <a:schemeClr val="accent1"/>
          </a:solidFill>
          <a:ln w="19050">
            <a:solidFill>
              <a:schemeClr val="lt1"/>
            </a:solidFill>
          </a:ln>
          <a:effectLst/>
        </c:spPr>
      </c:pivotFmt>
      <c:pivotFmt>
        <c:idx val="1679"/>
        <c:spPr>
          <a:solidFill>
            <a:schemeClr val="accent1"/>
          </a:solidFill>
          <a:ln w="19050">
            <a:solidFill>
              <a:schemeClr val="lt1"/>
            </a:solidFill>
          </a:ln>
          <a:effectLst/>
        </c:spPr>
      </c:pivotFmt>
      <c:pivotFmt>
        <c:idx val="1680"/>
        <c:spPr>
          <a:solidFill>
            <a:schemeClr val="accent1"/>
          </a:solidFill>
          <a:ln w="19050">
            <a:solidFill>
              <a:schemeClr val="lt1"/>
            </a:solidFill>
          </a:ln>
          <a:effectLst/>
        </c:spPr>
      </c:pivotFmt>
      <c:pivotFmt>
        <c:idx val="1681"/>
        <c:spPr>
          <a:solidFill>
            <a:schemeClr val="accent1"/>
          </a:solidFill>
          <a:ln w="19050">
            <a:solidFill>
              <a:schemeClr val="lt1"/>
            </a:solidFill>
          </a:ln>
          <a:effectLst/>
        </c:spPr>
      </c:pivotFmt>
      <c:pivotFmt>
        <c:idx val="1682"/>
        <c:spPr>
          <a:solidFill>
            <a:schemeClr val="accent1"/>
          </a:solidFill>
          <a:ln w="19050">
            <a:solidFill>
              <a:schemeClr val="lt1"/>
            </a:solidFill>
          </a:ln>
          <a:effectLst/>
        </c:spPr>
      </c:pivotFmt>
      <c:pivotFmt>
        <c:idx val="1683"/>
        <c:spPr>
          <a:solidFill>
            <a:schemeClr val="accent1"/>
          </a:solidFill>
          <a:ln w="19050">
            <a:solidFill>
              <a:schemeClr val="lt1"/>
            </a:solidFill>
          </a:ln>
          <a:effectLst/>
        </c:spPr>
      </c:pivotFmt>
      <c:pivotFmt>
        <c:idx val="1684"/>
        <c:spPr>
          <a:solidFill>
            <a:schemeClr val="accent1"/>
          </a:solidFill>
          <a:ln w="19050">
            <a:solidFill>
              <a:schemeClr val="lt1"/>
            </a:solidFill>
          </a:ln>
          <a:effectLst/>
        </c:spPr>
      </c:pivotFmt>
      <c:pivotFmt>
        <c:idx val="1685"/>
        <c:spPr>
          <a:solidFill>
            <a:schemeClr val="accent1"/>
          </a:solidFill>
          <a:ln w="19050">
            <a:solidFill>
              <a:schemeClr val="lt1"/>
            </a:solidFill>
          </a:ln>
          <a:effectLst/>
        </c:spPr>
      </c:pivotFmt>
      <c:pivotFmt>
        <c:idx val="1686"/>
        <c:spPr>
          <a:solidFill>
            <a:schemeClr val="accent1"/>
          </a:solidFill>
          <a:ln w="19050">
            <a:solidFill>
              <a:schemeClr val="lt1"/>
            </a:solidFill>
          </a:ln>
          <a:effectLst/>
        </c:spPr>
      </c:pivotFmt>
      <c:pivotFmt>
        <c:idx val="1687"/>
        <c:spPr>
          <a:solidFill>
            <a:schemeClr val="accent1"/>
          </a:solidFill>
          <a:ln w="19050">
            <a:solidFill>
              <a:schemeClr val="lt1"/>
            </a:solidFill>
          </a:ln>
          <a:effectLst/>
        </c:spPr>
      </c:pivotFmt>
      <c:pivotFmt>
        <c:idx val="1688"/>
        <c:spPr>
          <a:solidFill>
            <a:schemeClr val="accent1"/>
          </a:solidFill>
          <a:ln w="19050">
            <a:solidFill>
              <a:schemeClr val="lt1"/>
            </a:solidFill>
          </a:ln>
          <a:effectLst/>
        </c:spPr>
      </c:pivotFmt>
      <c:pivotFmt>
        <c:idx val="1689"/>
        <c:spPr>
          <a:solidFill>
            <a:schemeClr val="accent1"/>
          </a:solidFill>
          <a:ln w="19050">
            <a:solidFill>
              <a:schemeClr val="lt1"/>
            </a:solidFill>
          </a:ln>
          <a:effectLst/>
        </c:spPr>
      </c:pivotFmt>
      <c:pivotFmt>
        <c:idx val="1690"/>
        <c:spPr>
          <a:solidFill>
            <a:schemeClr val="accent1"/>
          </a:solidFill>
          <a:ln w="19050">
            <a:solidFill>
              <a:schemeClr val="lt1"/>
            </a:solidFill>
          </a:ln>
          <a:effectLst/>
        </c:spPr>
      </c:pivotFmt>
      <c:pivotFmt>
        <c:idx val="1691"/>
        <c:spPr>
          <a:solidFill>
            <a:schemeClr val="accent1"/>
          </a:solidFill>
          <a:ln w="19050">
            <a:solidFill>
              <a:schemeClr val="lt1"/>
            </a:solidFill>
          </a:ln>
          <a:effectLst/>
        </c:spPr>
      </c:pivotFmt>
      <c:pivotFmt>
        <c:idx val="1692"/>
        <c:spPr>
          <a:solidFill>
            <a:schemeClr val="accent1"/>
          </a:solidFill>
          <a:ln w="19050">
            <a:solidFill>
              <a:schemeClr val="lt1"/>
            </a:solidFill>
          </a:ln>
          <a:effectLst/>
        </c:spPr>
      </c:pivotFmt>
      <c:pivotFmt>
        <c:idx val="1693"/>
        <c:spPr>
          <a:solidFill>
            <a:schemeClr val="accent1"/>
          </a:solidFill>
          <a:ln w="19050">
            <a:solidFill>
              <a:schemeClr val="lt1"/>
            </a:solidFill>
          </a:ln>
          <a:effectLst/>
        </c:spPr>
      </c:pivotFmt>
      <c:pivotFmt>
        <c:idx val="1694"/>
        <c:spPr>
          <a:solidFill>
            <a:schemeClr val="accent1"/>
          </a:solidFill>
          <a:ln w="19050">
            <a:solidFill>
              <a:schemeClr val="lt1"/>
            </a:solidFill>
          </a:ln>
          <a:effectLst/>
        </c:spPr>
      </c:pivotFmt>
      <c:pivotFmt>
        <c:idx val="1695"/>
        <c:spPr>
          <a:solidFill>
            <a:schemeClr val="accent1"/>
          </a:solidFill>
          <a:ln w="19050">
            <a:solidFill>
              <a:schemeClr val="lt1"/>
            </a:solidFill>
          </a:ln>
          <a:effectLst/>
        </c:spPr>
      </c:pivotFmt>
      <c:pivotFmt>
        <c:idx val="1696"/>
        <c:spPr>
          <a:solidFill>
            <a:schemeClr val="accent1"/>
          </a:solidFill>
          <a:ln w="19050">
            <a:solidFill>
              <a:schemeClr val="lt1"/>
            </a:solidFill>
          </a:ln>
          <a:effectLst/>
        </c:spPr>
      </c:pivotFmt>
      <c:pivotFmt>
        <c:idx val="1697"/>
        <c:spPr>
          <a:solidFill>
            <a:schemeClr val="accent1"/>
          </a:solidFill>
          <a:ln w="19050">
            <a:solidFill>
              <a:schemeClr val="lt1"/>
            </a:solidFill>
          </a:ln>
          <a:effectLst/>
        </c:spPr>
      </c:pivotFmt>
      <c:pivotFmt>
        <c:idx val="1698"/>
        <c:spPr>
          <a:solidFill>
            <a:schemeClr val="accent1"/>
          </a:solidFill>
          <a:ln w="19050">
            <a:solidFill>
              <a:schemeClr val="lt1"/>
            </a:solidFill>
          </a:ln>
          <a:effectLst/>
        </c:spPr>
      </c:pivotFmt>
      <c:pivotFmt>
        <c:idx val="1699"/>
        <c:spPr>
          <a:solidFill>
            <a:schemeClr val="accent1"/>
          </a:solidFill>
          <a:ln w="19050">
            <a:solidFill>
              <a:schemeClr val="lt1"/>
            </a:solidFill>
          </a:ln>
          <a:effectLst/>
        </c:spPr>
      </c:pivotFmt>
      <c:pivotFmt>
        <c:idx val="1700"/>
        <c:spPr>
          <a:solidFill>
            <a:schemeClr val="accent1"/>
          </a:solidFill>
          <a:ln w="19050">
            <a:solidFill>
              <a:schemeClr val="lt1"/>
            </a:solidFill>
          </a:ln>
          <a:effectLst/>
        </c:spPr>
      </c:pivotFmt>
      <c:pivotFmt>
        <c:idx val="1701"/>
        <c:spPr>
          <a:solidFill>
            <a:schemeClr val="accent1"/>
          </a:solidFill>
          <a:ln w="19050">
            <a:solidFill>
              <a:schemeClr val="lt1"/>
            </a:solidFill>
          </a:ln>
          <a:effectLst/>
        </c:spPr>
      </c:pivotFmt>
      <c:pivotFmt>
        <c:idx val="1702"/>
        <c:spPr>
          <a:solidFill>
            <a:schemeClr val="accent1"/>
          </a:solidFill>
          <a:ln w="19050">
            <a:solidFill>
              <a:schemeClr val="lt1"/>
            </a:solidFill>
          </a:ln>
          <a:effectLst/>
        </c:spPr>
      </c:pivotFmt>
      <c:pivotFmt>
        <c:idx val="1703"/>
        <c:spPr>
          <a:solidFill>
            <a:schemeClr val="accent1"/>
          </a:solidFill>
          <a:ln w="19050">
            <a:solidFill>
              <a:schemeClr val="lt1"/>
            </a:solidFill>
          </a:ln>
          <a:effectLst/>
        </c:spPr>
      </c:pivotFmt>
      <c:pivotFmt>
        <c:idx val="1704"/>
        <c:spPr>
          <a:solidFill>
            <a:schemeClr val="accent1"/>
          </a:solidFill>
          <a:ln w="19050">
            <a:solidFill>
              <a:schemeClr val="lt1"/>
            </a:solidFill>
          </a:ln>
          <a:effectLst/>
        </c:spPr>
      </c:pivotFmt>
      <c:pivotFmt>
        <c:idx val="1705"/>
        <c:spPr>
          <a:solidFill>
            <a:schemeClr val="accent1"/>
          </a:solidFill>
          <a:ln w="19050">
            <a:solidFill>
              <a:schemeClr val="lt1"/>
            </a:solidFill>
          </a:ln>
          <a:effectLst/>
        </c:spPr>
      </c:pivotFmt>
      <c:pivotFmt>
        <c:idx val="1706"/>
        <c:spPr>
          <a:solidFill>
            <a:schemeClr val="accent1"/>
          </a:solidFill>
          <a:ln w="19050">
            <a:solidFill>
              <a:schemeClr val="lt1"/>
            </a:solidFill>
          </a:ln>
          <a:effectLst/>
        </c:spPr>
      </c:pivotFmt>
      <c:pivotFmt>
        <c:idx val="1707"/>
        <c:spPr>
          <a:solidFill>
            <a:schemeClr val="accent1"/>
          </a:solidFill>
          <a:ln w="19050">
            <a:solidFill>
              <a:schemeClr val="lt1"/>
            </a:solidFill>
          </a:ln>
          <a:effectLst/>
        </c:spPr>
      </c:pivotFmt>
      <c:pivotFmt>
        <c:idx val="1708"/>
        <c:spPr>
          <a:solidFill>
            <a:schemeClr val="accent1"/>
          </a:solidFill>
          <a:ln w="19050">
            <a:solidFill>
              <a:schemeClr val="lt1"/>
            </a:solidFill>
          </a:ln>
          <a:effectLst/>
        </c:spPr>
      </c:pivotFmt>
      <c:pivotFmt>
        <c:idx val="1709"/>
        <c:spPr>
          <a:solidFill>
            <a:schemeClr val="accent1"/>
          </a:solidFill>
          <a:ln w="19050">
            <a:solidFill>
              <a:schemeClr val="lt1"/>
            </a:solidFill>
          </a:ln>
          <a:effectLst/>
        </c:spPr>
      </c:pivotFmt>
      <c:pivotFmt>
        <c:idx val="1710"/>
        <c:spPr>
          <a:solidFill>
            <a:schemeClr val="accent1"/>
          </a:solidFill>
          <a:ln w="19050">
            <a:solidFill>
              <a:schemeClr val="lt1"/>
            </a:solidFill>
          </a:ln>
          <a:effectLst/>
        </c:spPr>
      </c:pivotFmt>
      <c:pivotFmt>
        <c:idx val="1711"/>
        <c:spPr>
          <a:solidFill>
            <a:schemeClr val="accent1"/>
          </a:solidFill>
          <a:ln w="19050">
            <a:solidFill>
              <a:schemeClr val="lt1"/>
            </a:solidFill>
          </a:ln>
          <a:effectLst/>
        </c:spPr>
      </c:pivotFmt>
      <c:pivotFmt>
        <c:idx val="1712"/>
        <c:spPr>
          <a:solidFill>
            <a:schemeClr val="accent1"/>
          </a:solidFill>
          <a:ln w="19050">
            <a:solidFill>
              <a:schemeClr val="lt1"/>
            </a:solidFill>
          </a:ln>
          <a:effectLst/>
        </c:spPr>
      </c:pivotFmt>
      <c:pivotFmt>
        <c:idx val="1713"/>
        <c:spPr>
          <a:solidFill>
            <a:schemeClr val="accent1"/>
          </a:solidFill>
          <a:ln w="19050">
            <a:solidFill>
              <a:schemeClr val="lt1"/>
            </a:solidFill>
          </a:ln>
          <a:effectLst/>
        </c:spPr>
      </c:pivotFmt>
      <c:pivotFmt>
        <c:idx val="1714"/>
        <c:spPr>
          <a:solidFill>
            <a:schemeClr val="accent1"/>
          </a:solidFill>
          <a:ln w="19050">
            <a:solidFill>
              <a:schemeClr val="lt1"/>
            </a:solidFill>
          </a:ln>
          <a:effectLst/>
        </c:spPr>
      </c:pivotFmt>
      <c:pivotFmt>
        <c:idx val="1715"/>
        <c:spPr>
          <a:solidFill>
            <a:schemeClr val="accent1"/>
          </a:solidFill>
          <a:ln w="19050">
            <a:solidFill>
              <a:schemeClr val="lt1"/>
            </a:solidFill>
          </a:ln>
          <a:effectLst/>
        </c:spPr>
      </c:pivotFmt>
      <c:pivotFmt>
        <c:idx val="1716"/>
        <c:spPr>
          <a:solidFill>
            <a:schemeClr val="accent1"/>
          </a:solidFill>
          <a:ln w="19050">
            <a:solidFill>
              <a:schemeClr val="lt1"/>
            </a:solidFill>
          </a:ln>
          <a:effectLst/>
        </c:spPr>
      </c:pivotFmt>
      <c:pivotFmt>
        <c:idx val="1717"/>
        <c:spPr>
          <a:solidFill>
            <a:schemeClr val="accent1"/>
          </a:solidFill>
          <a:ln w="19050">
            <a:solidFill>
              <a:schemeClr val="lt1"/>
            </a:solidFill>
          </a:ln>
          <a:effectLst/>
        </c:spPr>
      </c:pivotFmt>
      <c:pivotFmt>
        <c:idx val="1718"/>
        <c:spPr>
          <a:solidFill>
            <a:schemeClr val="accent1"/>
          </a:solidFill>
          <a:ln w="19050">
            <a:solidFill>
              <a:schemeClr val="lt1"/>
            </a:solidFill>
          </a:ln>
          <a:effectLst/>
        </c:spPr>
      </c:pivotFmt>
      <c:pivotFmt>
        <c:idx val="1719"/>
        <c:spPr>
          <a:solidFill>
            <a:schemeClr val="accent1"/>
          </a:solidFill>
          <a:ln w="19050">
            <a:solidFill>
              <a:schemeClr val="lt1"/>
            </a:solidFill>
          </a:ln>
          <a:effectLst/>
        </c:spPr>
      </c:pivotFmt>
      <c:pivotFmt>
        <c:idx val="1720"/>
        <c:spPr>
          <a:solidFill>
            <a:schemeClr val="accent1"/>
          </a:solidFill>
          <a:ln w="19050">
            <a:solidFill>
              <a:schemeClr val="lt1"/>
            </a:solidFill>
          </a:ln>
          <a:effectLst/>
        </c:spPr>
      </c:pivotFmt>
      <c:pivotFmt>
        <c:idx val="1721"/>
        <c:spPr>
          <a:solidFill>
            <a:schemeClr val="accent1"/>
          </a:solidFill>
          <a:ln w="19050">
            <a:solidFill>
              <a:schemeClr val="lt1"/>
            </a:solidFill>
          </a:ln>
          <a:effectLst/>
        </c:spPr>
      </c:pivotFmt>
      <c:pivotFmt>
        <c:idx val="1722"/>
        <c:spPr>
          <a:solidFill>
            <a:schemeClr val="accent1"/>
          </a:solidFill>
          <a:ln w="19050">
            <a:solidFill>
              <a:schemeClr val="lt1"/>
            </a:solidFill>
          </a:ln>
          <a:effectLst/>
        </c:spPr>
      </c:pivotFmt>
      <c:pivotFmt>
        <c:idx val="1723"/>
        <c:spPr>
          <a:solidFill>
            <a:schemeClr val="accent1"/>
          </a:solidFill>
          <a:ln w="19050">
            <a:solidFill>
              <a:schemeClr val="lt1"/>
            </a:solidFill>
          </a:ln>
          <a:effectLst/>
        </c:spPr>
      </c:pivotFmt>
      <c:pivotFmt>
        <c:idx val="1724"/>
        <c:spPr>
          <a:solidFill>
            <a:schemeClr val="accent1"/>
          </a:solidFill>
          <a:ln w="19050">
            <a:solidFill>
              <a:schemeClr val="lt1"/>
            </a:solidFill>
          </a:ln>
          <a:effectLst/>
        </c:spPr>
      </c:pivotFmt>
      <c:pivotFmt>
        <c:idx val="1725"/>
        <c:spPr>
          <a:solidFill>
            <a:schemeClr val="accent1"/>
          </a:solidFill>
          <a:ln w="19050">
            <a:solidFill>
              <a:schemeClr val="lt1"/>
            </a:solidFill>
          </a:ln>
          <a:effectLst/>
        </c:spPr>
      </c:pivotFmt>
      <c:pivotFmt>
        <c:idx val="1726"/>
        <c:spPr>
          <a:solidFill>
            <a:schemeClr val="accent1"/>
          </a:solidFill>
          <a:ln w="19050">
            <a:solidFill>
              <a:schemeClr val="lt1"/>
            </a:solidFill>
          </a:ln>
          <a:effectLst/>
        </c:spPr>
      </c:pivotFmt>
      <c:pivotFmt>
        <c:idx val="1727"/>
        <c:spPr>
          <a:solidFill>
            <a:schemeClr val="accent1"/>
          </a:solidFill>
          <a:ln w="19050">
            <a:solidFill>
              <a:schemeClr val="lt1"/>
            </a:solidFill>
          </a:ln>
          <a:effectLst/>
        </c:spPr>
      </c:pivotFmt>
      <c:pivotFmt>
        <c:idx val="1728"/>
        <c:spPr>
          <a:solidFill>
            <a:schemeClr val="accent1"/>
          </a:solidFill>
          <a:ln w="19050">
            <a:solidFill>
              <a:schemeClr val="lt1"/>
            </a:solidFill>
          </a:ln>
          <a:effectLst/>
        </c:spPr>
      </c:pivotFmt>
      <c:pivotFmt>
        <c:idx val="1729"/>
        <c:spPr>
          <a:solidFill>
            <a:schemeClr val="accent1"/>
          </a:solidFill>
          <a:ln w="19050">
            <a:solidFill>
              <a:schemeClr val="lt1"/>
            </a:solidFill>
          </a:ln>
          <a:effectLst/>
        </c:spPr>
      </c:pivotFmt>
      <c:pivotFmt>
        <c:idx val="1730"/>
        <c:spPr>
          <a:solidFill>
            <a:schemeClr val="accent1"/>
          </a:solidFill>
          <a:ln w="19050">
            <a:solidFill>
              <a:schemeClr val="lt1"/>
            </a:solidFill>
          </a:ln>
          <a:effectLst/>
        </c:spPr>
      </c:pivotFmt>
      <c:pivotFmt>
        <c:idx val="1731"/>
        <c:spPr>
          <a:solidFill>
            <a:schemeClr val="accent1"/>
          </a:solidFill>
          <a:ln w="19050">
            <a:solidFill>
              <a:schemeClr val="lt1"/>
            </a:solidFill>
          </a:ln>
          <a:effectLst/>
        </c:spPr>
      </c:pivotFmt>
      <c:pivotFmt>
        <c:idx val="1732"/>
        <c:spPr>
          <a:solidFill>
            <a:schemeClr val="accent1"/>
          </a:solidFill>
          <a:ln w="19050">
            <a:solidFill>
              <a:schemeClr val="lt1"/>
            </a:solidFill>
          </a:ln>
          <a:effectLst/>
        </c:spPr>
      </c:pivotFmt>
      <c:pivotFmt>
        <c:idx val="1733"/>
        <c:spPr>
          <a:solidFill>
            <a:schemeClr val="accent1"/>
          </a:solidFill>
          <a:ln w="19050">
            <a:solidFill>
              <a:schemeClr val="lt1"/>
            </a:solidFill>
          </a:ln>
          <a:effectLst/>
        </c:spPr>
      </c:pivotFmt>
      <c:pivotFmt>
        <c:idx val="1734"/>
        <c:spPr>
          <a:solidFill>
            <a:schemeClr val="accent1"/>
          </a:solidFill>
          <a:ln w="19050">
            <a:solidFill>
              <a:schemeClr val="lt1"/>
            </a:solidFill>
          </a:ln>
          <a:effectLst/>
        </c:spPr>
      </c:pivotFmt>
      <c:pivotFmt>
        <c:idx val="1735"/>
        <c:spPr>
          <a:solidFill>
            <a:schemeClr val="accent1"/>
          </a:solidFill>
          <a:ln w="19050">
            <a:solidFill>
              <a:schemeClr val="lt1"/>
            </a:solidFill>
          </a:ln>
          <a:effectLst/>
        </c:spPr>
      </c:pivotFmt>
      <c:pivotFmt>
        <c:idx val="1736"/>
        <c:spPr>
          <a:solidFill>
            <a:schemeClr val="accent1"/>
          </a:solidFill>
          <a:ln w="19050">
            <a:solidFill>
              <a:schemeClr val="lt1"/>
            </a:solidFill>
          </a:ln>
          <a:effectLst/>
        </c:spPr>
      </c:pivotFmt>
      <c:pivotFmt>
        <c:idx val="1737"/>
        <c:spPr>
          <a:solidFill>
            <a:schemeClr val="accent1"/>
          </a:solidFill>
          <a:ln w="19050">
            <a:solidFill>
              <a:schemeClr val="lt1"/>
            </a:solidFill>
          </a:ln>
          <a:effectLst/>
        </c:spPr>
      </c:pivotFmt>
      <c:pivotFmt>
        <c:idx val="1738"/>
        <c:spPr>
          <a:solidFill>
            <a:schemeClr val="accent1"/>
          </a:solidFill>
          <a:ln w="19050">
            <a:solidFill>
              <a:schemeClr val="lt1"/>
            </a:solidFill>
          </a:ln>
          <a:effectLst/>
        </c:spPr>
      </c:pivotFmt>
      <c:pivotFmt>
        <c:idx val="1739"/>
        <c:spPr>
          <a:solidFill>
            <a:schemeClr val="accent1"/>
          </a:solidFill>
          <a:ln w="19050">
            <a:solidFill>
              <a:schemeClr val="lt1"/>
            </a:solidFill>
          </a:ln>
          <a:effectLst/>
        </c:spPr>
      </c:pivotFmt>
      <c:pivotFmt>
        <c:idx val="1740"/>
        <c:spPr>
          <a:solidFill>
            <a:schemeClr val="accent1"/>
          </a:solidFill>
          <a:ln w="19050">
            <a:solidFill>
              <a:schemeClr val="lt1"/>
            </a:solidFill>
          </a:ln>
          <a:effectLst/>
        </c:spPr>
      </c:pivotFmt>
      <c:pivotFmt>
        <c:idx val="1741"/>
        <c:spPr>
          <a:solidFill>
            <a:schemeClr val="accent1"/>
          </a:solidFill>
          <a:ln w="19050">
            <a:solidFill>
              <a:schemeClr val="lt1"/>
            </a:solidFill>
          </a:ln>
          <a:effectLst/>
        </c:spPr>
      </c:pivotFmt>
      <c:pivotFmt>
        <c:idx val="1742"/>
        <c:spPr>
          <a:solidFill>
            <a:schemeClr val="accent1"/>
          </a:solidFill>
          <a:ln w="19050">
            <a:solidFill>
              <a:schemeClr val="lt1"/>
            </a:solidFill>
          </a:ln>
          <a:effectLst/>
        </c:spPr>
      </c:pivotFmt>
      <c:pivotFmt>
        <c:idx val="1743"/>
        <c:spPr>
          <a:solidFill>
            <a:schemeClr val="accent1"/>
          </a:solidFill>
          <a:ln w="19050">
            <a:solidFill>
              <a:schemeClr val="lt1"/>
            </a:solidFill>
          </a:ln>
          <a:effectLst/>
        </c:spPr>
      </c:pivotFmt>
      <c:pivotFmt>
        <c:idx val="1744"/>
        <c:spPr>
          <a:solidFill>
            <a:schemeClr val="accent1"/>
          </a:solidFill>
          <a:ln w="19050">
            <a:solidFill>
              <a:schemeClr val="lt1"/>
            </a:solidFill>
          </a:ln>
          <a:effectLst/>
        </c:spPr>
      </c:pivotFmt>
      <c:pivotFmt>
        <c:idx val="1745"/>
        <c:spPr>
          <a:solidFill>
            <a:schemeClr val="accent1"/>
          </a:solidFill>
          <a:ln w="19050">
            <a:solidFill>
              <a:schemeClr val="lt1"/>
            </a:solidFill>
          </a:ln>
          <a:effectLst/>
        </c:spPr>
      </c:pivotFmt>
      <c:pivotFmt>
        <c:idx val="1746"/>
        <c:spPr>
          <a:solidFill>
            <a:schemeClr val="accent1"/>
          </a:solidFill>
          <a:ln w="19050">
            <a:solidFill>
              <a:schemeClr val="lt1"/>
            </a:solidFill>
          </a:ln>
          <a:effectLst/>
        </c:spPr>
      </c:pivotFmt>
      <c:pivotFmt>
        <c:idx val="1747"/>
        <c:spPr>
          <a:solidFill>
            <a:schemeClr val="accent1"/>
          </a:solidFill>
          <a:ln w="19050">
            <a:solidFill>
              <a:schemeClr val="lt1"/>
            </a:solidFill>
          </a:ln>
          <a:effectLst/>
        </c:spPr>
      </c:pivotFmt>
      <c:pivotFmt>
        <c:idx val="1748"/>
        <c:spPr>
          <a:solidFill>
            <a:schemeClr val="accent1"/>
          </a:solidFill>
          <a:ln w="19050">
            <a:solidFill>
              <a:schemeClr val="lt1"/>
            </a:solidFill>
          </a:ln>
          <a:effectLst/>
        </c:spPr>
      </c:pivotFmt>
      <c:pivotFmt>
        <c:idx val="1749"/>
        <c:spPr>
          <a:solidFill>
            <a:schemeClr val="accent1"/>
          </a:solidFill>
          <a:ln w="19050">
            <a:solidFill>
              <a:schemeClr val="lt1"/>
            </a:solidFill>
          </a:ln>
          <a:effectLst/>
        </c:spPr>
      </c:pivotFmt>
      <c:pivotFmt>
        <c:idx val="1750"/>
        <c:spPr>
          <a:solidFill>
            <a:schemeClr val="accent1"/>
          </a:solidFill>
          <a:ln w="19050">
            <a:solidFill>
              <a:schemeClr val="lt1"/>
            </a:solidFill>
          </a:ln>
          <a:effectLst/>
        </c:spPr>
      </c:pivotFmt>
      <c:pivotFmt>
        <c:idx val="1751"/>
        <c:spPr>
          <a:solidFill>
            <a:schemeClr val="accent1"/>
          </a:solidFill>
          <a:ln w="19050">
            <a:solidFill>
              <a:schemeClr val="lt1"/>
            </a:solidFill>
          </a:ln>
          <a:effectLst/>
        </c:spPr>
      </c:pivotFmt>
      <c:pivotFmt>
        <c:idx val="1752"/>
        <c:spPr>
          <a:solidFill>
            <a:schemeClr val="accent1"/>
          </a:solidFill>
          <a:ln w="19050">
            <a:solidFill>
              <a:schemeClr val="lt1"/>
            </a:solidFill>
          </a:ln>
          <a:effectLst/>
        </c:spPr>
      </c:pivotFmt>
      <c:pivotFmt>
        <c:idx val="1753"/>
        <c:spPr>
          <a:solidFill>
            <a:schemeClr val="accent1"/>
          </a:solidFill>
          <a:ln w="19050">
            <a:solidFill>
              <a:schemeClr val="lt1"/>
            </a:solidFill>
          </a:ln>
          <a:effectLst/>
        </c:spPr>
      </c:pivotFmt>
      <c:pivotFmt>
        <c:idx val="1754"/>
        <c:spPr>
          <a:solidFill>
            <a:schemeClr val="accent1"/>
          </a:solidFill>
          <a:ln w="19050">
            <a:solidFill>
              <a:schemeClr val="lt1"/>
            </a:solidFill>
          </a:ln>
          <a:effectLst/>
        </c:spPr>
      </c:pivotFmt>
      <c:pivotFmt>
        <c:idx val="1755"/>
        <c:spPr>
          <a:solidFill>
            <a:schemeClr val="accent1"/>
          </a:solidFill>
          <a:ln w="19050">
            <a:solidFill>
              <a:schemeClr val="lt1"/>
            </a:solidFill>
          </a:ln>
          <a:effectLst/>
        </c:spPr>
      </c:pivotFmt>
      <c:pivotFmt>
        <c:idx val="1756"/>
        <c:spPr>
          <a:solidFill>
            <a:schemeClr val="accent1"/>
          </a:solidFill>
          <a:ln w="19050">
            <a:solidFill>
              <a:schemeClr val="lt1"/>
            </a:solidFill>
          </a:ln>
          <a:effectLst/>
        </c:spPr>
      </c:pivotFmt>
      <c:pivotFmt>
        <c:idx val="1757"/>
        <c:spPr>
          <a:solidFill>
            <a:schemeClr val="accent1"/>
          </a:solidFill>
          <a:ln w="19050">
            <a:solidFill>
              <a:schemeClr val="lt1"/>
            </a:solidFill>
          </a:ln>
          <a:effectLst/>
        </c:spPr>
      </c:pivotFmt>
      <c:pivotFmt>
        <c:idx val="1758"/>
        <c:spPr>
          <a:solidFill>
            <a:schemeClr val="accent1"/>
          </a:solidFill>
          <a:ln w="19050">
            <a:solidFill>
              <a:schemeClr val="lt1"/>
            </a:solidFill>
          </a:ln>
          <a:effectLst/>
        </c:spPr>
      </c:pivotFmt>
      <c:pivotFmt>
        <c:idx val="1759"/>
        <c:spPr>
          <a:solidFill>
            <a:schemeClr val="accent1"/>
          </a:solidFill>
          <a:ln w="19050">
            <a:solidFill>
              <a:schemeClr val="lt1"/>
            </a:solidFill>
          </a:ln>
          <a:effectLst/>
        </c:spPr>
      </c:pivotFmt>
      <c:pivotFmt>
        <c:idx val="1760"/>
        <c:spPr>
          <a:solidFill>
            <a:schemeClr val="accent1"/>
          </a:solidFill>
          <a:ln w="19050">
            <a:solidFill>
              <a:schemeClr val="lt1"/>
            </a:solidFill>
          </a:ln>
          <a:effectLst/>
        </c:spPr>
      </c:pivotFmt>
      <c:pivotFmt>
        <c:idx val="1761"/>
        <c:spPr>
          <a:solidFill>
            <a:schemeClr val="accent1"/>
          </a:solidFill>
          <a:ln w="19050">
            <a:solidFill>
              <a:schemeClr val="lt1"/>
            </a:solidFill>
          </a:ln>
          <a:effectLst/>
        </c:spPr>
      </c:pivotFmt>
      <c:pivotFmt>
        <c:idx val="1762"/>
        <c:spPr>
          <a:solidFill>
            <a:schemeClr val="accent1"/>
          </a:solidFill>
          <a:ln w="19050">
            <a:solidFill>
              <a:schemeClr val="lt1"/>
            </a:solidFill>
          </a:ln>
          <a:effectLst/>
        </c:spPr>
      </c:pivotFmt>
      <c:pivotFmt>
        <c:idx val="1763"/>
        <c:spPr>
          <a:solidFill>
            <a:schemeClr val="accent1"/>
          </a:solidFill>
          <a:ln w="19050">
            <a:solidFill>
              <a:schemeClr val="lt1"/>
            </a:solidFill>
          </a:ln>
          <a:effectLst/>
        </c:spPr>
      </c:pivotFmt>
      <c:pivotFmt>
        <c:idx val="1764"/>
        <c:spPr>
          <a:solidFill>
            <a:schemeClr val="accent1"/>
          </a:solidFill>
          <a:ln w="19050">
            <a:solidFill>
              <a:schemeClr val="lt1"/>
            </a:solidFill>
          </a:ln>
          <a:effectLst/>
        </c:spPr>
      </c:pivotFmt>
      <c:pivotFmt>
        <c:idx val="1765"/>
        <c:spPr>
          <a:solidFill>
            <a:schemeClr val="accent1"/>
          </a:solidFill>
          <a:ln w="19050">
            <a:solidFill>
              <a:schemeClr val="lt1"/>
            </a:solidFill>
          </a:ln>
          <a:effectLst/>
        </c:spPr>
      </c:pivotFmt>
      <c:pivotFmt>
        <c:idx val="1766"/>
        <c:spPr>
          <a:solidFill>
            <a:schemeClr val="accent1"/>
          </a:solidFill>
          <a:ln w="19050">
            <a:solidFill>
              <a:schemeClr val="lt1"/>
            </a:solidFill>
          </a:ln>
          <a:effectLst/>
        </c:spPr>
      </c:pivotFmt>
      <c:pivotFmt>
        <c:idx val="1767"/>
        <c:spPr>
          <a:solidFill>
            <a:schemeClr val="accent1"/>
          </a:solidFill>
          <a:ln w="19050">
            <a:solidFill>
              <a:schemeClr val="lt1"/>
            </a:solidFill>
          </a:ln>
          <a:effectLst/>
        </c:spPr>
      </c:pivotFmt>
      <c:pivotFmt>
        <c:idx val="1768"/>
        <c:spPr>
          <a:solidFill>
            <a:schemeClr val="accent1"/>
          </a:solidFill>
          <a:ln w="19050">
            <a:solidFill>
              <a:schemeClr val="lt1"/>
            </a:solidFill>
          </a:ln>
          <a:effectLst/>
        </c:spPr>
      </c:pivotFmt>
      <c:pivotFmt>
        <c:idx val="1769"/>
        <c:spPr>
          <a:solidFill>
            <a:schemeClr val="accent1"/>
          </a:solidFill>
          <a:ln w="19050">
            <a:solidFill>
              <a:schemeClr val="lt1"/>
            </a:solidFill>
          </a:ln>
          <a:effectLst/>
        </c:spPr>
      </c:pivotFmt>
      <c:pivotFmt>
        <c:idx val="1770"/>
        <c:spPr>
          <a:solidFill>
            <a:schemeClr val="accent1"/>
          </a:solidFill>
          <a:ln w="19050">
            <a:solidFill>
              <a:schemeClr val="lt1"/>
            </a:solidFill>
          </a:ln>
          <a:effectLst/>
        </c:spPr>
      </c:pivotFmt>
      <c:pivotFmt>
        <c:idx val="1771"/>
        <c:spPr>
          <a:solidFill>
            <a:schemeClr val="accent1"/>
          </a:solidFill>
          <a:ln w="19050">
            <a:solidFill>
              <a:schemeClr val="lt1"/>
            </a:solidFill>
          </a:ln>
          <a:effectLst/>
        </c:spPr>
      </c:pivotFmt>
      <c:pivotFmt>
        <c:idx val="1772"/>
        <c:spPr>
          <a:solidFill>
            <a:schemeClr val="accent1"/>
          </a:solidFill>
          <a:ln w="19050">
            <a:solidFill>
              <a:schemeClr val="lt1"/>
            </a:solidFill>
          </a:ln>
          <a:effectLst/>
        </c:spPr>
      </c:pivotFmt>
      <c:pivotFmt>
        <c:idx val="1773"/>
        <c:spPr>
          <a:solidFill>
            <a:schemeClr val="accent1"/>
          </a:solidFill>
          <a:ln w="19050">
            <a:solidFill>
              <a:schemeClr val="lt1"/>
            </a:solidFill>
          </a:ln>
          <a:effectLst/>
        </c:spPr>
      </c:pivotFmt>
      <c:pivotFmt>
        <c:idx val="1774"/>
        <c:spPr>
          <a:solidFill>
            <a:schemeClr val="accent1"/>
          </a:solidFill>
          <a:ln w="19050">
            <a:solidFill>
              <a:schemeClr val="lt1"/>
            </a:solidFill>
          </a:ln>
          <a:effectLst/>
        </c:spPr>
      </c:pivotFmt>
      <c:pivotFmt>
        <c:idx val="1775"/>
        <c:spPr>
          <a:solidFill>
            <a:schemeClr val="accent1"/>
          </a:solidFill>
          <a:ln w="19050">
            <a:solidFill>
              <a:schemeClr val="lt1"/>
            </a:solidFill>
          </a:ln>
          <a:effectLst/>
        </c:spPr>
      </c:pivotFmt>
      <c:pivotFmt>
        <c:idx val="1776"/>
        <c:spPr>
          <a:solidFill>
            <a:schemeClr val="accent1"/>
          </a:solidFill>
          <a:ln w="19050">
            <a:solidFill>
              <a:schemeClr val="lt1"/>
            </a:solidFill>
          </a:ln>
          <a:effectLst/>
        </c:spPr>
      </c:pivotFmt>
      <c:pivotFmt>
        <c:idx val="1777"/>
        <c:spPr>
          <a:solidFill>
            <a:schemeClr val="accent1"/>
          </a:solidFill>
          <a:ln w="19050">
            <a:solidFill>
              <a:schemeClr val="lt1"/>
            </a:solidFill>
          </a:ln>
          <a:effectLst/>
        </c:spPr>
      </c:pivotFmt>
      <c:pivotFmt>
        <c:idx val="1778"/>
        <c:spPr>
          <a:solidFill>
            <a:schemeClr val="accent1"/>
          </a:solidFill>
          <a:ln w="19050">
            <a:solidFill>
              <a:schemeClr val="lt1"/>
            </a:solidFill>
          </a:ln>
          <a:effectLst/>
        </c:spPr>
      </c:pivotFmt>
      <c:pivotFmt>
        <c:idx val="1779"/>
        <c:spPr>
          <a:solidFill>
            <a:schemeClr val="accent1"/>
          </a:solidFill>
          <a:ln w="19050">
            <a:solidFill>
              <a:schemeClr val="lt1"/>
            </a:solidFill>
          </a:ln>
          <a:effectLst/>
        </c:spPr>
      </c:pivotFmt>
      <c:pivotFmt>
        <c:idx val="1780"/>
        <c:spPr>
          <a:solidFill>
            <a:schemeClr val="accent1"/>
          </a:solidFill>
          <a:ln w="19050">
            <a:solidFill>
              <a:schemeClr val="lt1"/>
            </a:solidFill>
          </a:ln>
          <a:effectLst/>
        </c:spPr>
      </c:pivotFmt>
      <c:pivotFmt>
        <c:idx val="1781"/>
        <c:spPr>
          <a:solidFill>
            <a:schemeClr val="accent1"/>
          </a:solidFill>
          <a:ln w="19050">
            <a:solidFill>
              <a:schemeClr val="lt1"/>
            </a:solidFill>
          </a:ln>
          <a:effectLst/>
        </c:spPr>
      </c:pivotFmt>
      <c:pivotFmt>
        <c:idx val="1782"/>
        <c:spPr>
          <a:solidFill>
            <a:schemeClr val="accent1"/>
          </a:solidFill>
          <a:ln w="19050">
            <a:solidFill>
              <a:schemeClr val="lt1"/>
            </a:solidFill>
          </a:ln>
          <a:effectLst/>
        </c:spPr>
      </c:pivotFmt>
      <c:pivotFmt>
        <c:idx val="1783"/>
        <c:spPr>
          <a:solidFill>
            <a:schemeClr val="accent1"/>
          </a:solidFill>
          <a:ln w="19050">
            <a:solidFill>
              <a:schemeClr val="lt1"/>
            </a:solidFill>
          </a:ln>
          <a:effectLst/>
        </c:spPr>
      </c:pivotFmt>
      <c:pivotFmt>
        <c:idx val="1784"/>
        <c:spPr>
          <a:solidFill>
            <a:schemeClr val="accent1"/>
          </a:solidFill>
          <a:ln w="19050">
            <a:solidFill>
              <a:schemeClr val="lt1"/>
            </a:solidFill>
          </a:ln>
          <a:effectLst/>
        </c:spPr>
      </c:pivotFmt>
      <c:pivotFmt>
        <c:idx val="1785"/>
        <c:spPr>
          <a:solidFill>
            <a:schemeClr val="accent1"/>
          </a:solidFill>
          <a:ln w="19050">
            <a:solidFill>
              <a:schemeClr val="lt1"/>
            </a:solidFill>
          </a:ln>
          <a:effectLst/>
        </c:spPr>
      </c:pivotFmt>
      <c:pivotFmt>
        <c:idx val="1786"/>
        <c:spPr>
          <a:solidFill>
            <a:schemeClr val="accent1"/>
          </a:solidFill>
          <a:ln w="19050">
            <a:solidFill>
              <a:schemeClr val="lt1"/>
            </a:solidFill>
          </a:ln>
          <a:effectLst/>
        </c:spPr>
      </c:pivotFmt>
      <c:pivotFmt>
        <c:idx val="1787"/>
        <c:spPr>
          <a:solidFill>
            <a:schemeClr val="accent1"/>
          </a:solidFill>
          <a:ln w="19050">
            <a:solidFill>
              <a:schemeClr val="lt1"/>
            </a:solidFill>
          </a:ln>
          <a:effectLst/>
        </c:spPr>
      </c:pivotFmt>
      <c:pivotFmt>
        <c:idx val="1788"/>
        <c:spPr>
          <a:solidFill>
            <a:schemeClr val="accent1"/>
          </a:solidFill>
          <a:ln w="19050">
            <a:solidFill>
              <a:schemeClr val="lt1"/>
            </a:solidFill>
          </a:ln>
          <a:effectLst/>
        </c:spPr>
      </c:pivotFmt>
      <c:pivotFmt>
        <c:idx val="1789"/>
        <c:spPr>
          <a:solidFill>
            <a:schemeClr val="accent1"/>
          </a:solidFill>
          <a:ln w="19050">
            <a:solidFill>
              <a:schemeClr val="lt1"/>
            </a:solidFill>
          </a:ln>
          <a:effectLst/>
        </c:spPr>
      </c:pivotFmt>
      <c:pivotFmt>
        <c:idx val="1790"/>
        <c:spPr>
          <a:solidFill>
            <a:schemeClr val="accent1"/>
          </a:solidFill>
          <a:ln w="19050">
            <a:solidFill>
              <a:schemeClr val="lt1"/>
            </a:solidFill>
          </a:ln>
          <a:effectLst/>
        </c:spPr>
      </c:pivotFmt>
      <c:pivotFmt>
        <c:idx val="1791"/>
        <c:spPr>
          <a:solidFill>
            <a:schemeClr val="accent1"/>
          </a:solidFill>
          <a:ln w="19050">
            <a:solidFill>
              <a:schemeClr val="lt1"/>
            </a:solidFill>
          </a:ln>
          <a:effectLst/>
        </c:spPr>
      </c:pivotFmt>
      <c:pivotFmt>
        <c:idx val="1792"/>
        <c:spPr>
          <a:solidFill>
            <a:schemeClr val="accent1"/>
          </a:solidFill>
          <a:ln w="19050">
            <a:solidFill>
              <a:schemeClr val="lt1"/>
            </a:solidFill>
          </a:ln>
          <a:effectLst/>
        </c:spPr>
      </c:pivotFmt>
      <c:pivotFmt>
        <c:idx val="1793"/>
        <c:spPr>
          <a:solidFill>
            <a:schemeClr val="accent1"/>
          </a:solidFill>
          <a:ln w="19050">
            <a:solidFill>
              <a:schemeClr val="lt1"/>
            </a:solidFill>
          </a:ln>
          <a:effectLst/>
        </c:spPr>
      </c:pivotFmt>
      <c:pivotFmt>
        <c:idx val="1794"/>
        <c:spPr>
          <a:solidFill>
            <a:schemeClr val="accent1"/>
          </a:solidFill>
          <a:ln w="19050">
            <a:solidFill>
              <a:schemeClr val="lt1"/>
            </a:solidFill>
          </a:ln>
          <a:effectLst/>
        </c:spPr>
      </c:pivotFmt>
      <c:pivotFmt>
        <c:idx val="1795"/>
        <c:spPr>
          <a:solidFill>
            <a:schemeClr val="accent1"/>
          </a:solidFill>
          <a:ln w="19050">
            <a:solidFill>
              <a:schemeClr val="lt1"/>
            </a:solidFill>
          </a:ln>
          <a:effectLst/>
        </c:spPr>
      </c:pivotFmt>
      <c:pivotFmt>
        <c:idx val="1796"/>
        <c:spPr>
          <a:solidFill>
            <a:schemeClr val="accent1"/>
          </a:solidFill>
          <a:ln w="19050">
            <a:solidFill>
              <a:schemeClr val="lt1"/>
            </a:solidFill>
          </a:ln>
          <a:effectLst/>
        </c:spPr>
      </c:pivotFmt>
      <c:pivotFmt>
        <c:idx val="1797"/>
        <c:spPr>
          <a:solidFill>
            <a:schemeClr val="accent1"/>
          </a:solidFill>
          <a:ln w="19050">
            <a:solidFill>
              <a:schemeClr val="lt1"/>
            </a:solidFill>
          </a:ln>
          <a:effectLst/>
        </c:spPr>
      </c:pivotFmt>
      <c:pivotFmt>
        <c:idx val="1798"/>
        <c:spPr>
          <a:solidFill>
            <a:schemeClr val="accent1"/>
          </a:solidFill>
          <a:ln w="19050">
            <a:solidFill>
              <a:schemeClr val="lt1"/>
            </a:solidFill>
          </a:ln>
          <a:effectLst/>
        </c:spPr>
      </c:pivotFmt>
      <c:pivotFmt>
        <c:idx val="1799"/>
        <c:spPr>
          <a:solidFill>
            <a:schemeClr val="accent1"/>
          </a:solidFill>
          <a:ln w="19050">
            <a:solidFill>
              <a:schemeClr val="lt1"/>
            </a:solidFill>
          </a:ln>
          <a:effectLst/>
        </c:spPr>
      </c:pivotFmt>
      <c:pivotFmt>
        <c:idx val="1800"/>
        <c:spPr>
          <a:solidFill>
            <a:schemeClr val="accent1"/>
          </a:solidFill>
          <a:ln w="19050">
            <a:solidFill>
              <a:schemeClr val="lt1"/>
            </a:solidFill>
          </a:ln>
          <a:effectLst/>
        </c:spPr>
      </c:pivotFmt>
      <c:pivotFmt>
        <c:idx val="1801"/>
        <c:spPr>
          <a:solidFill>
            <a:schemeClr val="accent1"/>
          </a:solidFill>
          <a:ln w="19050">
            <a:solidFill>
              <a:schemeClr val="lt1"/>
            </a:solidFill>
          </a:ln>
          <a:effectLst/>
        </c:spPr>
      </c:pivotFmt>
      <c:pivotFmt>
        <c:idx val="1802"/>
        <c:spPr>
          <a:solidFill>
            <a:schemeClr val="accent1"/>
          </a:solidFill>
          <a:ln w="19050">
            <a:solidFill>
              <a:schemeClr val="lt1"/>
            </a:solidFill>
          </a:ln>
          <a:effectLst/>
        </c:spPr>
      </c:pivotFmt>
      <c:pivotFmt>
        <c:idx val="1803"/>
        <c:spPr>
          <a:solidFill>
            <a:schemeClr val="accent1"/>
          </a:solidFill>
          <a:ln w="19050">
            <a:solidFill>
              <a:schemeClr val="lt1"/>
            </a:solidFill>
          </a:ln>
          <a:effectLst/>
        </c:spPr>
      </c:pivotFmt>
      <c:pivotFmt>
        <c:idx val="1804"/>
        <c:spPr>
          <a:solidFill>
            <a:schemeClr val="accent1"/>
          </a:solidFill>
          <a:ln w="19050">
            <a:solidFill>
              <a:schemeClr val="lt1"/>
            </a:solidFill>
          </a:ln>
          <a:effectLst/>
        </c:spPr>
      </c:pivotFmt>
      <c:pivotFmt>
        <c:idx val="1805"/>
        <c:spPr>
          <a:solidFill>
            <a:schemeClr val="accent1"/>
          </a:solidFill>
          <a:ln w="19050">
            <a:solidFill>
              <a:schemeClr val="lt1"/>
            </a:solidFill>
          </a:ln>
          <a:effectLst/>
        </c:spPr>
      </c:pivotFmt>
      <c:pivotFmt>
        <c:idx val="1806"/>
        <c:spPr>
          <a:solidFill>
            <a:schemeClr val="accent1"/>
          </a:solidFill>
          <a:ln w="19050">
            <a:solidFill>
              <a:schemeClr val="lt1"/>
            </a:solidFill>
          </a:ln>
          <a:effectLst/>
        </c:spPr>
      </c:pivotFmt>
      <c:pivotFmt>
        <c:idx val="1807"/>
        <c:spPr>
          <a:solidFill>
            <a:schemeClr val="accent1"/>
          </a:solidFill>
          <a:ln w="19050">
            <a:solidFill>
              <a:schemeClr val="lt1"/>
            </a:solidFill>
          </a:ln>
          <a:effectLst/>
        </c:spPr>
      </c:pivotFmt>
      <c:pivotFmt>
        <c:idx val="1808"/>
        <c:spPr>
          <a:solidFill>
            <a:schemeClr val="accent1"/>
          </a:solidFill>
          <a:ln w="19050">
            <a:solidFill>
              <a:schemeClr val="lt1"/>
            </a:solidFill>
          </a:ln>
          <a:effectLst/>
        </c:spPr>
      </c:pivotFmt>
      <c:pivotFmt>
        <c:idx val="1809"/>
        <c:spPr>
          <a:solidFill>
            <a:schemeClr val="accent1"/>
          </a:solidFill>
          <a:ln w="19050">
            <a:solidFill>
              <a:schemeClr val="lt1"/>
            </a:solidFill>
          </a:ln>
          <a:effectLst/>
        </c:spPr>
      </c:pivotFmt>
      <c:pivotFmt>
        <c:idx val="1810"/>
        <c:spPr>
          <a:solidFill>
            <a:schemeClr val="accent1"/>
          </a:solidFill>
          <a:ln w="19050">
            <a:solidFill>
              <a:schemeClr val="lt1"/>
            </a:solidFill>
          </a:ln>
          <a:effectLst/>
        </c:spPr>
      </c:pivotFmt>
      <c:pivotFmt>
        <c:idx val="1811"/>
        <c:spPr>
          <a:solidFill>
            <a:schemeClr val="accent1"/>
          </a:solidFill>
          <a:ln w="19050">
            <a:solidFill>
              <a:schemeClr val="lt1"/>
            </a:solidFill>
          </a:ln>
          <a:effectLst/>
        </c:spPr>
      </c:pivotFmt>
      <c:pivotFmt>
        <c:idx val="1812"/>
        <c:spPr>
          <a:solidFill>
            <a:schemeClr val="accent1"/>
          </a:solidFill>
          <a:ln w="19050">
            <a:solidFill>
              <a:schemeClr val="lt1"/>
            </a:solidFill>
          </a:ln>
          <a:effectLst/>
        </c:spPr>
      </c:pivotFmt>
      <c:pivotFmt>
        <c:idx val="1813"/>
        <c:spPr>
          <a:solidFill>
            <a:schemeClr val="accent1"/>
          </a:solidFill>
          <a:ln w="19050">
            <a:solidFill>
              <a:schemeClr val="lt1"/>
            </a:solidFill>
          </a:ln>
          <a:effectLst/>
        </c:spPr>
      </c:pivotFmt>
      <c:pivotFmt>
        <c:idx val="1814"/>
        <c:spPr>
          <a:solidFill>
            <a:schemeClr val="accent1"/>
          </a:solidFill>
          <a:ln w="19050">
            <a:solidFill>
              <a:schemeClr val="lt1"/>
            </a:solidFill>
          </a:ln>
          <a:effectLst/>
        </c:spPr>
      </c:pivotFmt>
      <c:pivotFmt>
        <c:idx val="1815"/>
        <c:spPr>
          <a:solidFill>
            <a:schemeClr val="accent1"/>
          </a:solidFill>
          <a:ln w="19050">
            <a:solidFill>
              <a:schemeClr val="lt1"/>
            </a:solidFill>
          </a:ln>
          <a:effectLst/>
        </c:spPr>
      </c:pivotFmt>
      <c:pivotFmt>
        <c:idx val="1816"/>
        <c:spPr>
          <a:solidFill>
            <a:schemeClr val="accent1"/>
          </a:solidFill>
          <a:ln w="19050">
            <a:solidFill>
              <a:schemeClr val="lt1"/>
            </a:solidFill>
          </a:ln>
          <a:effectLst/>
        </c:spPr>
      </c:pivotFmt>
      <c:pivotFmt>
        <c:idx val="1817"/>
        <c:spPr>
          <a:solidFill>
            <a:schemeClr val="accent1"/>
          </a:solidFill>
          <a:ln w="19050">
            <a:solidFill>
              <a:schemeClr val="lt1"/>
            </a:solidFill>
          </a:ln>
          <a:effectLst/>
        </c:spPr>
      </c:pivotFmt>
      <c:pivotFmt>
        <c:idx val="1818"/>
        <c:spPr>
          <a:solidFill>
            <a:schemeClr val="accent1"/>
          </a:solidFill>
          <a:ln w="19050">
            <a:solidFill>
              <a:schemeClr val="lt1"/>
            </a:solidFill>
          </a:ln>
          <a:effectLst/>
        </c:spPr>
      </c:pivotFmt>
      <c:pivotFmt>
        <c:idx val="1819"/>
        <c:spPr>
          <a:solidFill>
            <a:schemeClr val="accent1"/>
          </a:solidFill>
          <a:ln w="19050">
            <a:solidFill>
              <a:schemeClr val="lt1"/>
            </a:solidFill>
          </a:ln>
          <a:effectLst/>
        </c:spPr>
      </c:pivotFmt>
      <c:pivotFmt>
        <c:idx val="1820"/>
        <c:spPr>
          <a:solidFill>
            <a:schemeClr val="accent1"/>
          </a:solidFill>
          <a:ln w="19050">
            <a:solidFill>
              <a:schemeClr val="lt1"/>
            </a:solidFill>
          </a:ln>
          <a:effectLst/>
        </c:spPr>
      </c:pivotFmt>
      <c:pivotFmt>
        <c:idx val="1821"/>
        <c:spPr>
          <a:solidFill>
            <a:schemeClr val="accent1"/>
          </a:solidFill>
          <a:ln w="19050">
            <a:solidFill>
              <a:schemeClr val="lt1"/>
            </a:solidFill>
          </a:ln>
          <a:effectLst/>
        </c:spPr>
      </c:pivotFmt>
      <c:pivotFmt>
        <c:idx val="1822"/>
        <c:spPr>
          <a:solidFill>
            <a:schemeClr val="accent1"/>
          </a:solidFill>
          <a:ln w="19050">
            <a:solidFill>
              <a:schemeClr val="lt1"/>
            </a:solidFill>
          </a:ln>
          <a:effectLst/>
        </c:spPr>
      </c:pivotFmt>
      <c:pivotFmt>
        <c:idx val="1823"/>
        <c:spPr>
          <a:solidFill>
            <a:schemeClr val="accent1"/>
          </a:solidFill>
          <a:ln w="19050">
            <a:solidFill>
              <a:schemeClr val="lt1"/>
            </a:solidFill>
          </a:ln>
          <a:effectLst/>
        </c:spPr>
      </c:pivotFmt>
      <c:pivotFmt>
        <c:idx val="1824"/>
        <c:spPr>
          <a:solidFill>
            <a:schemeClr val="accent1"/>
          </a:solidFill>
          <a:ln w="19050">
            <a:solidFill>
              <a:schemeClr val="lt1"/>
            </a:solidFill>
          </a:ln>
          <a:effectLst/>
        </c:spPr>
      </c:pivotFmt>
      <c:pivotFmt>
        <c:idx val="1825"/>
        <c:spPr>
          <a:solidFill>
            <a:schemeClr val="accent1"/>
          </a:solidFill>
          <a:ln w="19050">
            <a:solidFill>
              <a:schemeClr val="lt1"/>
            </a:solidFill>
          </a:ln>
          <a:effectLst/>
        </c:spPr>
      </c:pivotFmt>
      <c:pivotFmt>
        <c:idx val="1826"/>
        <c:spPr>
          <a:solidFill>
            <a:schemeClr val="accent1"/>
          </a:solidFill>
          <a:ln w="19050">
            <a:solidFill>
              <a:schemeClr val="lt1"/>
            </a:solidFill>
          </a:ln>
          <a:effectLst/>
        </c:spPr>
      </c:pivotFmt>
      <c:pivotFmt>
        <c:idx val="1827"/>
        <c:spPr>
          <a:solidFill>
            <a:schemeClr val="accent1"/>
          </a:solidFill>
          <a:ln w="19050">
            <a:solidFill>
              <a:schemeClr val="lt1"/>
            </a:solidFill>
          </a:ln>
          <a:effectLst/>
        </c:spPr>
      </c:pivotFmt>
      <c:pivotFmt>
        <c:idx val="1828"/>
        <c:spPr>
          <a:solidFill>
            <a:schemeClr val="accent1"/>
          </a:solidFill>
          <a:ln w="19050">
            <a:solidFill>
              <a:schemeClr val="lt1"/>
            </a:solidFill>
          </a:ln>
          <a:effectLst/>
        </c:spPr>
      </c:pivotFmt>
      <c:pivotFmt>
        <c:idx val="1829"/>
        <c:spPr>
          <a:solidFill>
            <a:schemeClr val="accent1"/>
          </a:solidFill>
          <a:ln w="19050">
            <a:solidFill>
              <a:schemeClr val="lt1"/>
            </a:solidFill>
          </a:ln>
          <a:effectLst/>
        </c:spPr>
      </c:pivotFmt>
      <c:pivotFmt>
        <c:idx val="1830"/>
        <c:spPr>
          <a:solidFill>
            <a:schemeClr val="accent1"/>
          </a:solidFill>
          <a:ln w="19050">
            <a:solidFill>
              <a:schemeClr val="lt1"/>
            </a:solidFill>
          </a:ln>
          <a:effectLst/>
        </c:spPr>
      </c:pivotFmt>
      <c:pivotFmt>
        <c:idx val="1831"/>
        <c:spPr>
          <a:solidFill>
            <a:schemeClr val="accent1"/>
          </a:solidFill>
          <a:ln w="19050">
            <a:solidFill>
              <a:schemeClr val="lt1"/>
            </a:solidFill>
          </a:ln>
          <a:effectLst/>
        </c:spPr>
      </c:pivotFmt>
      <c:pivotFmt>
        <c:idx val="1832"/>
        <c:spPr>
          <a:solidFill>
            <a:schemeClr val="accent1"/>
          </a:solidFill>
          <a:ln w="19050">
            <a:solidFill>
              <a:schemeClr val="lt1"/>
            </a:solidFill>
          </a:ln>
          <a:effectLst/>
        </c:spPr>
      </c:pivotFmt>
      <c:pivotFmt>
        <c:idx val="1833"/>
        <c:spPr>
          <a:solidFill>
            <a:schemeClr val="accent1"/>
          </a:solidFill>
          <a:ln w="19050">
            <a:solidFill>
              <a:schemeClr val="lt1"/>
            </a:solidFill>
          </a:ln>
          <a:effectLst/>
        </c:spPr>
      </c:pivotFmt>
      <c:pivotFmt>
        <c:idx val="1834"/>
        <c:spPr>
          <a:solidFill>
            <a:schemeClr val="accent1"/>
          </a:solidFill>
          <a:ln w="19050">
            <a:solidFill>
              <a:schemeClr val="lt1"/>
            </a:solidFill>
          </a:ln>
          <a:effectLst/>
        </c:spPr>
      </c:pivotFmt>
      <c:pivotFmt>
        <c:idx val="1835"/>
        <c:spPr>
          <a:solidFill>
            <a:schemeClr val="accent1"/>
          </a:solidFill>
          <a:ln w="19050">
            <a:solidFill>
              <a:schemeClr val="lt1"/>
            </a:solidFill>
          </a:ln>
          <a:effectLst/>
        </c:spPr>
      </c:pivotFmt>
      <c:pivotFmt>
        <c:idx val="1836"/>
        <c:spPr>
          <a:solidFill>
            <a:schemeClr val="accent1"/>
          </a:solidFill>
          <a:ln w="19050">
            <a:solidFill>
              <a:schemeClr val="lt1"/>
            </a:solidFill>
          </a:ln>
          <a:effectLst/>
        </c:spPr>
      </c:pivotFmt>
      <c:pivotFmt>
        <c:idx val="1837"/>
        <c:spPr>
          <a:solidFill>
            <a:schemeClr val="accent1"/>
          </a:solidFill>
          <a:ln w="19050">
            <a:solidFill>
              <a:schemeClr val="lt1"/>
            </a:solidFill>
          </a:ln>
          <a:effectLst/>
        </c:spPr>
      </c:pivotFmt>
      <c:pivotFmt>
        <c:idx val="1838"/>
        <c:spPr>
          <a:solidFill>
            <a:schemeClr val="accent1"/>
          </a:solidFill>
          <a:ln w="19050">
            <a:solidFill>
              <a:schemeClr val="lt1"/>
            </a:solidFill>
          </a:ln>
          <a:effectLst/>
        </c:spPr>
      </c:pivotFmt>
      <c:pivotFmt>
        <c:idx val="1839"/>
        <c:spPr>
          <a:solidFill>
            <a:schemeClr val="accent1"/>
          </a:solidFill>
          <a:ln w="19050">
            <a:solidFill>
              <a:schemeClr val="lt1"/>
            </a:solidFill>
          </a:ln>
          <a:effectLst/>
        </c:spPr>
      </c:pivotFmt>
      <c:pivotFmt>
        <c:idx val="1840"/>
        <c:spPr>
          <a:solidFill>
            <a:schemeClr val="accent1"/>
          </a:solidFill>
          <a:ln w="19050">
            <a:solidFill>
              <a:schemeClr val="lt1"/>
            </a:solidFill>
          </a:ln>
          <a:effectLst/>
        </c:spPr>
      </c:pivotFmt>
      <c:pivotFmt>
        <c:idx val="1841"/>
        <c:spPr>
          <a:solidFill>
            <a:schemeClr val="accent1"/>
          </a:solidFill>
          <a:ln w="19050">
            <a:solidFill>
              <a:schemeClr val="lt1"/>
            </a:solidFill>
          </a:ln>
          <a:effectLst/>
        </c:spPr>
      </c:pivotFmt>
      <c:pivotFmt>
        <c:idx val="1842"/>
        <c:spPr>
          <a:solidFill>
            <a:schemeClr val="accent1"/>
          </a:solidFill>
          <a:ln w="19050">
            <a:solidFill>
              <a:schemeClr val="lt1"/>
            </a:solidFill>
          </a:ln>
          <a:effectLst/>
        </c:spPr>
      </c:pivotFmt>
      <c:pivotFmt>
        <c:idx val="1843"/>
        <c:spPr>
          <a:solidFill>
            <a:schemeClr val="accent1"/>
          </a:solidFill>
          <a:ln w="19050">
            <a:solidFill>
              <a:schemeClr val="lt1"/>
            </a:solidFill>
          </a:ln>
          <a:effectLst/>
        </c:spPr>
      </c:pivotFmt>
      <c:pivotFmt>
        <c:idx val="1844"/>
        <c:spPr>
          <a:solidFill>
            <a:schemeClr val="accent1"/>
          </a:solidFill>
          <a:ln w="19050">
            <a:solidFill>
              <a:schemeClr val="lt1"/>
            </a:solidFill>
          </a:ln>
          <a:effectLst/>
        </c:spPr>
      </c:pivotFmt>
      <c:pivotFmt>
        <c:idx val="1845"/>
        <c:spPr>
          <a:solidFill>
            <a:schemeClr val="accent1"/>
          </a:solidFill>
          <a:ln w="19050">
            <a:solidFill>
              <a:schemeClr val="lt1"/>
            </a:solidFill>
          </a:ln>
          <a:effectLst/>
        </c:spPr>
      </c:pivotFmt>
      <c:pivotFmt>
        <c:idx val="1846"/>
        <c:spPr>
          <a:solidFill>
            <a:schemeClr val="accent1"/>
          </a:solidFill>
          <a:ln w="19050">
            <a:solidFill>
              <a:schemeClr val="lt1"/>
            </a:solidFill>
          </a:ln>
          <a:effectLst/>
        </c:spPr>
      </c:pivotFmt>
      <c:pivotFmt>
        <c:idx val="1847"/>
        <c:spPr>
          <a:solidFill>
            <a:schemeClr val="accent1"/>
          </a:solidFill>
          <a:ln w="19050">
            <a:solidFill>
              <a:schemeClr val="lt1"/>
            </a:solidFill>
          </a:ln>
          <a:effectLst/>
        </c:spPr>
      </c:pivotFmt>
      <c:pivotFmt>
        <c:idx val="1848"/>
        <c:spPr>
          <a:solidFill>
            <a:schemeClr val="accent1"/>
          </a:solidFill>
          <a:ln w="19050">
            <a:solidFill>
              <a:schemeClr val="lt1"/>
            </a:solidFill>
          </a:ln>
          <a:effectLst/>
        </c:spPr>
      </c:pivotFmt>
      <c:pivotFmt>
        <c:idx val="1849"/>
        <c:spPr>
          <a:solidFill>
            <a:schemeClr val="accent1"/>
          </a:solidFill>
          <a:ln w="19050">
            <a:solidFill>
              <a:schemeClr val="lt1"/>
            </a:solidFill>
          </a:ln>
          <a:effectLst/>
        </c:spPr>
      </c:pivotFmt>
      <c:pivotFmt>
        <c:idx val="1850"/>
        <c:spPr>
          <a:solidFill>
            <a:schemeClr val="accent1"/>
          </a:solidFill>
          <a:ln w="19050">
            <a:solidFill>
              <a:schemeClr val="lt1"/>
            </a:solidFill>
          </a:ln>
          <a:effectLst/>
        </c:spPr>
      </c:pivotFmt>
      <c:pivotFmt>
        <c:idx val="1851"/>
        <c:spPr>
          <a:solidFill>
            <a:schemeClr val="accent1"/>
          </a:solidFill>
          <a:ln w="19050">
            <a:solidFill>
              <a:schemeClr val="lt1"/>
            </a:solidFill>
          </a:ln>
          <a:effectLst/>
        </c:spPr>
      </c:pivotFmt>
      <c:pivotFmt>
        <c:idx val="1852"/>
        <c:spPr>
          <a:solidFill>
            <a:schemeClr val="accent1"/>
          </a:solidFill>
          <a:ln w="19050">
            <a:solidFill>
              <a:schemeClr val="lt1"/>
            </a:solidFill>
          </a:ln>
          <a:effectLst/>
        </c:spPr>
      </c:pivotFmt>
      <c:pivotFmt>
        <c:idx val="1853"/>
        <c:spPr>
          <a:solidFill>
            <a:schemeClr val="accent1"/>
          </a:solidFill>
          <a:ln w="19050">
            <a:solidFill>
              <a:schemeClr val="lt1"/>
            </a:solidFill>
          </a:ln>
          <a:effectLst/>
        </c:spPr>
      </c:pivotFmt>
      <c:pivotFmt>
        <c:idx val="1854"/>
        <c:spPr>
          <a:solidFill>
            <a:schemeClr val="accent1"/>
          </a:solidFill>
          <a:ln w="19050">
            <a:solidFill>
              <a:schemeClr val="lt1"/>
            </a:solidFill>
          </a:ln>
          <a:effectLst/>
        </c:spPr>
      </c:pivotFmt>
      <c:pivotFmt>
        <c:idx val="1855"/>
        <c:spPr>
          <a:solidFill>
            <a:schemeClr val="accent1"/>
          </a:solidFill>
          <a:ln w="19050">
            <a:solidFill>
              <a:schemeClr val="lt1"/>
            </a:solidFill>
          </a:ln>
          <a:effectLst/>
        </c:spPr>
      </c:pivotFmt>
      <c:pivotFmt>
        <c:idx val="1856"/>
        <c:spPr>
          <a:solidFill>
            <a:schemeClr val="accent1"/>
          </a:solidFill>
          <a:ln w="19050">
            <a:solidFill>
              <a:schemeClr val="lt1"/>
            </a:solidFill>
          </a:ln>
          <a:effectLst/>
        </c:spPr>
      </c:pivotFmt>
      <c:pivotFmt>
        <c:idx val="1857"/>
        <c:spPr>
          <a:solidFill>
            <a:schemeClr val="accent1"/>
          </a:solidFill>
          <a:ln w="19050">
            <a:solidFill>
              <a:schemeClr val="lt1"/>
            </a:solidFill>
          </a:ln>
          <a:effectLst/>
        </c:spPr>
      </c:pivotFmt>
      <c:pivotFmt>
        <c:idx val="1858"/>
        <c:spPr>
          <a:solidFill>
            <a:schemeClr val="accent1"/>
          </a:solidFill>
          <a:ln w="19050">
            <a:solidFill>
              <a:schemeClr val="lt1"/>
            </a:solidFill>
          </a:ln>
          <a:effectLst/>
        </c:spPr>
      </c:pivotFmt>
      <c:pivotFmt>
        <c:idx val="1859"/>
        <c:spPr>
          <a:solidFill>
            <a:schemeClr val="accent1"/>
          </a:solidFill>
          <a:ln w="19050">
            <a:solidFill>
              <a:schemeClr val="lt1"/>
            </a:solidFill>
          </a:ln>
          <a:effectLst/>
        </c:spPr>
      </c:pivotFmt>
      <c:pivotFmt>
        <c:idx val="1860"/>
        <c:spPr>
          <a:solidFill>
            <a:schemeClr val="accent1"/>
          </a:solidFill>
          <a:ln w="19050">
            <a:solidFill>
              <a:schemeClr val="lt1"/>
            </a:solidFill>
          </a:ln>
          <a:effectLst/>
        </c:spPr>
      </c:pivotFmt>
      <c:pivotFmt>
        <c:idx val="1861"/>
        <c:spPr>
          <a:solidFill>
            <a:schemeClr val="accent1"/>
          </a:solidFill>
          <a:ln w="19050">
            <a:solidFill>
              <a:schemeClr val="lt1"/>
            </a:solidFill>
          </a:ln>
          <a:effectLst/>
        </c:spPr>
      </c:pivotFmt>
      <c:pivotFmt>
        <c:idx val="1862"/>
        <c:spPr>
          <a:solidFill>
            <a:schemeClr val="accent1"/>
          </a:solidFill>
          <a:ln w="19050">
            <a:solidFill>
              <a:schemeClr val="lt1"/>
            </a:solidFill>
          </a:ln>
          <a:effectLst/>
        </c:spPr>
      </c:pivotFmt>
      <c:pivotFmt>
        <c:idx val="1863"/>
        <c:spPr>
          <a:solidFill>
            <a:schemeClr val="accent1"/>
          </a:solidFill>
          <a:ln w="19050">
            <a:solidFill>
              <a:schemeClr val="lt1"/>
            </a:solidFill>
          </a:ln>
          <a:effectLst/>
        </c:spPr>
      </c:pivotFmt>
      <c:pivotFmt>
        <c:idx val="1864"/>
        <c:spPr>
          <a:solidFill>
            <a:schemeClr val="accent1"/>
          </a:solidFill>
          <a:ln w="19050">
            <a:solidFill>
              <a:schemeClr val="lt1"/>
            </a:solidFill>
          </a:ln>
          <a:effectLst/>
        </c:spPr>
      </c:pivotFmt>
      <c:pivotFmt>
        <c:idx val="1865"/>
        <c:spPr>
          <a:solidFill>
            <a:schemeClr val="accent1"/>
          </a:solidFill>
          <a:ln w="19050">
            <a:solidFill>
              <a:schemeClr val="lt1"/>
            </a:solidFill>
          </a:ln>
          <a:effectLst/>
        </c:spPr>
      </c:pivotFmt>
      <c:pivotFmt>
        <c:idx val="1866"/>
        <c:spPr>
          <a:solidFill>
            <a:schemeClr val="accent1"/>
          </a:solidFill>
          <a:ln w="19050">
            <a:solidFill>
              <a:schemeClr val="lt1"/>
            </a:solidFill>
          </a:ln>
          <a:effectLst/>
        </c:spPr>
      </c:pivotFmt>
      <c:pivotFmt>
        <c:idx val="1867"/>
        <c:spPr>
          <a:solidFill>
            <a:schemeClr val="accent1"/>
          </a:solidFill>
          <a:ln w="19050">
            <a:solidFill>
              <a:schemeClr val="lt1"/>
            </a:solidFill>
          </a:ln>
          <a:effectLst/>
        </c:spPr>
      </c:pivotFmt>
      <c:pivotFmt>
        <c:idx val="1868"/>
        <c:spPr>
          <a:solidFill>
            <a:schemeClr val="accent1"/>
          </a:solidFill>
          <a:ln w="19050">
            <a:solidFill>
              <a:schemeClr val="lt1"/>
            </a:solidFill>
          </a:ln>
          <a:effectLst/>
        </c:spPr>
      </c:pivotFmt>
      <c:pivotFmt>
        <c:idx val="1869"/>
        <c:spPr>
          <a:solidFill>
            <a:schemeClr val="accent1"/>
          </a:solidFill>
          <a:ln w="19050">
            <a:solidFill>
              <a:schemeClr val="lt1"/>
            </a:solidFill>
          </a:ln>
          <a:effectLst/>
        </c:spPr>
      </c:pivotFmt>
      <c:pivotFmt>
        <c:idx val="1870"/>
        <c:spPr>
          <a:solidFill>
            <a:schemeClr val="accent1"/>
          </a:solidFill>
          <a:ln w="19050">
            <a:solidFill>
              <a:schemeClr val="lt1"/>
            </a:solidFill>
          </a:ln>
          <a:effectLst/>
        </c:spPr>
      </c:pivotFmt>
      <c:pivotFmt>
        <c:idx val="1871"/>
        <c:spPr>
          <a:solidFill>
            <a:schemeClr val="accent1"/>
          </a:solidFill>
          <a:ln w="19050">
            <a:solidFill>
              <a:schemeClr val="lt1"/>
            </a:solidFill>
          </a:ln>
          <a:effectLst/>
        </c:spPr>
      </c:pivotFmt>
      <c:pivotFmt>
        <c:idx val="1872"/>
        <c:spPr>
          <a:solidFill>
            <a:schemeClr val="accent1"/>
          </a:solidFill>
          <a:ln w="19050">
            <a:solidFill>
              <a:schemeClr val="lt1"/>
            </a:solidFill>
          </a:ln>
          <a:effectLst/>
        </c:spPr>
      </c:pivotFmt>
      <c:pivotFmt>
        <c:idx val="1873"/>
        <c:spPr>
          <a:solidFill>
            <a:schemeClr val="accent1"/>
          </a:solidFill>
          <a:ln w="19050">
            <a:solidFill>
              <a:schemeClr val="lt1"/>
            </a:solidFill>
          </a:ln>
          <a:effectLst/>
        </c:spPr>
      </c:pivotFmt>
      <c:pivotFmt>
        <c:idx val="1874"/>
        <c:spPr>
          <a:solidFill>
            <a:schemeClr val="accent1"/>
          </a:solidFill>
          <a:ln w="19050">
            <a:solidFill>
              <a:schemeClr val="lt1"/>
            </a:solidFill>
          </a:ln>
          <a:effectLst/>
        </c:spPr>
      </c:pivotFmt>
      <c:pivotFmt>
        <c:idx val="1875"/>
        <c:spPr>
          <a:solidFill>
            <a:schemeClr val="accent1"/>
          </a:solidFill>
          <a:ln w="19050">
            <a:solidFill>
              <a:schemeClr val="lt1"/>
            </a:solidFill>
          </a:ln>
          <a:effectLst/>
        </c:spPr>
      </c:pivotFmt>
      <c:pivotFmt>
        <c:idx val="1876"/>
        <c:spPr>
          <a:solidFill>
            <a:schemeClr val="accent1"/>
          </a:solidFill>
          <a:ln w="19050">
            <a:solidFill>
              <a:schemeClr val="lt1"/>
            </a:solidFill>
          </a:ln>
          <a:effectLst/>
        </c:spPr>
      </c:pivotFmt>
      <c:pivotFmt>
        <c:idx val="1877"/>
        <c:spPr>
          <a:solidFill>
            <a:schemeClr val="accent1"/>
          </a:solidFill>
          <a:ln w="19050">
            <a:solidFill>
              <a:schemeClr val="lt1"/>
            </a:solidFill>
          </a:ln>
          <a:effectLst/>
        </c:spPr>
      </c:pivotFmt>
      <c:pivotFmt>
        <c:idx val="1878"/>
        <c:spPr>
          <a:solidFill>
            <a:schemeClr val="accent1"/>
          </a:solidFill>
          <a:ln w="19050">
            <a:solidFill>
              <a:schemeClr val="lt1"/>
            </a:solidFill>
          </a:ln>
          <a:effectLst/>
        </c:spPr>
      </c:pivotFmt>
      <c:pivotFmt>
        <c:idx val="1879"/>
        <c:spPr>
          <a:solidFill>
            <a:schemeClr val="accent1"/>
          </a:solidFill>
          <a:ln w="19050">
            <a:solidFill>
              <a:schemeClr val="lt1"/>
            </a:solidFill>
          </a:ln>
          <a:effectLst/>
        </c:spPr>
      </c:pivotFmt>
      <c:pivotFmt>
        <c:idx val="1880"/>
        <c:spPr>
          <a:solidFill>
            <a:schemeClr val="accent1"/>
          </a:solidFill>
          <a:ln w="19050">
            <a:solidFill>
              <a:schemeClr val="lt1"/>
            </a:solidFill>
          </a:ln>
          <a:effectLst/>
        </c:spPr>
      </c:pivotFmt>
      <c:pivotFmt>
        <c:idx val="1881"/>
        <c:spPr>
          <a:solidFill>
            <a:schemeClr val="accent1"/>
          </a:solidFill>
          <a:ln w="19050">
            <a:solidFill>
              <a:schemeClr val="lt1"/>
            </a:solidFill>
          </a:ln>
          <a:effectLst/>
        </c:spPr>
      </c:pivotFmt>
      <c:pivotFmt>
        <c:idx val="1882"/>
        <c:spPr>
          <a:solidFill>
            <a:schemeClr val="accent1"/>
          </a:solidFill>
          <a:ln w="19050">
            <a:solidFill>
              <a:schemeClr val="lt1"/>
            </a:solidFill>
          </a:ln>
          <a:effectLst/>
        </c:spPr>
      </c:pivotFmt>
      <c:pivotFmt>
        <c:idx val="1883"/>
        <c:spPr>
          <a:solidFill>
            <a:schemeClr val="accent1"/>
          </a:solidFill>
          <a:ln w="19050">
            <a:solidFill>
              <a:schemeClr val="lt1"/>
            </a:solidFill>
          </a:ln>
          <a:effectLst/>
        </c:spPr>
      </c:pivotFmt>
      <c:pivotFmt>
        <c:idx val="1884"/>
        <c:spPr>
          <a:solidFill>
            <a:schemeClr val="accent1"/>
          </a:solidFill>
          <a:ln w="19050">
            <a:solidFill>
              <a:schemeClr val="lt1"/>
            </a:solidFill>
          </a:ln>
          <a:effectLst/>
        </c:spPr>
      </c:pivotFmt>
      <c:pivotFmt>
        <c:idx val="1885"/>
        <c:spPr>
          <a:solidFill>
            <a:schemeClr val="accent1"/>
          </a:solidFill>
          <a:ln w="19050">
            <a:solidFill>
              <a:schemeClr val="lt1"/>
            </a:solidFill>
          </a:ln>
          <a:effectLst/>
        </c:spPr>
      </c:pivotFmt>
      <c:pivotFmt>
        <c:idx val="1886"/>
        <c:spPr>
          <a:solidFill>
            <a:schemeClr val="accent1"/>
          </a:solidFill>
          <a:ln w="19050">
            <a:solidFill>
              <a:schemeClr val="lt1"/>
            </a:solidFill>
          </a:ln>
          <a:effectLst/>
        </c:spPr>
      </c:pivotFmt>
      <c:pivotFmt>
        <c:idx val="1887"/>
        <c:spPr>
          <a:solidFill>
            <a:schemeClr val="accent1"/>
          </a:solidFill>
          <a:ln w="19050">
            <a:solidFill>
              <a:schemeClr val="lt1"/>
            </a:solidFill>
          </a:ln>
          <a:effectLst/>
        </c:spPr>
      </c:pivotFmt>
      <c:pivotFmt>
        <c:idx val="1888"/>
        <c:spPr>
          <a:solidFill>
            <a:schemeClr val="accent1"/>
          </a:solidFill>
          <a:ln w="19050">
            <a:solidFill>
              <a:schemeClr val="lt1"/>
            </a:solidFill>
          </a:ln>
          <a:effectLst/>
        </c:spPr>
      </c:pivotFmt>
      <c:pivotFmt>
        <c:idx val="1889"/>
        <c:spPr>
          <a:solidFill>
            <a:schemeClr val="accent1"/>
          </a:solidFill>
          <a:ln w="19050">
            <a:solidFill>
              <a:schemeClr val="lt1"/>
            </a:solidFill>
          </a:ln>
          <a:effectLst/>
        </c:spPr>
      </c:pivotFmt>
      <c:pivotFmt>
        <c:idx val="1890"/>
        <c:spPr>
          <a:solidFill>
            <a:schemeClr val="accent1"/>
          </a:solidFill>
          <a:ln w="19050">
            <a:solidFill>
              <a:schemeClr val="lt1"/>
            </a:solidFill>
          </a:ln>
          <a:effectLst/>
        </c:spPr>
      </c:pivotFmt>
      <c:pivotFmt>
        <c:idx val="1891"/>
        <c:spPr>
          <a:solidFill>
            <a:schemeClr val="accent1"/>
          </a:solidFill>
          <a:ln w="19050">
            <a:solidFill>
              <a:schemeClr val="lt1"/>
            </a:solidFill>
          </a:ln>
          <a:effectLst/>
        </c:spPr>
      </c:pivotFmt>
      <c:pivotFmt>
        <c:idx val="1892"/>
        <c:spPr>
          <a:solidFill>
            <a:schemeClr val="accent1"/>
          </a:solidFill>
          <a:ln w="19050">
            <a:solidFill>
              <a:schemeClr val="lt1"/>
            </a:solidFill>
          </a:ln>
          <a:effectLst/>
        </c:spPr>
      </c:pivotFmt>
      <c:pivotFmt>
        <c:idx val="1893"/>
        <c:spPr>
          <a:solidFill>
            <a:schemeClr val="accent1"/>
          </a:solidFill>
          <a:ln w="19050">
            <a:solidFill>
              <a:schemeClr val="lt1"/>
            </a:solidFill>
          </a:ln>
          <a:effectLst/>
        </c:spPr>
      </c:pivotFmt>
      <c:pivotFmt>
        <c:idx val="1894"/>
        <c:spPr>
          <a:solidFill>
            <a:schemeClr val="accent1"/>
          </a:solidFill>
          <a:ln w="19050">
            <a:solidFill>
              <a:schemeClr val="lt1"/>
            </a:solidFill>
          </a:ln>
          <a:effectLst/>
        </c:spPr>
      </c:pivotFmt>
      <c:pivotFmt>
        <c:idx val="1895"/>
        <c:spPr>
          <a:solidFill>
            <a:schemeClr val="accent1"/>
          </a:solidFill>
          <a:ln w="19050">
            <a:solidFill>
              <a:schemeClr val="lt1"/>
            </a:solidFill>
          </a:ln>
          <a:effectLst/>
        </c:spPr>
      </c:pivotFmt>
      <c:pivotFmt>
        <c:idx val="1896"/>
        <c:spPr>
          <a:solidFill>
            <a:schemeClr val="accent1"/>
          </a:solidFill>
          <a:ln w="19050">
            <a:solidFill>
              <a:schemeClr val="lt1"/>
            </a:solidFill>
          </a:ln>
          <a:effectLst/>
        </c:spPr>
      </c:pivotFmt>
      <c:pivotFmt>
        <c:idx val="1897"/>
        <c:spPr>
          <a:solidFill>
            <a:schemeClr val="accent1"/>
          </a:solidFill>
          <a:ln w="19050">
            <a:solidFill>
              <a:schemeClr val="lt1"/>
            </a:solidFill>
          </a:ln>
          <a:effectLst/>
        </c:spPr>
      </c:pivotFmt>
      <c:pivotFmt>
        <c:idx val="1898"/>
        <c:spPr>
          <a:solidFill>
            <a:schemeClr val="accent1"/>
          </a:solidFill>
          <a:ln w="19050">
            <a:solidFill>
              <a:schemeClr val="lt1"/>
            </a:solidFill>
          </a:ln>
          <a:effectLst/>
        </c:spPr>
      </c:pivotFmt>
      <c:pivotFmt>
        <c:idx val="1899"/>
        <c:spPr>
          <a:solidFill>
            <a:schemeClr val="accent1"/>
          </a:solidFill>
          <a:ln w="19050">
            <a:solidFill>
              <a:schemeClr val="lt1"/>
            </a:solidFill>
          </a:ln>
          <a:effectLst/>
        </c:spPr>
      </c:pivotFmt>
      <c:pivotFmt>
        <c:idx val="1900"/>
        <c:spPr>
          <a:solidFill>
            <a:schemeClr val="accent1"/>
          </a:solidFill>
          <a:ln w="19050">
            <a:solidFill>
              <a:schemeClr val="lt1"/>
            </a:solidFill>
          </a:ln>
          <a:effectLst/>
        </c:spPr>
      </c:pivotFmt>
      <c:pivotFmt>
        <c:idx val="1901"/>
        <c:spPr>
          <a:solidFill>
            <a:schemeClr val="accent1"/>
          </a:solidFill>
          <a:ln w="19050">
            <a:solidFill>
              <a:schemeClr val="lt1"/>
            </a:solidFill>
          </a:ln>
          <a:effectLst/>
        </c:spPr>
      </c:pivotFmt>
      <c:pivotFmt>
        <c:idx val="1902"/>
        <c:spPr>
          <a:solidFill>
            <a:schemeClr val="accent1"/>
          </a:solidFill>
          <a:ln w="19050">
            <a:solidFill>
              <a:schemeClr val="lt1"/>
            </a:solidFill>
          </a:ln>
          <a:effectLst/>
        </c:spPr>
      </c:pivotFmt>
      <c:pivotFmt>
        <c:idx val="1903"/>
        <c:spPr>
          <a:solidFill>
            <a:schemeClr val="accent1"/>
          </a:solidFill>
          <a:ln w="19050">
            <a:solidFill>
              <a:schemeClr val="lt1"/>
            </a:solidFill>
          </a:ln>
          <a:effectLst/>
        </c:spPr>
      </c:pivotFmt>
      <c:pivotFmt>
        <c:idx val="1904"/>
        <c:spPr>
          <a:solidFill>
            <a:schemeClr val="accent1"/>
          </a:solidFill>
          <a:ln w="19050">
            <a:solidFill>
              <a:schemeClr val="lt1"/>
            </a:solidFill>
          </a:ln>
          <a:effectLst/>
        </c:spPr>
      </c:pivotFmt>
      <c:pivotFmt>
        <c:idx val="1905"/>
        <c:spPr>
          <a:solidFill>
            <a:schemeClr val="accent1"/>
          </a:solidFill>
          <a:ln w="19050">
            <a:solidFill>
              <a:schemeClr val="lt1"/>
            </a:solidFill>
          </a:ln>
          <a:effectLst/>
        </c:spPr>
      </c:pivotFmt>
      <c:pivotFmt>
        <c:idx val="1906"/>
        <c:spPr>
          <a:solidFill>
            <a:schemeClr val="accent1"/>
          </a:solidFill>
          <a:ln w="19050">
            <a:solidFill>
              <a:schemeClr val="lt1"/>
            </a:solidFill>
          </a:ln>
          <a:effectLst/>
        </c:spPr>
      </c:pivotFmt>
      <c:pivotFmt>
        <c:idx val="1907"/>
        <c:spPr>
          <a:solidFill>
            <a:schemeClr val="accent1"/>
          </a:solidFill>
          <a:ln w="19050">
            <a:solidFill>
              <a:schemeClr val="lt1"/>
            </a:solidFill>
          </a:ln>
          <a:effectLst/>
        </c:spPr>
      </c:pivotFmt>
      <c:pivotFmt>
        <c:idx val="1908"/>
        <c:spPr>
          <a:solidFill>
            <a:schemeClr val="accent1"/>
          </a:solidFill>
          <a:ln w="19050">
            <a:solidFill>
              <a:schemeClr val="lt1"/>
            </a:solidFill>
          </a:ln>
          <a:effectLst/>
        </c:spPr>
      </c:pivotFmt>
      <c:pivotFmt>
        <c:idx val="1909"/>
        <c:spPr>
          <a:solidFill>
            <a:schemeClr val="accent1"/>
          </a:solidFill>
          <a:ln w="19050">
            <a:solidFill>
              <a:schemeClr val="lt1"/>
            </a:solidFill>
          </a:ln>
          <a:effectLst/>
        </c:spPr>
      </c:pivotFmt>
      <c:pivotFmt>
        <c:idx val="1910"/>
        <c:spPr>
          <a:solidFill>
            <a:schemeClr val="accent1"/>
          </a:solidFill>
          <a:ln w="19050">
            <a:solidFill>
              <a:schemeClr val="lt1"/>
            </a:solidFill>
          </a:ln>
          <a:effectLst/>
        </c:spPr>
      </c:pivotFmt>
      <c:pivotFmt>
        <c:idx val="1911"/>
        <c:spPr>
          <a:solidFill>
            <a:schemeClr val="accent1"/>
          </a:solidFill>
          <a:ln w="19050">
            <a:solidFill>
              <a:schemeClr val="lt1"/>
            </a:solidFill>
          </a:ln>
          <a:effectLst/>
        </c:spPr>
      </c:pivotFmt>
      <c:pivotFmt>
        <c:idx val="1912"/>
        <c:spPr>
          <a:solidFill>
            <a:schemeClr val="accent1"/>
          </a:solidFill>
          <a:ln w="19050">
            <a:solidFill>
              <a:schemeClr val="lt1"/>
            </a:solidFill>
          </a:ln>
          <a:effectLst/>
        </c:spPr>
      </c:pivotFmt>
      <c:pivotFmt>
        <c:idx val="1913"/>
        <c:spPr>
          <a:solidFill>
            <a:schemeClr val="accent1"/>
          </a:solidFill>
          <a:ln w="19050">
            <a:solidFill>
              <a:schemeClr val="lt1"/>
            </a:solidFill>
          </a:ln>
          <a:effectLst/>
        </c:spPr>
      </c:pivotFmt>
      <c:pivotFmt>
        <c:idx val="1914"/>
        <c:spPr>
          <a:solidFill>
            <a:schemeClr val="accent1"/>
          </a:solidFill>
          <a:ln w="19050">
            <a:solidFill>
              <a:schemeClr val="lt1"/>
            </a:solidFill>
          </a:ln>
          <a:effectLst/>
        </c:spPr>
      </c:pivotFmt>
      <c:pivotFmt>
        <c:idx val="1915"/>
        <c:spPr>
          <a:solidFill>
            <a:schemeClr val="accent1"/>
          </a:solidFill>
          <a:ln w="19050">
            <a:solidFill>
              <a:schemeClr val="lt1"/>
            </a:solidFill>
          </a:ln>
          <a:effectLst/>
        </c:spPr>
      </c:pivotFmt>
      <c:pivotFmt>
        <c:idx val="1916"/>
        <c:spPr>
          <a:solidFill>
            <a:schemeClr val="accent1"/>
          </a:solidFill>
          <a:ln w="19050">
            <a:solidFill>
              <a:schemeClr val="lt1"/>
            </a:solidFill>
          </a:ln>
          <a:effectLst/>
        </c:spPr>
      </c:pivotFmt>
      <c:pivotFmt>
        <c:idx val="1917"/>
        <c:spPr>
          <a:solidFill>
            <a:schemeClr val="accent1"/>
          </a:solidFill>
          <a:ln w="19050">
            <a:solidFill>
              <a:schemeClr val="lt1"/>
            </a:solidFill>
          </a:ln>
          <a:effectLst/>
        </c:spPr>
      </c:pivotFmt>
      <c:pivotFmt>
        <c:idx val="1918"/>
        <c:spPr>
          <a:solidFill>
            <a:schemeClr val="accent1"/>
          </a:solidFill>
          <a:ln w="19050">
            <a:solidFill>
              <a:schemeClr val="lt1"/>
            </a:solidFill>
          </a:ln>
          <a:effectLst/>
        </c:spPr>
      </c:pivotFmt>
      <c:pivotFmt>
        <c:idx val="1919"/>
        <c:spPr>
          <a:solidFill>
            <a:schemeClr val="accent1"/>
          </a:solidFill>
          <a:ln w="19050">
            <a:solidFill>
              <a:schemeClr val="lt1"/>
            </a:solidFill>
          </a:ln>
          <a:effectLst/>
        </c:spPr>
      </c:pivotFmt>
      <c:pivotFmt>
        <c:idx val="1920"/>
        <c:spPr>
          <a:solidFill>
            <a:schemeClr val="accent1"/>
          </a:solidFill>
          <a:ln w="19050">
            <a:solidFill>
              <a:schemeClr val="lt1"/>
            </a:solidFill>
          </a:ln>
          <a:effectLst/>
        </c:spPr>
      </c:pivotFmt>
      <c:pivotFmt>
        <c:idx val="1921"/>
        <c:spPr>
          <a:solidFill>
            <a:schemeClr val="accent1"/>
          </a:solidFill>
          <a:ln w="19050">
            <a:solidFill>
              <a:schemeClr val="lt1"/>
            </a:solidFill>
          </a:ln>
          <a:effectLst/>
        </c:spPr>
      </c:pivotFmt>
      <c:pivotFmt>
        <c:idx val="1922"/>
        <c:spPr>
          <a:solidFill>
            <a:schemeClr val="accent1"/>
          </a:solidFill>
          <a:ln w="19050">
            <a:solidFill>
              <a:schemeClr val="lt1"/>
            </a:solidFill>
          </a:ln>
          <a:effectLst/>
        </c:spPr>
      </c:pivotFmt>
      <c:pivotFmt>
        <c:idx val="1923"/>
        <c:spPr>
          <a:solidFill>
            <a:schemeClr val="accent1"/>
          </a:solidFill>
          <a:ln w="19050">
            <a:solidFill>
              <a:schemeClr val="lt1"/>
            </a:solidFill>
          </a:ln>
          <a:effectLst/>
        </c:spPr>
      </c:pivotFmt>
      <c:pivotFmt>
        <c:idx val="1924"/>
        <c:spPr>
          <a:solidFill>
            <a:schemeClr val="accent1"/>
          </a:solidFill>
          <a:ln w="19050">
            <a:solidFill>
              <a:schemeClr val="lt1"/>
            </a:solidFill>
          </a:ln>
          <a:effectLst/>
        </c:spPr>
      </c:pivotFmt>
      <c:pivotFmt>
        <c:idx val="1925"/>
        <c:spPr>
          <a:solidFill>
            <a:schemeClr val="accent1"/>
          </a:solidFill>
          <a:ln w="19050">
            <a:solidFill>
              <a:schemeClr val="lt1"/>
            </a:solidFill>
          </a:ln>
          <a:effectLst/>
        </c:spPr>
      </c:pivotFmt>
      <c:pivotFmt>
        <c:idx val="1926"/>
        <c:spPr>
          <a:solidFill>
            <a:schemeClr val="accent1"/>
          </a:solidFill>
          <a:ln w="19050">
            <a:solidFill>
              <a:schemeClr val="lt1"/>
            </a:solidFill>
          </a:ln>
          <a:effectLst/>
        </c:spPr>
      </c:pivotFmt>
      <c:pivotFmt>
        <c:idx val="1927"/>
        <c:spPr>
          <a:solidFill>
            <a:schemeClr val="accent1"/>
          </a:solidFill>
          <a:ln w="19050">
            <a:solidFill>
              <a:schemeClr val="lt1"/>
            </a:solidFill>
          </a:ln>
          <a:effectLst/>
        </c:spPr>
      </c:pivotFmt>
      <c:pivotFmt>
        <c:idx val="1928"/>
        <c:spPr>
          <a:solidFill>
            <a:schemeClr val="accent1"/>
          </a:solidFill>
          <a:ln w="19050">
            <a:solidFill>
              <a:schemeClr val="lt1"/>
            </a:solidFill>
          </a:ln>
          <a:effectLst/>
        </c:spPr>
      </c:pivotFmt>
      <c:pivotFmt>
        <c:idx val="1929"/>
        <c:spPr>
          <a:solidFill>
            <a:schemeClr val="accent1"/>
          </a:solidFill>
          <a:ln w="19050">
            <a:solidFill>
              <a:schemeClr val="lt1"/>
            </a:solidFill>
          </a:ln>
          <a:effectLst/>
        </c:spPr>
      </c:pivotFmt>
      <c:pivotFmt>
        <c:idx val="1930"/>
        <c:spPr>
          <a:solidFill>
            <a:schemeClr val="accent1"/>
          </a:solidFill>
          <a:ln w="19050">
            <a:solidFill>
              <a:schemeClr val="lt1"/>
            </a:solidFill>
          </a:ln>
          <a:effectLst/>
        </c:spPr>
      </c:pivotFmt>
      <c:pivotFmt>
        <c:idx val="1931"/>
        <c:spPr>
          <a:solidFill>
            <a:schemeClr val="accent1"/>
          </a:solidFill>
          <a:ln w="19050">
            <a:solidFill>
              <a:schemeClr val="lt1"/>
            </a:solidFill>
          </a:ln>
          <a:effectLst/>
        </c:spPr>
      </c:pivotFmt>
      <c:pivotFmt>
        <c:idx val="1932"/>
        <c:spPr>
          <a:solidFill>
            <a:schemeClr val="accent1"/>
          </a:solidFill>
          <a:ln w="19050">
            <a:solidFill>
              <a:schemeClr val="lt1"/>
            </a:solidFill>
          </a:ln>
          <a:effectLst/>
        </c:spPr>
      </c:pivotFmt>
      <c:pivotFmt>
        <c:idx val="1933"/>
        <c:spPr>
          <a:solidFill>
            <a:schemeClr val="accent1"/>
          </a:solidFill>
          <a:ln w="19050">
            <a:solidFill>
              <a:schemeClr val="lt1"/>
            </a:solidFill>
          </a:ln>
          <a:effectLst/>
        </c:spPr>
      </c:pivotFmt>
      <c:pivotFmt>
        <c:idx val="1934"/>
        <c:spPr>
          <a:solidFill>
            <a:schemeClr val="accent1"/>
          </a:solidFill>
          <a:ln w="19050">
            <a:solidFill>
              <a:schemeClr val="lt1"/>
            </a:solidFill>
          </a:ln>
          <a:effectLst/>
        </c:spPr>
      </c:pivotFmt>
      <c:pivotFmt>
        <c:idx val="1935"/>
        <c:spPr>
          <a:solidFill>
            <a:schemeClr val="accent1"/>
          </a:solidFill>
          <a:ln w="19050">
            <a:solidFill>
              <a:schemeClr val="lt1"/>
            </a:solidFill>
          </a:ln>
          <a:effectLst/>
        </c:spPr>
      </c:pivotFmt>
      <c:pivotFmt>
        <c:idx val="1936"/>
        <c:spPr>
          <a:solidFill>
            <a:schemeClr val="accent1"/>
          </a:solidFill>
          <a:ln w="19050">
            <a:solidFill>
              <a:schemeClr val="lt1"/>
            </a:solidFill>
          </a:ln>
          <a:effectLst/>
        </c:spPr>
      </c:pivotFmt>
      <c:pivotFmt>
        <c:idx val="1937"/>
        <c:spPr>
          <a:solidFill>
            <a:schemeClr val="accent1"/>
          </a:solidFill>
          <a:ln w="19050">
            <a:solidFill>
              <a:schemeClr val="lt1"/>
            </a:solidFill>
          </a:ln>
          <a:effectLst/>
        </c:spPr>
      </c:pivotFmt>
      <c:pivotFmt>
        <c:idx val="1938"/>
        <c:spPr>
          <a:solidFill>
            <a:schemeClr val="accent1"/>
          </a:solidFill>
          <a:ln w="19050">
            <a:solidFill>
              <a:schemeClr val="lt1"/>
            </a:solidFill>
          </a:ln>
          <a:effectLst/>
        </c:spPr>
      </c:pivotFmt>
      <c:pivotFmt>
        <c:idx val="1939"/>
        <c:spPr>
          <a:solidFill>
            <a:schemeClr val="accent1"/>
          </a:solidFill>
          <a:ln w="19050">
            <a:solidFill>
              <a:schemeClr val="lt1"/>
            </a:solidFill>
          </a:ln>
          <a:effectLst/>
        </c:spPr>
      </c:pivotFmt>
      <c:pivotFmt>
        <c:idx val="1940"/>
        <c:spPr>
          <a:solidFill>
            <a:schemeClr val="accent1"/>
          </a:solidFill>
          <a:ln w="19050">
            <a:solidFill>
              <a:schemeClr val="lt1"/>
            </a:solidFill>
          </a:ln>
          <a:effectLst/>
        </c:spPr>
      </c:pivotFmt>
      <c:pivotFmt>
        <c:idx val="1941"/>
        <c:spPr>
          <a:solidFill>
            <a:schemeClr val="accent1"/>
          </a:solidFill>
          <a:ln w="19050">
            <a:solidFill>
              <a:schemeClr val="lt1"/>
            </a:solidFill>
          </a:ln>
          <a:effectLst/>
        </c:spPr>
      </c:pivotFmt>
      <c:pivotFmt>
        <c:idx val="1942"/>
        <c:spPr>
          <a:solidFill>
            <a:schemeClr val="accent1"/>
          </a:solidFill>
          <a:ln w="19050">
            <a:solidFill>
              <a:schemeClr val="lt1"/>
            </a:solidFill>
          </a:ln>
          <a:effectLst/>
        </c:spPr>
      </c:pivotFmt>
      <c:pivotFmt>
        <c:idx val="1943"/>
        <c:spPr>
          <a:solidFill>
            <a:schemeClr val="accent1"/>
          </a:solidFill>
          <a:ln w="19050">
            <a:solidFill>
              <a:schemeClr val="lt1"/>
            </a:solidFill>
          </a:ln>
          <a:effectLst/>
        </c:spPr>
      </c:pivotFmt>
      <c:pivotFmt>
        <c:idx val="1944"/>
        <c:spPr>
          <a:solidFill>
            <a:schemeClr val="accent1"/>
          </a:solidFill>
          <a:ln w="19050">
            <a:solidFill>
              <a:schemeClr val="lt1"/>
            </a:solidFill>
          </a:ln>
          <a:effectLst/>
        </c:spPr>
      </c:pivotFmt>
      <c:pivotFmt>
        <c:idx val="1945"/>
        <c:spPr>
          <a:solidFill>
            <a:schemeClr val="accent1"/>
          </a:solidFill>
          <a:ln w="19050">
            <a:solidFill>
              <a:schemeClr val="lt1"/>
            </a:solidFill>
          </a:ln>
          <a:effectLst/>
        </c:spPr>
      </c:pivotFmt>
      <c:pivotFmt>
        <c:idx val="1946"/>
        <c:spPr>
          <a:solidFill>
            <a:schemeClr val="accent1"/>
          </a:solidFill>
          <a:ln w="19050">
            <a:solidFill>
              <a:schemeClr val="lt1"/>
            </a:solidFill>
          </a:ln>
          <a:effectLst/>
        </c:spPr>
      </c:pivotFmt>
      <c:pivotFmt>
        <c:idx val="1947"/>
        <c:spPr>
          <a:solidFill>
            <a:schemeClr val="accent1"/>
          </a:solidFill>
          <a:ln w="19050">
            <a:solidFill>
              <a:schemeClr val="lt1"/>
            </a:solidFill>
          </a:ln>
          <a:effectLst/>
        </c:spPr>
      </c:pivotFmt>
      <c:pivotFmt>
        <c:idx val="1948"/>
        <c:spPr>
          <a:solidFill>
            <a:schemeClr val="accent1"/>
          </a:solidFill>
          <a:ln w="19050">
            <a:solidFill>
              <a:schemeClr val="lt1"/>
            </a:solidFill>
          </a:ln>
          <a:effectLst/>
        </c:spPr>
      </c:pivotFmt>
      <c:pivotFmt>
        <c:idx val="1949"/>
        <c:spPr>
          <a:solidFill>
            <a:schemeClr val="accent1"/>
          </a:solidFill>
          <a:ln w="19050">
            <a:solidFill>
              <a:schemeClr val="lt1"/>
            </a:solidFill>
          </a:ln>
          <a:effectLst/>
        </c:spPr>
      </c:pivotFmt>
      <c:pivotFmt>
        <c:idx val="1950"/>
        <c:spPr>
          <a:solidFill>
            <a:schemeClr val="accent1"/>
          </a:solidFill>
          <a:ln w="19050">
            <a:solidFill>
              <a:schemeClr val="lt1"/>
            </a:solidFill>
          </a:ln>
          <a:effectLst/>
        </c:spPr>
      </c:pivotFmt>
      <c:pivotFmt>
        <c:idx val="1951"/>
        <c:spPr>
          <a:solidFill>
            <a:schemeClr val="accent1"/>
          </a:solidFill>
          <a:ln w="19050">
            <a:solidFill>
              <a:schemeClr val="lt1"/>
            </a:solidFill>
          </a:ln>
          <a:effectLst/>
        </c:spPr>
      </c:pivotFmt>
      <c:pivotFmt>
        <c:idx val="1952"/>
        <c:spPr>
          <a:solidFill>
            <a:schemeClr val="accent1"/>
          </a:solidFill>
          <a:ln w="19050">
            <a:solidFill>
              <a:schemeClr val="lt1"/>
            </a:solidFill>
          </a:ln>
          <a:effectLst/>
        </c:spPr>
      </c:pivotFmt>
      <c:pivotFmt>
        <c:idx val="1953"/>
        <c:spPr>
          <a:solidFill>
            <a:schemeClr val="accent1"/>
          </a:solidFill>
          <a:ln w="19050">
            <a:solidFill>
              <a:schemeClr val="lt1"/>
            </a:solidFill>
          </a:ln>
          <a:effectLst/>
        </c:spPr>
      </c:pivotFmt>
      <c:pivotFmt>
        <c:idx val="1954"/>
        <c:spPr>
          <a:solidFill>
            <a:schemeClr val="accent1"/>
          </a:solidFill>
          <a:ln w="19050">
            <a:solidFill>
              <a:schemeClr val="lt1"/>
            </a:solidFill>
          </a:ln>
          <a:effectLst/>
        </c:spPr>
      </c:pivotFmt>
      <c:pivotFmt>
        <c:idx val="1955"/>
        <c:spPr>
          <a:solidFill>
            <a:schemeClr val="accent1"/>
          </a:solidFill>
          <a:ln w="19050">
            <a:solidFill>
              <a:schemeClr val="lt1"/>
            </a:solidFill>
          </a:ln>
          <a:effectLst/>
        </c:spPr>
      </c:pivotFmt>
      <c:pivotFmt>
        <c:idx val="1956"/>
        <c:spPr>
          <a:solidFill>
            <a:schemeClr val="accent1"/>
          </a:solidFill>
          <a:ln w="19050">
            <a:solidFill>
              <a:schemeClr val="lt1"/>
            </a:solidFill>
          </a:ln>
          <a:effectLst/>
        </c:spPr>
      </c:pivotFmt>
      <c:pivotFmt>
        <c:idx val="1957"/>
        <c:spPr>
          <a:solidFill>
            <a:schemeClr val="accent1"/>
          </a:solidFill>
          <a:ln w="19050">
            <a:solidFill>
              <a:schemeClr val="lt1"/>
            </a:solidFill>
          </a:ln>
          <a:effectLst/>
        </c:spPr>
      </c:pivotFmt>
      <c:pivotFmt>
        <c:idx val="1958"/>
        <c:spPr>
          <a:solidFill>
            <a:schemeClr val="accent1"/>
          </a:solidFill>
          <a:ln w="19050">
            <a:solidFill>
              <a:schemeClr val="lt1"/>
            </a:solidFill>
          </a:ln>
          <a:effectLst/>
        </c:spPr>
      </c:pivotFmt>
      <c:pivotFmt>
        <c:idx val="1959"/>
        <c:spPr>
          <a:solidFill>
            <a:schemeClr val="accent1"/>
          </a:solidFill>
          <a:ln w="19050">
            <a:solidFill>
              <a:schemeClr val="lt1"/>
            </a:solidFill>
          </a:ln>
          <a:effectLst/>
        </c:spPr>
      </c:pivotFmt>
      <c:pivotFmt>
        <c:idx val="1960"/>
        <c:spPr>
          <a:solidFill>
            <a:schemeClr val="accent1"/>
          </a:solidFill>
          <a:ln w="19050">
            <a:solidFill>
              <a:schemeClr val="lt1"/>
            </a:solidFill>
          </a:ln>
          <a:effectLst/>
        </c:spPr>
      </c:pivotFmt>
      <c:pivotFmt>
        <c:idx val="1961"/>
        <c:spPr>
          <a:solidFill>
            <a:schemeClr val="accent1"/>
          </a:solidFill>
          <a:ln w="19050">
            <a:solidFill>
              <a:schemeClr val="lt1"/>
            </a:solidFill>
          </a:ln>
          <a:effectLst/>
        </c:spPr>
      </c:pivotFmt>
      <c:pivotFmt>
        <c:idx val="1962"/>
        <c:spPr>
          <a:solidFill>
            <a:schemeClr val="accent1"/>
          </a:solidFill>
          <a:ln w="19050">
            <a:solidFill>
              <a:schemeClr val="lt1"/>
            </a:solidFill>
          </a:ln>
          <a:effectLst/>
        </c:spPr>
      </c:pivotFmt>
      <c:pivotFmt>
        <c:idx val="1963"/>
        <c:spPr>
          <a:solidFill>
            <a:schemeClr val="accent1"/>
          </a:solidFill>
          <a:ln w="19050">
            <a:solidFill>
              <a:schemeClr val="lt1"/>
            </a:solidFill>
          </a:ln>
          <a:effectLst/>
        </c:spPr>
      </c:pivotFmt>
      <c:pivotFmt>
        <c:idx val="1964"/>
        <c:spPr>
          <a:solidFill>
            <a:schemeClr val="accent1"/>
          </a:solidFill>
          <a:ln w="19050">
            <a:solidFill>
              <a:schemeClr val="lt1"/>
            </a:solidFill>
          </a:ln>
          <a:effectLst/>
        </c:spPr>
      </c:pivotFmt>
      <c:pivotFmt>
        <c:idx val="1965"/>
        <c:spPr>
          <a:solidFill>
            <a:schemeClr val="accent1"/>
          </a:solidFill>
          <a:ln w="19050">
            <a:solidFill>
              <a:schemeClr val="lt1"/>
            </a:solidFill>
          </a:ln>
          <a:effectLst/>
        </c:spPr>
      </c:pivotFmt>
      <c:pivotFmt>
        <c:idx val="1966"/>
        <c:spPr>
          <a:solidFill>
            <a:schemeClr val="accent1"/>
          </a:solidFill>
          <a:ln w="19050">
            <a:solidFill>
              <a:schemeClr val="lt1"/>
            </a:solidFill>
          </a:ln>
          <a:effectLst/>
        </c:spPr>
      </c:pivotFmt>
      <c:pivotFmt>
        <c:idx val="1967"/>
        <c:spPr>
          <a:solidFill>
            <a:schemeClr val="accent1"/>
          </a:solidFill>
          <a:ln w="19050">
            <a:solidFill>
              <a:schemeClr val="lt1"/>
            </a:solidFill>
          </a:ln>
          <a:effectLst/>
        </c:spPr>
      </c:pivotFmt>
      <c:pivotFmt>
        <c:idx val="1968"/>
        <c:spPr>
          <a:solidFill>
            <a:schemeClr val="accent1"/>
          </a:solidFill>
          <a:ln w="19050">
            <a:solidFill>
              <a:schemeClr val="lt1"/>
            </a:solidFill>
          </a:ln>
          <a:effectLst/>
        </c:spPr>
      </c:pivotFmt>
      <c:pivotFmt>
        <c:idx val="1969"/>
        <c:spPr>
          <a:solidFill>
            <a:schemeClr val="accent1"/>
          </a:solidFill>
          <a:ln w="19050">
            <a:solidFill>
              <a:schemeClr val="lt1"/>
            </a:solidFill>
          </a:ln>
          <a:effectLst/>
        </c:spPr>
      </c:pivotFmt>
      <c:pivotFmt>
        <c:idx val="1970"/>
        <c:spPr>
          <a:solidFill>
            <a:schemeClr val="accent1"/>
          </a:solidFill>
          <a:ln w="19050">
            <a:solidFill>
              <a:schemeClr val="lt1"/>
            </a:solidFill>
          </a:ln>
          <a:effectLst/>
        </c:spPr>
      </c:pivotFmt>
      <c:pivotFmt>
        <c:idx val="1971"/>
        <c:spPr>
          <a:solidFill>
            <a:schemeClr val="accent1"/>
          </a:solidFill>
          <a:ln w="19050">
            <a:solidFill>
              <a:schemeClr val="lt1"/>
            </a:solidFill>
          </a:ln>
          <a:effectLst/>
        </c:spPr>
      </c:pivotFmt>
      <c:pivotFmt>
        <c:idx val="1972"/>
        <c:spPr>
          <a:solidFill>
            <a:schemeClr val="accent1"/>
          </a:solidFill>
          <a:ln w="19050">
            <a:solidFill>
              <a:schemeClr val="lt1"/>
            </a:solidFill>
          </a:ln>
          <a:effectLst/>
        </c:spPr>
      </c:pivotFmt>
      <c:pivotFmt>
        <c:idx val="1973"/>
        <c:spPr>
          <a:solidFill>
            <a:schemeClr val="accent1"/>
          </a:solidFill>
          <a:ln w="19050">
            <a:solidFill>
              <a:schemeClr val="lt1"/>
            </a:solidFill>
          </a:ln>
          <a:effectLst/>
        </c:spPr>
      </c:pivotFmt>
      <c:pivotFmt>
        <c:idx val="1974"/>
        <c:spPr>
          <a:solidFill>
            <a:schemeClr val="accent1"/>
          </a:solidFill>
          <a:ln w="19050">
            <a:solidFill>
              <a:schemeClr val="lt1"/>
            </a:solidFill>
          </a:ln>
          <a:effectLst/>
        </c:spPr>
      </c:pivotFmt>
      <c:pivotFmt>
        <c:idx val="1975"/>
        <c:spPr>
          <a:solidFill>
            <a:schemeClr val="accent1"/>
          </a:solidFill>
          <a:ln w="19050">
            <a:solidFill>
              <a:schemeClr val="lt1"/>
            </a:solidFill>
          </a:ln>
          <a:effectLst/>
        </c:spPr>
      </c:pivotFmt>
      <c:pivotFmt>
        <c:idx val="1976"/>
        <c:spPr>
          <a:solidFill>
            <a:schemeClr val="accent1"/>
          </a:solidFill>
          <a:ln w="19050">
            <a:solidFill>
              <a:schemeClr val="lt1"/>
            </a:solidFill>
          </a:ln>
          <a:effectLst/>
        </c:spPr>
      </c:pivotFmt>
      <c:pivotFmt>
        <c:idx val="1977"/>
        <c:spPr>
          <a:solidFill>
            <a:schemeClr val="accent1"/>
          </a:solidFill>
          <a:ln w="19050">
            <a:solidFill>
              <a:schemeClr val="lt1"/>
            </a:solidFill>
          </a:ln>
          <a:effectLst/>
        </c:spPr>
      </c:pivotFmt>
      <c:pivotFmt>
        <c:idx val="1978"/>
        <c:spPr>
          <a:solidFill>
            <a:schemeClr val="accent1"/>
          </a:solidFill>
          <a:ln w="19050">
            <a:solidFill>
              <a:schemeClr val="lt1"/>
            </a:solidFill>
          </a:ln>
          <a:effectLst/>
        </c:spPr>
      </c:pivotFmt>
      <c:pivotFmt>
        <c:idx val="1979"/>
        <c:spPr>
          <a:solidFill>
            <a:schemeClr val="accent1"/>
          </a:solidFill>
          <a:ln w="19050">
            <a:solidFill>
              <a:schemeClr val="lt1"/>
            </a:solidFill>
          </a:ln>
          <a:effectLst/>
        </c:spPr>
      </c:pivotFmt>
      <c:pivotFmt>
        <c:idx val="1980"/>
        <c:spPr>
          <a:solidFill>
            <a:schemeClr val="accent1"/>
          </a:solidFill>
          <a:ln w="19050">
            <a:solidFill>
              <a:schemeClr val="lt1"/>
            </a:solidFill>
          </a:ln>
          <a:effectLst/>
        </c:spPr>
      </c:pivotFmt>
      <c:pivotFmt>
        <c:idx val="1981"/>
        <c:spPr>
          <a:solidFill>
            <a:schemeClr val="accent1"/>
          </a:solidFill>
          <a:ln w="19050">
            <a:solidFill>
              <a:schemeClr val="lt1"/>
            </a:solidFill>
          </a:ln>
          <a:effectLst/>
        </c:spPr>
      </c:pivotFmt>
      <c:pivotFmt>
        <c:idx val="1982"/>
        <c:spPr>
          <a:solidFill>
            <a:schemeClr val="accent1"/>
          </a:solidFill>
          <a:ln w="19050">
            <a:solidFill>
              <a:schemeClr val="lt1"/>
            </a:solidFill>
          </a:ln>
          <a:effectLst/>
        </c:spPr>
      </c:pivotFmt>
      <c:pivotFmt>
        <c:idx val="1983"/>
        <c:spPr>
          <a:solidFill>
            <a:schemeClr val="accent1"/>
          </a:solidFill>
          <a:ln w="19050">
            <a:solidFill>
              <a:schemeClr val="lt1"/>
            </a:solidFill>
          </a:ln>
          <a:effectLst/>
        </c:spPr>
      </c:pivotFmt>
      <c:pivotFmt>
        <c:idx val="1984"/>
        <c:spPr>
          <a:solidFill>
            <a:schemeClr val="accent1"/>
          </a:solidFill>
          <a:ln w="19050">
            <a:solidFill>
              <a:schemeClr val="lt1"/>
            </a:solidFill>
          </a:ln>
          <a:effectLst/>
        </c:spPr>
      </c:pivotFmt>
      <c:pivotFmt>
        <c:idx val="1985"/>
        <c:spPr>
          <a:solidFill>
            <a:schemeClr val="accent1"/>
          </a:solidFill>
          <a:ln w="19050">
            <a:solidFill>
              <a:schemeClr val="lt1"/>
            </a:solidFill>
          </a:ln>
          <a:effectLst/>
        </c:spPr>
      </c:pivotFmt>
      <c:pivotFmt>
        <c:idx val="1986"/>
        <c:spPr>
          <a:solidFill>
            <a:schemeClr val="accent1"/>
          </a:solidFill>
          <a:ln w="19050">
            <a:solidFill>
              <a:schemeClr val="lt1"/>
            </a:solidFill>
          </a:ln>
          <a:effectLst/>
        </c:spPr>
      </c:pivotFmt>
      <c:pivotFmt>
        <c:idx val="1987"/>
        <c:spPr>
          <a:solidFill>
            <a:schemeClr val="accent1"/>
          </a:solidFill>
          <a:ln w="19050">
            <a:solidFill>
              <a:schemeClr val="lt1"/>
            </a:solidFill>
          </a:ln>
          <a:effectLst/>
        </c:spPr>
      </c:pivotFmt>
      <c:pivotFmt>
        <c:idx val="1988"/>
        <c:spPr>
          <a:solidFill>
            <a:schemeClr val="accent1"/>
          </a:solidFill>
          <a:ln w="19050">
            <a:solidFill>
              <a:schemeClr val="lt1"/>
            </a:solidFill>
          </a:ln>
          <a:effectLst/>
        </c:spPr>
      </c:pivotFmt>
      <c:pivotFmt>
        <c:idx val="1989"/>
        <c:spPr>
          <a:solidFill>
            <a:schemeClr val="accent1"/>
          </a:solidFill>
          <a:ln w="19050">
            <a:solidFill>
              <a:schemeClr val="lt1"/>
            </a:solidFill>
          </a:ln>
          <a:effectLst/>
        </c:spPr>
      </c:pivotFmt>
      <c:pivotFmt>
        <c:idx val="1990"/>
        <c:spPr>
          <a:solidFill>
            <a:schemeClr val="accent1"/>
          </a:solidFill>
          <a:ln w="19050">
            <a:solidFill>
              <a:schemeClr val="lt1"/>
            </a:solidFill>
          </a:ln>
          <a:effectLst/>
        </c:spPr>
      </c:pivotFmt>
      <c:pivotFmt>
        <c:idx val="1991"/>
        <c:spPr>
          <a:solidFill>
            <a:schemeClr val="accent1"/>
          </a:solidFill>
          <a:ln w="19050">
            <a:solidFill>
              <a:schemeClr val="lt1"/>
            </a:solidFill>
          </a:ln>
          <a:effectLst/>
        </c:spPr>
      </c:pivotFmt>
      <c:pivotFmt>
        <c:idx val="1992"/>
        <c:spPr>
          <a:solidFill>
            <a:schemeClr val="accent1"/>
          </a:solidFill>
          <a:ln w="19050">
            <a:solidFill>
              <a:schemeClr val="lt1"/>
            </a:solidFill>
          </a:ln>
          <a:effectLst/>
        </c:spPr>
      </c:pivotFmt>
      <c:pivotFmt>
        <c:idx val="1993"/>
        <c:spPr>
          <a:solidFill>
            <a:schemeClr val="accent1"/>
          </a:solidFill>
          <a:ln w="19050">
            <a:solidFill>
              <a:schemeClr val="lt1"/>
            </a:solidFill>
          </a:ln>
          <a:effectLst/>
        </c:spPr>
      </c:pivotFmt>
      <c:pivotFmt>
        <c:idx val="1994"/>
        <c:spPr>
          <a:solidFill>
            <a:schemeClr val="accent1"/>
          </a:solidFill>
          <a:ln w="19050">
            <a:solidFill>
              <a:schemeClr val="lt1"/>
            </a:solidFill>
          </a:ln>
          <a:effectLst/>
        </c:spPr>
      </c:pivotFmt>
      <c:pivotFmt>
        <c:idx val="1995"/>
        <c:spPr>
          <a:solidFill>
            <a:schemeClr val="accent1"/>
          </a:solidFill>
          <a:ln w="19050">
            <a:solidFill>
              <a:schemeClr val="lt1"/>
            </a:solidFill>
          </a:ln>
          <a:effectLst/>
        </c:spPr>
      </c:pivotFmt>
      <c:pivotFmt>
        <c:idx val="1996"/>
        <c:spPr>
          <a:solidFill>
            <a:schemeClr val="accent1"/>
          </a:solidFill>
          <a:ln w="19050">
            <a:solidFill>
              <a:schemeClr val="lt1"/>
            </a:solidFill>
          </a:ln>
          <a:effectLst/>
        </c:spPr>
      </c:pivotFmt>
      <c:pivotFmt>
        <c:idx val="1997"/>
        <c:spPr>
          <a:solidFill>
            <a:schemeClr val="accent1"/>
          </a:solidFill>
          <a:ln w="19050">
            <a:solidFill>
              <a:schemeClr val="lt1"/>
            </a:solidFill>
          </a:ln>
          <a:effectLst/>
        </c:spPr>
      </c:pivotFmt>
      <c:pivotFmt>
        <c:idx val="1998"/>
        <c:spPr>
          <a:solidFill>
            <a:schemeClr val="accent1"/>
          </a:solidFill>
          <a:ln w="19050">
            <a:solidFill>
              <a:schemeClr val="lt1"/>
            </a:solidFill>
          </a:ln>
          <a:effectLst/>
        </c:spPr>
      </c:pivotFmt>
      <c:pivotFmt>
        <c:idx val="1999"/>
        <c:spPr>
          <a:solidFill>
            <a:schemeClr val="accent1"/>
          </a:solidFill>
          <a:ln w="19050">
            <a:solidFill>
              <a:schemeClr val="lt1"/>
            </a:solidFill>
          </a:ln>
          <a:effectLst/>
        </c:spPr>
      </c:pivotFmt>
      <c:pivotFmt>
        <c:idx val="2000"/>
        <c:spPr>
          <a:solidFill>
            <a:schemeClr val="accent1"/>
          </a:solidFill>
          <a:ln w="19050">
            <a:solidFill>
              <a:schemeClr val="lt1"/>
            </a:solidFill>
          </a:ln>
          <a:effectLst/>
        </c:spPr>
      </c:pivotFmt>
      <c:pivotFmt>
        <c:idx val="2001"/>
        <c:spPr>
          <a:solidFill>
            <a:schemeClr val="accent1"/>
          </a:solidFill>
          <a:ln w="19050">
            <a:solidFill>
              <a:schemeClr val="lt1"/>
            </a:solidFill>
          </a:ln>
          <a:effectLst/>
        </c:spPr>
      </c:pivotFmt>
      <c:pivotFmt>
        <c:idx val="2002"/>
        <c:spPr>
          <a:solidFill>
            <a:schemeClr val="accent1"/>
          </a:solidFill>
          <a:ln w="19050">
            <a:solidFill>
              <a:schemeClr val="lt1"/>
            </a:solidFill>
          </a:ln>
          <a:effectLst/>
        </c:spPr>
      </c:pivotFmt>
      <c:pivotFmt>
        <c:idx val="2003"/>
        <c:spPr>
          <a:solidFill>
            <a:schemeClr val="accent1"/>
          </a:solidFill>
          <a:ln w="19050">
            <a:solidFill>
              <a:schemeClr val="lt1"/>
            </a:solidFill>
          </a:ln>
          <a:effectLst/>
        </c:spPr>
      </c:pivotFmt>
      <c:pivotFmt>
        <c:idx val="2004"/>
        <c:spPr>
          <a:solidFill>
            <a:schemeClr val="accent1"/>
          </a:solidFill>
          <a:ln w="19050">
            <a:solidFill>
              <a:schemeClr val="lt1"/>
            </a:solidFill>
          </a:ln>
          <a:effectLst/>
        </c:spPr>
      </c:pivotFmt>
      <c:pivotFmt>
        <c:idx val="2005"/>
        <c:spPr>
          <a:solidFill>
            <a:schemeClr val="accent1"/>
          </a:solidFill>
          <a:ln w="19050">
            <a:solidFill>
              <a:schemeClr val="lt1"/>
            </a:solidFill>
          </a:ln>
          <a:effectLst/>
        </c:spPr>
      </c:pivotFmt>
      <c:pivotFmt>
        <c:idx val="2006"/>
        <c:spPr>
          <a:solidFill>
            <a:schemeClr val="accent1"/>
          </a:solidFill>
          <a:ln w="19050">
            <a:solidFill>
              <a:schemeClr val="lt1"/>
            </a:solidFill>
          </a:ln>
          <a:effectLst/>
        </c:spPr>
      </c:pivotFmt>
      <c:pivotFmt>
        <c:idx val="2007"/>
        <c:spPr>
          <a:solidFill>
            <a:schemeClr val="accent1"/>
          </a:solidFill>
          <a:ln w="19050">
            <a:solidFill>
              <a:schemeClr val="lt1"/>
            </a:solidFill>
          </a:ln>
          <a:effectLst/>
        </c:spPr>
      </c:pivotFmt>
      <c:pivotFmt>
        <c:idx val="2008"/>
        <c:spPr>
          <a:solidFill>
            <a:schemeClr val="accent1"/>
          </a:solidFill>
          <a:ln w="19050">
            <a:solidFill>
              <a:schemeClr val="lt1"/>
            </a:solidFill>
          </a:ln>
          <a:effectLst/>
        </c:spPr>
      </c:pivotFmt>
      <c:pivotFmt>
        <c:idx val="2009"/>
        <c:spPr>
          <a:solidFill>
            <a:schemeClr val="accent1"/>
          </a:solidFill>
          <a:ln w="19050">
            <a:solidFill>
              <a:schemeClr val="lt1"/>
            </a:solidFill>
          </a:ln>
          <a:effectLst/>
        </c:spPr>
      </c:pivotFmt>
      <c:pivotFmt>
        <c:idx val="2010"/>
        <c:spPr>
          <a:solidFill>
            <a:schemeClr val="accent1"/>
          </a:solidFill>
          <a:ln w="19050">
            <a:solidFill>
              <a:schemeClr val="lt1"/>
            </a:solidFill>
          </a:ln>
          <a:effectLst/>
        </c:spPr>
      </c:pivotFmt>
      <c:pivotFmt>
        <c:idx val="2011"/>
        <c:spPr>
          <a:solidFill>
            <a:schemeClr val="accent1"/>
          </a:solidFill>
          <a:ln w="19050">
            <a:solidFill>
              <a:schemeClr val="lt1"/>
            </a:solidFill>
          </a:ln>
          <a:effectLst/>
        </c:spPr>
      </c:pivotFmt>
      <c:pivotFmt>
        <c:idx val="2012"/>
        <c:spPr>
          <a:solidFill>
            <a:schemeClr val="accent1"/>
          </a:solidFill>
          <a:ln w="19050">
            <a:solidFill>
              <a:schemeClr val="lt1"/>
            </a:solidFill>
          </a:ln>
          <a:effectLst/>
        </c:spPr>
      </c:pivotFmt>
      <c:pivotFmt>
        <c:idx val="2013"/>
        <c:spPr>
          <a:solidFill>
            <a:schemeClr val="accent1"/>
          </a:solidFill>
          <a:ln w="19050">
            <a:solidFill>
              <a:schemeClr val="lt1"/>
            </a:solidFill>
          </a:ln>
          <a:effectLst/>
        </c:spPr>
      </c:pivotFmt>
      <c:pivotFmt>
        <c:idx val="2014"/>
        <c:spPr>
          <a:solidFill>
            <a:schemeClr val="accent1"/>
          </a:solidFill>
          <a:ln w="19050">
            <a:solidFill>
              <a:schemeClr val="lt1"/>
            </a:solidFill>
          </a:ln>
          <a:effectLst/>
        </c:spPr>
      </c:pivotFmt>
      <c:pivotFmt>
        <c:idx val="2015"/>
        <c:spPr>
          <a:solidFill>
            <a:schemeClr val="accent1"/>
          </a:solidFill>
          <a:ln w="19050">
            <a:solidFill>
              <a:schemeClr val="lt1"/>
            </a:solidFill>
          </a:ln>
          <a:effectLst/>
        </c:spPr>
      </c:pivotFmt>
      <c:pivotFmt>
        <c:idx val="2016"/>
        <c:spPr>
          <a:solidFill>
            <a:schemeClr val="accent1"/>
          </a:solidFill>
          <a:ln w="19050">
            <a:solidFill>
              <a:schemeClr val="lt1"/>
            </a:solidFill>
          </a:ln>
          <a:effectLst/>
        </c:spPr>
      </c:pivotFmt>
      <c:pivotFmt>
        <c:idx val="2017"/>
        <c:spPr>
          <a:solidFill>
            <a:schemeClr val="accent1"/>
          </a:solidFill>
          <a:ln w="19050">
            <a:solidFill>
              <a:schemeClr val="lt1"/>
            </a:solidFill>
          </a:ln>
          <a:effectLst/>
        </c:spPr>
      </c:pivotFmt>
      <c:pivotFmt>
        <c:idx val="2018"/>
        <c:spPr>
          <a:solidFill>
            <a:schemeClr val="accent1"/>
          </a:solidFill>
          <a:ln w="19050">
            <a:solidFill>
              <a:schemeClr val="lt1"/>
            </a:solidFill>
          </a:ln>
          <a:effectLst/>
        </c:spPr>
      </c:pivotFmt>
      <c:pivotFmt>
        <c:idx val="2019"/>
        <c:spPr>
          <a:solidFill>
            <a:schemeClr val="accent1"/>
          </a:solidFill>
          <a:ln w="19050">
            <a:solidFill>
              <a:schemeClr val="lt1"/>
            </a:solidFill>
          </a:ln>
          <a:effectLst/>
        </c:spPr>
      </c:pivotFmt>
      <c:pivotFmt>
        <c:idx val="2020"/>
        <c:spPr>
          <a:solidFill>
            <a:schemeClr val="accent1"/>
          </a:solidFill>
          <a:ln w="19050">
            <a:solidFill>
              <a:schemeClr val="lt1"/>
            </a:solidFill>
          </a:ln>
          <a:effectLst/>
        </c:spPr>
      </c:pivotFmt>
      <c:pivotFmt>
        <c:idx val="2021"/>
        <c:spPr>
          <a:solidFill>
            <a:schemeClr val="accent1"/>
          </a:solidFill>
          <a:ln w="19050">
            <a:solidFill>
              <a:schemeClr val="lt1"/>
            </a:solidFill>
          </a:ln>
          <a:effectLst/>
        </c:spPr>
      </c:pivotFmt>
      <c:pivotFmt>
        <c:idx val="2022"/>
        <c:spPr>
          <a:solidFill>
            <a:schemeClr val="accent1"/>
          </a:solidFill>
          <a:ln w="19050">
            <a:solidFill>
              <a:schemeClr val="lt1"/>
            </a:solidFill>
          </a:ln>
          <a:effectLst/>
        </c:spPr>
      </c:pivotFmt>
      <c:pivotFmt>
        <c:idx val="2023"/>
        <c:spPr>
          <a:solidFill>
            <a:schemeClr val="accent1"/>
          </a:solidFill>
          <a:ln w="19050">
            <a:solidFill>
              <a:schemeClr val="lt1"/>
            </a:solidFill>
          </a:ln>
          <a:effectLst/>
        </c:spPr>
      </c:pivotFmt>
      <c:pivotFmt>
        <c:idx val="2024"/>
        <c:spPr>
          <a:solidFill>
            <a:schemeClr val="accent1"/>
          </a:solidFill>
          <a:ln w="19050">
            <a:solidFill>
              <a:schemeClr val="lt1"/>
            </a:solidFill>
          </a:ln>
          <a:effectLst/>
        </c:spPr>
      </c:pivotFmt>
      <c:pivotFmt>
        <c:idx val="2025"/>
        <c:spPr>
          <a:solidFill>
            <a:schemeClr val="accent1"/>
          </a:solidFill>
          <a:ln w="19050">
            <a:solidFill>
              <a:schemeClr val="lt1"/>
            </a:solidFill>
          </a:ln>
          <a:effectLst/>
        </c:spPr>
      </c:pivotFmt>
      <c:pivotFmt>
        <c:idx val="2026"/>
        <c:spPr>
          <a:solidFill>
            <a:schemeClr val="accent1"/>
          </a:solidFill>
          <a:ln w="19050">
            <a:solidFill>
              <a:schemeClr val="lt1"/>
            </a:solidFill>
          </a:ln>
          <a:effectLst/>
        </c:spPr>
      </c:pivotFmt>
      <c:pivotFmt>
        <c:idx val="2027"/>
        <c:spPr>
          <a:solidFill>
            <a:schemeClr val="accent1"/>
          </a:solidFill>
          <a:ln w="19050">
            <a:solidFill>
              <a:schemeClr val="lt1"/>
            </a:solidFill>
          </a:ln>
          <a:effectLst/>
        </c:spPr>
      </c:pivotFmt>
      <c:pivotFmt>
        <c:idx val="2028"/>
        <c:spPr>
          <a:solidFill>
            <a:schemeClr val="accent1"/>
          </a:solidFill>
          <a:ln w="19050">
            <a:solidFill>
              <a:schemeClr val="lt1"/>
            </a:solidFill>
          </a:ln>
          <a:effectLst/>
        </c:spPr>
      </c:pivotFmt>
      <c:pivotFmt>
        <c:idx val="2029"/>
        <c:spPr>
          <a:solidFill>
            <a:schemeClr val="accent1"/>
          </a:solidFill>
          <a:ln w="19050">
            <a:solidFill>
              <a:schemeClr val="lt1"/>
            </a:solidFill>
          </a:ln>
          <a:effectLst/>
        </c:spPr>
      </c:pivotFmt>
      <c:pivotFmt>
        <c:idx val="2030"/>
        <c:spPr>
          <a:solidFill>
            <a:schemeClr val="accent1"/>
          </a:solidFill>
          <a:ln w="19050">
            <a:solidFill>
              <a:schemeClr val="lt1"/>
            </a:solidFill>
          </a:ln>
          <a:effectLst/>
        </c:spPr>
      </c:pivotFmt>
      <c:pivotFmt>
        <c:idx val="2031"/>
        <c:spPr>
          <a:solidFill>
            <a:schemeClr val="accent1"/>
          </a:solidFill>
          <a:ln w="19050">
            <a:solidFill>
              <a:schemeClr val="lt1"/>
            </a:solidFill>
          </a:ln>
          <a:effectLst/>
        </c:spPr>
      </c:pivotFmt>
      <c:pivotFmt>
        <c:idx val="2032"/>
        <c:spPr>
          <a:solidFill>
            <a:schemeClr val="accent1"/>
          </a:solidFill>
          <a:ln w="19050">
            <a:solidFill>
              <a:schemeClr val="lt1"/>
            </a:solidFill>
          </a:ln>
          <a:effectLst/>
        </c:spPr>
      </c:pivotFmt>
      <c:pivotFmt>
        <c:idx val="2033"/>
        <c:spPr>
          <a:solidFill>
            <a:schemeClr val="accent1"/>
          </a:solidFill>
          <a:ln w="19050">
            <a:solidFill>
              <a:schemeClr val="lt1"/>
            </a:solidFill>
          </a:ln>
          <a:effectLst/>
        </c:spPr>
      </c:pivotFmt>
      <c:pivotFmt>
        <c:idx val="2034"/>
        <c:spPr>
          <a:solidFill>
            <a:schemeClr val="accent1"/>
          </a:solidFill>
          <a:ln w="19050">
            <a:solidFill>
              <a:schemeClr val="lt1"/>
            </a:solidFill>
          </a:ln>
          <a:effectLst/>
        </c:spPr>
      </c:pivotFmt>
      <c:pivotFmt>
        <c:idx val="2035"/>
        <c:spPr>
          <a:solidFill>
            <a:schemeClr val="accent1"/>
          </a:solidFill>
          <a:ln w="19050">
            <a:solidFill>
              <a:schemeClr val="lt1"/>
            </a:solidFill>
          </a:ln>
          <a:effectLst/>
        </c:spPr>
      </c:pivotFmt>
      <c:pivotFmt>
        <c:idx val="2036"/>
        <c:spPr>
          <a:solidFill>
            <a:schemeClr val="accent1"/>
          </a:solidFill>
          <a:ln w="19050">
            <a:solidFill>
              <a:schemeClr val="lt1"/>
            </a:solidFill>
          </a:ln>
          <a:effectLst/>
        </c:spPr>
      </c:pivotFmt>
      <c:pivotFmt>
        <c:idx val="2037"/>
        <c:spPr>
          <a:solidFill>
            <a:schemeClr val="accent1"/>
          </a:solidFill>
          <a:ln w="19050">
            <a:solidFill>
              <a:schemeClr val="lt1"/>
            </a:solidFill>
          </a:ln>
          <a:effectLst/>
        </c:spPr>
      </c:pivotFmt>
      <c:pivotFmt>
        <c:idx val="2038"/>
        <c:spPr>
          <a:solidFill>
            <a:schemeClr val="accent1"/>
          </a:solidFill>
          <a:ln w="19050">
            <a:solidFill>
              <a:schemeClr val="lt1"/>
            </a:solidFill>
          </a:ln>
          <a:effectLst/>
        </c:spPr>
      </c:pivotFmt>
      <c:pivotFmt>
        <c:idx val="2039"/>
        <c:spPr>
          <a:solidFill>
            <a:schemeClr val="accent1"/>
          </a:solidFill>
          <a:ln w="19050">
            <a:solidFill>
              <a:schemeClr val="lt1"/>
            </a:solidFill>
          </a:ln>
          <a:effectLst/>
        </c:spPr>
      </c:pivotFmt>
      <c:pivotFmt>
        <c:idx val="2040"/>
        <c:spPr>
          <a:solidFill>
            <a:schemeClr val="accent1"/>
          </a:solidFill>
          <a:ln w="19050">
            <a:solidFill>
              <a:schemeClr val="lt1"/>
            </a:solidFill>
          </a:ln>
          <a:effectLst/>
        </c:spPr>
      </c:pivotFmt>
      <c:pivotFmt>
        <c:idx val="2041"/>
        <c:spPr>
          <a:solidFill>
            <a:schemeClr val="accent1"/>
          </a:solidFill>
          <a:ln w="19050">
            <a:solidFill>
              <a:schemeClr val="lt1"/>
            </a:solidFill>
          </a:ln>
          <a:effectLst/>
        </c:spPr>
      </c:pivotFmt>
      <c:pivotFmt>
        <c:idx val="2042"/>
        <c:spPr>
          <a:solidFill>
            <a:schemeClr val="accent1"/>
          </a:solidFill>
          <a:ln w="19050">
            <a:solidFill>
              <a:schemeClr val="lt1"/>
            </a:solidFill>
          </a:ln>
          <a:effectLst/>
        </c:spPr>
      </c:pivotFmt>
      <c:pivotFmt>
        <c:idx val="2043"/>
        <c:spPr>
          <a:solidFill>
            <a:schemeClr val="accent1"/>
          </a:solidFill>
          <a:ln w="19050">
            <a:solidFill>
              <a:schemeClr val="lt1"/>
            </a:solidFill>
          </a:ln>
          <a:effectLst/>
        </c:spPr>
      </c:pivotFmt>
      <c:pivotFmt>
        <c:idx val="2044"/>
        <c:spPr>
          <a:solidFill>
            <a:schemeClr val="accent1"/>
          </a:solidFill>
          <a:ln w="19050">
            <a:solidFill>
              <a:schemeClr val="lt1"/>
            </a:solidFill>
          </a:ln>
          <a:effectLst/>
        </c:spPr>
      </c:pivotFmt>
      <c:pivotFmt>
        <c:idx val="2045"/>
        <c:spPr>
          <a:solidFill>
            <a:schemeClr val="accent1"/>
          </a:solidFill>
          <a:ln w="19050">
            <a:solidFill>
              <a:schemeClr val="lt1"/>
            </a:solidFill>
          </a:ln>
          <a:effectLst/>
        </c:spPr>
      </c:pivotFmt>
      <c:pivotFmt>
        <c:idx val="2046"/>
        <c:spPr>
          <a:solidFill>
            <a:schemeClr val="accent1"/>
          </a:solidFill>
          <a:ln w="19050">
            <a:solidFill>
              <a:schemeClr val="lt1"/>
            </a:solidFill>
          </a:ln>
          <a:effectLst/>
        </c:spPr>
      </c:pivotFmt>
      <c:pivotFmt>
        <c:idx val="2047"/>
        <c:spPr>
          <a:solidFill>
            <a:schemeClr val="accent1"/>
          </a:solidFill>
          <a:ln w="19050">
            <a:solidFill>
              <a:schemeClr val="lt1"/>
            </a:solidFill>
          </a:ln>
          <a:effectLst/>
        </c:spPr>
      </c:pivotFmt>
      <c:pivotFmt>
        <c:idx val="2048"/>
        <c:spPr>
          <a:solidFill>
            <a:schemeClr val="accent1"/>
          </a:solidFill>
          <a:ln w="19050">
            <a:solidFill>
              <a:schemeClr val="lt1"/>
            </a:solidFill>
          </a:ln>
          <a:effectLst/>
        </c:spPr>
      </c:pivotFmt>
      <c:pivotFmt>
        <c:idx val="2049"/>
        <c:spPr>
          <a:solidFill>
            <a:schemeClr val="accent1"/>
          </a:solidFill>
          <a:ln w="19050">
            <a:solidFill>
              <a:schemeClr val="lt1"/>
            </a:solidFill>
          </a:ln>
          <a:effectLst/>
        </c:spPr>
      </c:pivotFmt>
      <c:pivotFmt>
        <c:idx val="2050"/>
        <c:spPr>
          <a:solidFill>
            <a:schemeClr val="accent1"/>
          </a:solidFill>
          <a:ln w="19050">
            <a:solidFill>
              <a:schemeClr val="lt1"/>
            </a:solidFill>
          </a:ln>
          <a:effectLst/>
        </c:spPr>
      </c:pivotFmt>
      <c:pivotFmt>
        <c:idx val="2051"/>
        <c:spPr>
          <a:solidFill>
            <a:schemeClr val="accent1"/>
          </a:solidFill>
          <a:ln w="19050">
            <a:solidFill>
              <a:schemeClr val="lt1"/>
            </a:solidFill>
          </a:ln>
          <a:effectLst/>
        </c:spPr>
      </c:pivotFmt>
      <c:pivotFmt>
        <c:idx val="2052"/>
        <c:spPr>
          <a:solidFill>
            <a:schemeClr val="accent1"/>
          </a:solidFill>
          <a:ln w="19050">
            <a:solidFill>
              <a:schemeClr val="lt1"/>
            </a:solidFill>
          </a:ln>
          <a:effectLst/>
        </c:spPr>
      </c:pivotFmt>
      <c:pivotFmt>
        <c:idx val="2053"/>
        <c:spPr>
          <a:solidFill>
            <a:schemeClr val="accent1"/>
          </a:solidFill>
          <a:ln w="19050">
            <a:solidFill>
              <a:schemeClr val="lt1"/>
            </a:solidFill>
          </a:ln>
          <a:effectLst/>
        </c:spPr>
      </c:pivotFmt>
      <c:pivotFmt>
        <c:idx val="2054"/>
        <c:spPr>
          <a:solidFill>
            <a:schemeClr val="accent1"/>
          </a:solidFill>
          <a:ln w="19050">
            <a:solidFill>
              <a:schemeClr val="lt1"/>
            </a:solidFill>
          </a:ln>
          <a:effectLst/>
        </c:spPr>
      </c:pivotFmt>
      <c:pivotFmt>
        <c:idx val="2055"/>
        <c:spPr>
          <a:solidFill>
            <a:schemeClr val="accent1"/>
          </a:solidFill>
          <a:ln w="19050">
            <a:solidFill>
              <a:schemeClr val="lt1"/>
            </a:solidFill>
          </a:ln>
          <a:effectLst/>
        </c:spPr>
      </c:pivotFmt>
      <c:pivotFmt>
        <c:idx val="2056"/>
        <c:spPr>
          <a:solidFill>
            <a:schemeClr val="accent1"/>
          </a:solidFill>
          <a:ln w="19050">
            <a:solidFill>
              <a:schemeClr val="lt1"/>
            </a:solidFill>
          </a:ln>
          <a:effectLst/>
        </c:spPr>
      </c:pivotFmt>
    </c:pivotFmts>
    <c:plotArea>
      <c:layout/>
      <c:pieChart>
        <c:varyColors val="1"/>
        <c:ser>
          <c:idx val="0"/>
          <c:order val="0"/>
          <c:tx>
            <c:strRef>
              <c:f>P!$C$46:$C$47</c:f>
              <c:strCache>
                <c:ptCount val="1"/>
                <c:pt idx="0">
                  <c:v>09-01-22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A17-4F8A-85C3-B3EF688A0E3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A17-4F8A-85C3-B3EF688A0E3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A17-4F8A-85C3-B3EF688A0E3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A17-4F8A-85C3-B3EF688A0E3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A17-4F8A-85C3-B3EF688A0E3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A17-4F8A-85C3-B3EF688A0E3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A17-4F8A-85C3-B3EF688A0E3B}"/>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A17-4F8A-85C3-B3EF688A0E3B}"/>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A17-4F8A-85C3-B3EF688A0E3B}"/>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A17-4F8A-85C3-B3EF688A0E3B}"/>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EDBC-400A-8A68-55C45A98B834}"/>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EDBC-400A-8A68-55C45A98B834}"/>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EDBC-400A-8A68-55C45A98B834}"/>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EDBC-400A-8A68-55C45A98B834}"/>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EDBC-400A-8A68-55C45A98B834}"/>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EDBC-400A-8A68-55C45A98B834}"/>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EDBC-400A-8A68-55C45A98B834}"/>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EDBC-400A-8A68-55C45A98B834}"/>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EDBC-400A-8A68-55C45A98B834}"/>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7-EDBC-400A-8A68-55C45A98B834}"/>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29-EDBC-400A-8A68-55C45A98B834}"/>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2B-EDBC-400A-8A68-55C45A98B834}"/>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2D-EDBC-400A-8A68-55C45A98B834}"/>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2F-EDBC-400A-8A68-55C45A98B834}"/>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31-EDBC-400A-8A68-55C45A98B83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P!$B$48:$B$72</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P!$C$48:$C$72</c:f>
              <c:numCache>
                <c:formatCode>0.00</c:formatCode>
                <c:ptCount val="25"/>
                <c:pt idx="3">
                  <c:v>0.33333333333333331</c:v>
                </c:pt>
                <c:pt idx="4">
                  <c:v>1.75</c:v>
                </c:pt>
                <c:pt idx="8">
                  <c:v>1.75</c:v>
                </c:pt>
                <c:pt idx="9">
                  <c:v>2.8333333333333335</c:v>
                </c:pt>
                <c:pt idx="10">
                  <c:v>4.916666666666667</c:v>
                </c:pt>
                <c:pt idx="11">
                  <c:v>1.6666666666666665</c:v>
                </c:pt>
              </c:numCache>
            </c:numRef>
          </c:val>
          <c:extLst>
            <c:ext xmlns:c16="http://schemas.microsoft.com/office/drawing/2014/chart" uri="{C3380CC4-5D6E-409C-BE32-E72D297353CC}">
              <c16:uniqueId val="{000004A0-A59B-4A59-B1FA-1682794D27E4}"/>
            </c:ext>
          </c:extLst>
        </c:ser>
        <c:ser>
          <c:idx val="1"/>
          <c:order val="1"/>
          <c:tx>
            <c:strRef>
              <c:f>P!$D$46:$D$47</c:f>
              <c:strCache>
                <c:ptCount val="1"/>
                <c:pt idx="0">
                  <c:v>10-01-22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5-7A17-4F8A-85C3-B3EF688A0E3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17-7A17-4F8A-85C3-B3EF688A0E3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9-7A17-4F8A-85C3-B3EF688A0E3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B-7A17-4F8A-85C3-B3EF688A0E3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1D-7A17-4F8A-85C3-B3EF688A0E3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1F-7A17-4F8A-85C3-B3EF688A0E3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21-7A17-4F8A-85C3-B3EF688A0E3B}"/>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23-7A17-4F8A-85C3-B3EF688A0E3B}"/>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25-7A17-4F8A-85C3-B3EF688A0E3B}"/>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27-7A17-4F8A-85C3-B3EF688A0E3B}"/>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47-EDBC-400A-8A68-55C45A98B834}"/>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49-EDBC-400A-8A68-55C45A98B834}"/>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4B-EDBC-400A-8A68-55C45A98B834}"/>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4D-EDBC-400A-8A68-55C45A98B834}"/>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4F-EDBC-400A-8A68-55C45A98B834}"/>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51-EDBC-400A-8A68-55C45A98B834}"/>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53-EDBC-400A-8A68-55C45A98B834}"/>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55-EDBC-400A-8A68-55C45A98B834}"/>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57-EDBC-400A-8A68-55C45A98B834}"/>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59-EDBC-400A-8A68-55C45A98B834}"/>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5B-EDBC-400A-8A68-55C45A98B834}"/>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5D-EDBC-400A-8A68-55C45A98B834}"/>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5F-EDBC-400A-8A68-55C45A98B834}"/>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61-EDBC-400A-8A68-55C45A98B834}"/>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63-EDBC-400A-8A68-55C45A98B83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P!$B$48:$B$72</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P!$D$48:$D$72</c:f>
              <c:numCache>
                <c:formatCode>0.00</c:formatCode>
                <c:ptCount val="25"/>
                <c:pt idx="2">
                  <c:v>0.75</c:v>
                </c:pt>
                <c:pt idx="5">
                  <c:v>0.75</c:v>
                </c:pt>
                <c:pt idx="8">
                  <c:v>1.8333333333333333</c:v>
                </c:pt>
                <c:pt idx="9">
                  <c:v>5.5</c:v>
                </c:pt>
                <c:pt idx="10">
                  <c:v>7</c:v>
                </c:pt>
                <c:pt idx="11">
                  <c:v>0.5</c:v>
                </c:pt>
                <c:pt idx="12">
                  <c:v>0.5</c:v>
                </c:pt>
                <c:pt idx="13">
                  <c:v>0.58333333333333337</c:v>
                </c:pt>
              </c:numCache>
            </c:numRef>
          </c:val>
          <c:extLst>
            <c:ext xmlns:c16="http://schemas.microsoft.com/office/drawing/2014/chart" uri="{C3380CC4-5D6E-409C-BE32-E72D297353CC}">
              <c16:uniqueId val="{000004A1-A59B-4A59-B1FA-1682794D27E4}"/>
            </c:ext>
          </c:extLst>
        </c:ser>
        <c:ser>
          <c:idx val="2"/>
          <c:order val="2"/>
          <c:tx>
            <c:strRef>
              <c:f>P!$E$46:$E$47</c:f>
              <c:strCache>
                <c:ptCount val="1"/>
                <c:pt idx="0">
                  <c:v>11-01-22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65-EDBC-400A-8A68-55C45A98B83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67-EDBC-400A-8A68-55C45A98B83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69-EDBC-400A-8A68-55C45A98B83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6B-EDBC-400A-8A68-55C45A98B83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6D-EDBC-400A-8A68-55C45A98B83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6F-EDBC-400A-8A68-55C45A98B83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71-EDBC-400A-8A68-55C45A98B83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73-EDBC-400A-8A68-55C45A98B83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75-EDBC-400A-8A68-55C45A98B83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77-EDBC-400A-8A68-55C45A98B834}"/>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79-EDBC-400A-8A68-55C45A98B834}"/>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7B-EDBC-400A-8A68-55C45A98B834}"/>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7D-EDBC-400A-8A68-55C45A98B834}"/>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7F-EDBC-400A-8A68-55C45A98B834}"/>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81-EDBC-400A-8A68-55C45A98B834}"/>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83-EDBC-400A-8A68-55C45A98B834}"/>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85-EDBC-400A-8A68-55C45A98B834}"/>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87-EDBC-400A-8A68-55C45A98B834}"/>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89-EDBC-400A-8A68-55C45A98B834}"/>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8B-EDBC-400A-8A68-55C45A98B834}"/>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8D-EDBC-400A-8A68-55C45A98B834}"/>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8F-EDBC-400A-8A68-55C45A98B834}"/>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91-EDBC-400A-8A68-55C45A98B834}"/>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93-EDBC-400A-8A68-55C45A98B834}"/>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95-EDBC-400A-8A68-55C45A98B83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P!$B$48:$B$72</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P!$E$48:$E$72</c:f>
              <c:numCache>
                <c:formatCode>0.00</c:formatCode>
                <c:ptCount val="25"/>
                <c:pt idx="0">
                  <c:v>0.33333333333333331</c:v>
                </c:pt>
                <c:pt idx="2">
                  <c:v>0.66666666666666663</c:v>
                </c:pt>
                <c:pt idx="5">
                  <c:v>1</c:v>
                </c:pt>
                <c:pt idx="8">
                  <c:v>2.1666666666666665</c:v>
                </c:pt>
                <c:pt idx="9">
                  <c:v>3.3333333333333335</c:v>
                </c:pt>
                <c:pt idx="10">
                  <c:v>6.416666666666667</c:v>
                </c:pt>
                <c:pt idx="11">
                  <c:v>0.58333333333333337</c:v>
                </c:pt>
                <c:pt idx="12">
                  <c:v>0.5</c:v>
                </c:pt>
                <c:pt idx="13">
                  <c:v>0.41666666666666669</c:v>
                </c:pt>
                <c:pt idx="14">
                  <c:v>0.66666666666666663</c:v>
                </c:pt>
                <c:pt idx="15">
                  <c:v>0.66666666666666663</c:v>
                </c:pt>
              </c:numCache>
            </c:numRef>
          </c:val>
          <c:extLst>
            <c:ext xmlns:c16="http://schemas.microsoft.com/office/drawing/2014/chart" uri="{C3380CC4-5D6E-409C-BE32-E72D297353CC}">
              <c16:uniqueId val="{00000029-7A17-4F8A-85C3-B3EF688A0E3B}"/>
            </c:ext>
          </c:extLst>
        </c:ser>
        <c:ser>
          <c:idx val="3"/>
          <c:order val="3"/>
          <c:tx>
            <c:strRef>
              <c:f>P!$F$46:$F$47</c:f>
              <c:strCache>
                <c:ptCount val="1"/>
                <c:pt idx="0">
                  <c:v>09-02-22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97-EDBC-400A-8A68-55C45A98B83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99-EDBC-400A-8A68-55C45A98B83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9B-EDBC-400A-8A68-55C45A98B83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9D-EDBC-400A-8A68-55C45A98B83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9F-EDBC-400A-8A68-55C45A98B83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A1-EDBC-400A-8A68-55C45A98B83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A3-EDBC-400A-8A68-55C45A98B83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A5-EDBC-400A-8A68-55C45A98B83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A7-EDBC-400A-8A68-55C45A98B83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A9-EDBC-400A-8A68-55C45A98B834}"/>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AB-EDBC-400A-8A68-55C45A98B834}"/>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AD-EDBC-400A-8A68-55C45A98B834}"/>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AF-EDBC-400A-8A68-55C45A98B834}"/>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B1-EDBC-400A-8A68-55C45A98B834}"/>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B3-EDBC-400A-8A68-55C45A98B834}"/>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B5-EDBC-400A-8A68-55C45A98B834}"/>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B7-EDBC-400A-8A68-55C45A98B834}"/>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B9-EDBC-400A-8A68-55C45A98B834}"/>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BB-EDBC-400A-8A68-55C45A98B834}"/>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BD-EDBC-400A-8A68-55C45A98B834}"/>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BF-EDBC-400A-8A68-55C45A98B834}"/>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C1-EDBC-400A-8A68-55C45A98B834}"/>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C3-EDBC-400A-8A68-55C45A98B834}"/>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C5-EDBC-400A-8A68-55C45A98B834}"/>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C7-EDBC-400A-8A68-55C45A98B83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P!$B$48:$B$72</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P!$F$48:$F$72</c:f>
              <c:numCache>
                <c:formatCode>0.00</c:formatCode>
                <c:ptCount val="25"/>
                <c:pt idx="3">
                  <c:v>2.3333333333333335</c:v>
                </c:pt>
                <c:pt idx="4">
                  <c:v>3</c:v>
                </c:pt>
                <c:pt idx="5">
                  <c:v>0.66666666666666663</c:v>
                </c:pt>
                <c:pt idx="8">
                  <c:v>1.75</c:v>
                </c:pt>
                <c:pt idx="9">
                  <c:v>3.25</c:v>
                </c:pt>
                <c:pt idx="10">
                  <c:v>3.833333333333333</c:v>
                </c:pt>
                <c:pt idx="11">
                  <c:v>1.9166666666666665</c:v>
                </c:pt>
              </c:numCache>
            </c:numRef>
          </c:val>
          <c:extLst>
            <c:ext xmlns:c16="http://schemas.microsoft.com/office/drawing/2014/chart" uri="{C3380CC4-5D6E-409C-BE32-E72D297353CC}">
              <c16:uniqueId val="{0000002A-7A17-4F8A-85C3-B3EF688A0E3B}"/>
            </c:ext>
          </c:extLst>
        </c:ser>
        <c:ser>
          <c:idx val="4"/>
          <c:order val="4"/>
          <c:tx>
            <c:strRef>
              <c:f>P!$G$46:$G$47</c:f>
              <c:strCache>
                <c:ptCount val="1"/>
                <c:pt idx="0">
                  <c:v>11-02-22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C9-EDBC-400A-8A68-55C45A98B83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CB-EDBC-400A-8A68-55C45A98B83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CD-EDBC-400A-8A68-55C45A98B83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CF-EDBC-400A-8A68-55C45A98B83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D1-EDBC-400A-8A68-55C45A98B83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D3-EDBC-400A-8A68-55C45A98B83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D5-EDBC-400A-8A68-55C45A98B83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D7-EDBC-400A-8A68-55C45A98B83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D9-EDBC-400A-8A68-55C45A98B83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DB-EDBC-400A-8A68-55C45A98B834}"/>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DD-EDBC-400A-8A68-55C45A98B834}"/>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DF-EDBC-400A-8A68-55C45A98B834}"/>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E1-EDBC-400A-8A68-55C45A98B834}"/>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E3-EDBC-400A-8A68-55C45A98B834}"/>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E5-EDBC-400A-8A68-55C45A98B834}"/>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E7-EDBC-400A-8A68-55C45A98B834}"/>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E9-EDBC-400A-8A68-55C45A98B834}"/>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EB-EDBC-400A-8A68-55C45A98B834}"/>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ED-EDBC-400A-8A68-55C45A98B834}"/>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EF-EDBC-400A-8A68-55C45A98B834}"/>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F1-EDBC-400A-8A68-55C45A98B834}"/>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F3-EDBC-400A-8A68-55C45A98B834}"/>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F5-EDBC-400A-8A68-55C45A98B834}"/>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F7-EDBC-400A-8A68-55C45A98B834}"/>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F9-EDBC-400A-8A68-55C45A98B83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P!$B$48:$B$72</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P!$G$48:$G$72</c:f>
              <c:numCache>
                <c:formatCode>0.00</c:formatCode>
                <c:ptCount val="25"/>
                <c:pt idx="0">
                  <c:v>0.66666666666666663</c:v>
                </c:pt>
                <c:pt idx="2">
                  <c:v>3</c:v>
                </c:pt>
                <c:pt idx="5">
                  <c:v>2.166666666666667</c:v>
                </c:pt>
                <c:pt idx="8">
                  <c:v>1.5</c:v>
                </c:pt>
                <c:pt idx="9">
                  <c:v>3.3333333333333335</c:v>
                </c:pt>
                <c:pt idx="10">
                  <c:v>13.416666666666666</c:v>
                </c:pt>
                <c:pt idx="12">
                  <c:v>0.5</c:v>
                </c:pt>
                <c:pt idx="13">
                  <c:v>0.83333333333333337</c:v>
                </c:pt>
              </c:numCache>
            </c:numRef>
          </c:val>
          <c:extLst>
            <c:ext xmlns:c16="http://schemas.microsoft.com/office/drawing/2014/chart" uri="{C3380CC4-5D6E-409C-BE32-E72D297353CC}">
              <c16:uniqueId val="{0000002B-7A17-4F8A-85C3-B3EF688A0E3B}"/>
            </c:ext>
          </c:extLst>
        </c:ser>
        <c:ser>
          <c:idx val="5"/>
          <c:order val="5"/>
          <c:tx>
            <c:strRef>
              <c:f>P!$H$46:$H$47</c:f>
              <c:strCache>
                <c:ptCount val="1"/>
                <c:pt idx="0">
                  <c:v>09-03-22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FB-EDBC-400A-8A68-55C45A98B83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FD-EDBC-400A-8A68-55C45A98B83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FF-EDBC-400A-8A68-55C45A98B83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101-EDBC-400A-8A68-55C45A98B83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103-EDBC-400A-8A68-55C45A98B83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105-EDBC-400A-8A68-55C45A98B83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07-EDBC-400A-8A68-55C45A98B83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109-EDBC-400A-8A68-55C45A98B83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0B-EDBC-400A-8A68-55C45A98B83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10D-EDBC-400A-8A68-55C45A98B834}"/>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0F-EDBC-400A-8A68-55C45A98B834}"/>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111-EDBC-400A-8A68-55C45A98B834}"/>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13-EDBC-400A-8A68-55C45A98B834}"/>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115-EDBC-400A-8A68-55C45A98B834}"/>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17-EDBC-400A-8A68-55C45A98B834}"/>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119-EDBC-400A-8A68-55C45A98B834}"/>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1B-EDBC-400A-8A68-55C45A98B834}"/>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11D-EDBC-400A-8A68-55C45A98B834}"/>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1F-EDBC-400A-8A68-55C45A98B834}"/>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121-EDBC-400A-8A68-55C45A98B834}"/>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23-EDBC-400A-8A68-55C45A98B834}"/>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25-EDBC-400A-8A68-55C45A98B834}"/>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27-EDBC-400A-8A68-55C45A98B834}"/>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29-EDBC-400A-8A68-55C45A98B834}"/>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2B-EDBC-400A-8A68-55C45A98B83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P!$B$48:$B$72</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P!$H$48:$H$72</c:f>
              <c:numCache>
                <c:formatCode>0.00</c:formatCode>
                <c:ptCount val="25"/>
                <c:pt idx="3">
                  <c:v>0.33333333333333331</c:v>
                </c:pt>
                <c:pt idx="4">
                  <c:v>1.0833333333333333</c:v>
                </c:pt>
                <c:pt idx="5">
                  <c:v>0.66666666666666663</c:v>
                </c:pt>
                <c:pt idx="8">
                  <c:v>3.5833333333333335</c:v>
                </c:pt>
                <c:pt idx="9">
                  <c:v>3.0833333333333335</c:v>
                </c:pt>
                <c:pt idx="10">
                  <c:v>2.583333333333333</c:v>
                </c:pt>
                <c:pt idx="11">
                  <c:v>4</c:v>
                </c:pt>
                <c:pt idx="14">
                  <c:v>0.33333333333333331</c:v>
                </c:pt>
              </c:numCache>
            </c:numRef>
          </c:val>
          <c:extLst>
            <c:ext xmlns:c16="http://schemas.microsoft.com/office/drawing/2014/chart" uri="{C3380CC4-5D6E-409C-BE32-E72D297353CC}">
              <c16:uniqueId val="{0000002C-7A17-4F8A-85C3-B3EF688A0E3B}"/>
            </c:ext>
          </c:extLst>
        </c:ser>
        <c:ser>
          <c:idx val="6"/>
          <c:order val="6"/>
          <c:tx>
            <c:strRef>
              <c:f>P!$I$46:$I$47</c:f>
              <c:strCache>
                <c:ptCount val="1"/>
                <c:pt idx="0">
                  <c:v>10-03-22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12D-EDBC-400A-8A68-55C45A98B83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12F-EDBC-400A-8A68-55C45A98B83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131-EDBC-400A-8A68-55C45A98B83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133-EDBC-400A-8A68-55C45A98B83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135-EDBC-400A-8A68-55C45A98B83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137-EDBC-400A-8A68-55C45A98B83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39-EDBC-400A-8A68-55C45A98B83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13B-EDBC-400A-8A68-55C45A98B83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3D-EDBC-400A-8A68-55C45A98B83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13F-EDBC-400A-8A68-55C45A98B834}"/>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41-EDBC-400A-8A68-55C45A98B834}"/>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143-EDBC-400A-8A68-55C45A98B834}"/>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45-EDBC-400A-8A68-55C45A98B834}"/>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147-EDBC-400A-8A68-55C45A98B834}"/>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49-EDBC-400A-8A68-55C45A98B834}"/>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14B-EDBC-400A-8A68-55C45A98B834}"/>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4D-EDBC-400A-8A68-55C45A98B834}"/>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14F-EDBC-400A-8A68-55C45A98B834}"/>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51-EDBC-400A-8A68-55C45A98B834}"/>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153-EDBC-400A-8A68-55C45A98B834}"/>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55-EDBC-400A-8A68-55C45A98B834}"/>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57-EDBC-400A-8A68-55C45A98B834}"/>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59-EDBC-400A-8A68-55C45A98B834}"/>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5B-EDBC-400A-8A68-55C45A98B834}"/>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5D-EDBC-400A-8A68-55C45A98B83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P!$B$48:$B$72</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P!$I$48:$I$72</c:f>
              <c:numCache>
                <c:formatCode>0.00</c:formatCode>
                <c:ptCount val="25"/>
                <c:pt idx="2">
                  <c:v>0.33333333333333331</c:v>
                </c:pt>
                <c:pt idx="5">
                  <c:v>0.66666666666666663</c:v>
                </c:pt>
                <c:pt idx="8">
                  <c:v>1.8333333333333333</c:v>
                </c:pt>
                <c:pt idx="9">
                  <c:v>5.666666666666667</c:v>
                </c:pt>
              </c:numCache>
            </c:numRef>
          </c:val>
          <c:extLst>
            <c:ext xmlns:c16="http://schemas.microsoft.com/office/drawing/2014/chart" uri="{C3380CC4-5D6E-409C-BE32-E72D297353CC}">
              <c16:uniqueId val="{0000002D-7A17-4F8A-85C3-B3EF688A0E3B}"/>
            </c:ext>
          </c:extLst>
        </c:ser>
        <c:ser>
          <c:idx val="7"/>
          <c:order val="7"/>
          <c:tx>
            <c:strRef>
              <c:f>P!$J$46:$J$47</c:f>
              <c:strCache>
                <c:ptCount val="1"/>
                <c:pt idx="0">
                  <c:v>11-03-22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15F-EDBC-400A-8A68-55C45A98B83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161-EDBC-400A-8A68-55C45A98B83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163-EDBC-400A-8A68-55C45A98B83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165-EDBC-400A-8A68-55C45A98B83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167-EDBC-400A-8A68-55C45A98B83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169-EDBC-400A-8A68-55C45A98B83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6B-EDBC-400A-8A68-55C45A98B83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16D-EDBC-400A-8A68-55C45A98B83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6F-EDBC-400A-8A68-55C45A98B83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171-EDBC-400A-8A68-55C45A98B834}"/>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73-EDBC-400A-8A68-55C45A98B834}"/>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175-EDBC-400A-8A68-55C45A98B834}"/>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77-EDBC-400A-8A68-55C45A98B834}"/>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179-EDBC-400A-8A68-55C45A98B834}"/>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7B-EDBC-400A-8A68-55C45A98B834}"/>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17D-EDBC-400A-8A68-55C45A98B834}"/>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7F-EDBC-400A-8A68-55C45A98B834}"/>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181-EDBC-400A-8A68-55C45A98B834}"/>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83-EDBC-400A-8A68-55C45A98B834}"/>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185-EDBC-400A-8A68-55C45A98B834}"/>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87-EDBC-400A-8A68-55C45A98B834}"/>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89-EDBC-400A-8A68-55C45A98B834}"/>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8B-EDBC-400A-8A68-55C45A98B834}"/>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8D-EDBC-400A-8A68-55C45A98B834}"/>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8F-EDBC-400A-8A68-55C45A98B83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P!$B$48:$B$72</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P!$J$48:$J$72</c:f>
              <c:numCache>
                <c:formatCode>0.00</c:formatCode>
                <c:ptCount val="25"/>
                <c:pt idx="0">
                  <c:v>0.33333333333333331</c:v>
                </c:pt>
                <c:pt idx="2">
                  <c:v>1.3333333333333333</c:v>
                </c:pt>
                <c:pt idx="5">
                  <c:v>1</c:v>
                </c:pt>
                <c:pt idx="8">
                  <c:v>3.8333333333333335</c:v>
                </c:pt>
                <c:pt idx="9">
                  <c:v>2.5</c:v>
                </c:pt>
                <c:pt idx="10">
                  <c:v>7.333333333333333</c:v>
                </c:pt>
                <c:pt idx="11">
                  <c:v>0.33333333333333331</c:v>
                </c:pt>
                <c:pt idx="13">
                  <c:v>0.41666666666666669</c:v>
                </c:pt>
              </c:numCache>
            </c:numRef>
          </c:val>
          <c:extLst>
            <c:ext xmlns:c16="http://schemas.microsoft.com/office/drawing/2014/chart" uri="{C3380CC4-5D6E-409C-BE32-E72D297353CC}">
              <c16:uniqueId val="{0000002E-7A17-4F8A-85C3-B3EF688A0E3B}"/>
            </c:ext>
          </c:extLst>
        </c:ser>
        <c:ser>
          <c:idx val="8"/>
          <c:order val="8"/>
          <c:tx>
            <c:strRef>
              <c:f>P!$K$46:$K$47</c:f>
              <c:strCache>
                <c:ptCount val="1"/>
                <c:pt idx="0">
                  <c:v>10-04-22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191-EDBC-400A-8A68-55C45A98B83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193-EDBC-400A-8A68-55C45A98B83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195-EDBC-400A-8A68-55C45A98B83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197-EDBC-400A-8A68-55C45A98B83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199-EDBC-400A-8A68-55C45A98B83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19B-EDBC-400A-8A68-55C45A98B83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9D-EDBC-400A-8A68-55C45A98B83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19F-EDBC-400A-8A68-55C45A98B83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A1-EDBC-400A-8A68-55C45A98B83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1A3-EDBC-400A-8A68-55C45A98B834}"/>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A5-EDBC-400A-8A68-55C45A98B834}"/>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1A7-EDBC-400A-8A68-55C45A98B834}"/>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A9-EDBC-400A-8A68-55C45A98B834}"/>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1AB-EDBC-400A-8A68-55C45A98B834}"/>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AD-EDBC-400A-8A68-55C45A98B834}"/>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1AF-EDBC-400A-8A68-55C45A98B834}"/>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B1-EDBC-400A-8A68-55C45A98B834}"/>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1B3-EDBC-400A-8A68-55C45A98B834}"/>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B5-EDBC-400A-8A68-55C45A98B834}"/>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1B7-EDBC-400A-8A68-55C45A98B834}"/>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B9-EDBC-400A-8A68-55C45A98B834}"/>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BB-EDBC-400A-8A68-55C45A98B834}"/>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BD-EDBC-400A-8A68-55C45A98B834}"/>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BF-EDBC-400A-8A68-55C45A98B834}"/>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C1-EDBC-400A-8A68-55C45A98B83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P!$B$48:$B$72</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P!$K$48:$K$72</c:f>
              <c:numCache>
                <c:formatCode>0.00</c:formatCode>
                <c:ptCount val="25"/>
                <c:pt idx="2">
                  <c:v>0.75</c:v>
                </c:pt>
                <c:pt idx="5">
                  <c:v>0.83333333333333337</c:v>
                </c:pt>
                <c:pt idx="8">
                  <c:v>2</c:v>
                </c:pt>
                <c:pt idx="9">
                  <c:v>5.1666666666666661</c:v>
                </c:pt>
                <c:pt idx="10">
                  <c:v>5.5833333333333339</c:v>
                </c:pt>
                <c:pt idx="11">
                  <c:v>1.75</c:v>
                </c:pt>
                <c:pt idx="12">
                  <c:v>0.83333333333333337</c:v>
                </c:pt>
                <c:pt idx="13">
                  <c:v>0.75</c:v>
                </c:pt>
              </c:numCache>
            </c:numRef>
          </c:val>
          <c:extLst>
            <c:ext xmlns:c16="http://schemas.microsoft.com/office/drawing/2014/chart" uri="{C3380CC4-5D6E-409C-BE32-E72D297353CC}">
              <c16:uniqueId val="{0000002F-7A17-4F8A-85C3-B3EF688A0E3B}"/>
            </c:ext>
          </c:extLst>
        </c:ser>
        <c:ser>
          <c:idx val="9"/>
          <c:order val="9"/>
          <c:tx>
            <c:strRef>
              <c:f>P!$L$46:$L$47</c:f>
              <c:strCache>
                <c:ptCount val="1"/>
                <c:pt idx="0">
                  <c:v>11-04-22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1C3-EDBC-400A-8A68-55C45A98B83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1C5-EDBC-400A-8A68-55C45A98B83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1C7-EDBC-400A-8A68-55C45A98B83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1C9-EDBC-400A-8A68-55C45A98B83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1CB-EDBC-400A-8A68-55C45A98B83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1CD-EDBC-400A-8A68-55C45A98B83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CF-EDBC-400A-8A68-55C45A98B83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1D1-EDBC-400A-8A68-55C45A98B83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D3-EDBC-400A-8A68-55C45A98B83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1D5-EDBC-400A-8A68-55C45A98B834}"/>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D7-EDBC-400A-8A68-55C45A98B834}"/>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1D9-EDBC-400A-8A68-55C45A98B834}"/>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DB-EDBC-400A-8A68-55C45A98B834}"/>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1DD-EDBC-400A-8A68-55C45A98B834}"/>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DF-EDBC-400A-8A68-55C45A98B834}"/>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1E1-EDBC-400A-8A68-55C45A98B834}"/>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E3-EDBC-400A-8A68-55C45A98B834}"/>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1E5-EDBC-400A-8A68-55C45A98B834}"/>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E7-EDBC-400A-8A68-55C45A98B834}"/>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1E9-EDBC-400A-8A68-55C45A98B834}"/>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EB-EDBC-400A-8A68-55C45A98B834}"/>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ED-EDBC-400A-8A68-55C45A98B834}"/>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EF-EDBC-400A-8A68-55C45A98B834}"/>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F1-EDBC-400A-8A68-55C45A98B834}"/>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F3-EDBC-400A-8A68-55C45A98B83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P!$B$48:$B$72</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P!$L$48:$L$72</c:f>
              <c:numCache>
                <c:formatCode>0.00</c:formatCode>
                <c:ptCount val="25"/>
                <c:pt idx="0">
                  <c:v>0.33333333333333331</c:v>
                </c:pt>
                <c:pt idx="2">
                  <c:v>0.66666666666666663</c:v>
                </c:pt>
                <c:pt idx="5">
                  <c:v>1</c:v>
                </c:pt>
                <c:pt idx="8">
                  <c:v>4.333333333333333</c:v>
                </c:pt>
                <c:pt idx="9">
                  <c:v>2</c:v>
                </c:pt>
                <c:pt idx="10">
                  <c:v>5.7499999999999991</c:v>
                </c:pt>
                <c:pt idx="11">
                  <c:v>1.5</c:v>
                </c:pt>
                <c:pt idx="13">
                  <c:v>0.41666666666666669</c:v>
                </c:pt>
                <c:pt idx="15">
                  <c:v>1</c:v>
                </c:pt>
              </c:numCache>
            </c:numRef>
          </c:val>
          <c:extLst>
            <c:ext xmlns:c16="http://schemas.microsoft.com/office/drawing/2014/chart" uri="{C3380CC4-5D6E-409C-BE32-E72D297353CC}">
              <c16:uniqueId val="{00000030-7A17-4F8A-85C3-B3EF688A0E3B}"/>
            </c:ext>
          </c:extLst>
        </c:ser>
        <c:ser>
          <c:idx val="10"/>
          <c:order val="10"/>
          <c:tx>
            <c:strRef>
              <c:f>P!$M$46:$M$47</c:f>
              <c:strCache>
                <c:ptCount val="1"/>
                <c:pt idx="0">
                  <c:v>09-05-22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1F5-EDBC-400A-8A68-55C45A98B83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1F7-EDBC-400A-8A68-55C45A98B83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1F9-EDBC-400A-8A68-55C45A98B83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1FB-EDBC-400A-8A68-55C45A98B83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1FD-EDBC-400A-8A68-55C45A98B83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1FF-EDBC-400A-8A68-55C45A98B83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201-EDBC-400A-8A68-55C45A98B83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203-EDBC-400A-8A68-55C45A98B83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205-EDBC-400A-8A68-55C45A98B83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207-EDBC-400A-8A68-55C45A98B834}"/>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209-EDBC-400A-8A68-55C45A98B834}"/>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20B-EDBC-400A-8A68-55C45A98B834}"/>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20D-EDBC-400A-8A68-55C45A98B834}"/>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20F-EDBC-400A-8A68-55C45A98B834}"/>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211-EDBC-400A-8A68-55C45A98B834}"/>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213-EDBC-400A-8A68-55C45A98B834}"/>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215-EDBC-400A-8A68-55C45A98B834}"/>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217-EDBC-400A-8A68-55C45A98B834}"/>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219-EDBC-400A-8A68-55C45A98B834}"/>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21B-EDBC-400A-8A68-55C45A98B834}"/>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21D-EDBC-400A-8A68-55C45A98B834}"/>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21F-EDBC-400A-8A68-55C45A98B834}"/>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221-EDBC-400A-8A68-55C45A98B834}"/>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223-EDBC-400A-8A68-55C45A98B834}"/>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225-EDBC-400A-8A68-55C45A98B83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P!$B$48:$B$72</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P!$M$48:$M$72</c:f>
              <c:numCache>
                <c:formatCode>0.00</c:formatCode>
                <c:ptCount val="25"/>
                <c:pt idx="4">
                  <c:v>0.91666666666666674</c:v>
                </c:pt>
                <c:pt idx="5">
                  <c:v>0.5</c:v>
                </c:pt>
                <c:pt idx="8">
                  <c:v>1.1666666666666667</c:v>
                </c:pt>
                <c:pt idx="9">
                  <c:v>2.5</c:v>
                </c:pt>
                <c:pt idx="10">
                  <c:v>5.666666666666667</c:v>
                </c:pt>
                <c:pt idx="11">
                  <c:v>1.5</c:v>
                </c:pt>
                <c:pt idx="12">
                  <c:v>0.75</c:v>
                </c:pt>
                <c:pt idx="16">
                  <c:v>0.83333333333333337</c:v>
                </c:pt>
              </c:numCache>
            </c:numRef>
          </c:val>
          <c:extLst>
            <c:ext xmlns:c16="http://schemas.microsoft.com/office/drawing/2014/chart" uri="{C3380CC4-5D6E-409C-BE32-E72D297353CC}">
              <c16:uniqueId val="{00000031-7A17-4F8A-85C3-B3EF688A0E3B}"/>
            </c:ext>
          </c:extLst>
        </c:ser>
        <c:ser>
          <c:idx val="11"/>
          <c:order val="11"/>
          <c:tx>
            <c:strRef>
              <c:f>P!$N$46:$N$47</c:f>
              <c:strCache>
                <c:ptCount val="1"/>
                <c:pt idx="0">
                  <c:v>11-05-22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227-EDBC-400A-8A68-55C45A98B83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229-EDBC-400A-8A68-55C45A98B83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22B-EDBC-400A-8A68-55C45A98B83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22D-EDBC-400A-8A68-55C45A98B83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22F-EDBC-400A-8A68-55C45A98B83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231-EDBC-400A-8A68-55C45A98B83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233-EDBC-400A-8A68-55C45A98B83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235-EDBC-400A-8A68-55C45A98B83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237-EDBC-400A-8A68-55C45A98B83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239-EDBC-400A-8A68-55C45A98B834}"/>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23B-EDBC-400A-8A68-55C45A98B834}"/>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23D-EDBC-400A-8A68-55C45A98B834}"/>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23F-EDBC-400A-8A68-55C45A98B834}"/>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241-EDBC-400A-8A68-55C45A98B834}"/>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243-EDBC-400A-8A68-55C45A98B834}"/>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245-EDBC-400A-8A68-55C45A98B834}"/>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247-EDBC-400A-8A68-55C45A98B834}"/>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249-EDBC-400A-8A68-55C45A98B834}"/>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24B-EDBC-400A-8A68-55C45A98B834}"/>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24D-EDBC-400A-8A68-55C45A98B834}"/>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24F-EDBC-400A-8A68-55C45A98B834}"/>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251-EDBC-400A-8A68-55C45A98B834}"/>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253-EDBC-400A-8A68-55C45A98B834}"/>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255-EDBC-400A-8A68-55C45A98B834}"/>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257-EDBC-400A-8A68-55C45A98B83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P!$B$48:$B$72</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P!$N$48:$N$72</c:f>
              <c:numCache>
                <c:formatCode>0.00</c:formatCode>
                <c:ptCount val="25"/>
                <c:pt idx="0">
                  <c:v>0.75</c:v>
                </c:pt>
                <c:pt idx="2">
                  <c:v>1.8333333333333333</c:v>
                </c:pt>
                <c:pt idx="5">
                  <c:v>0.75</c:v>
                </c:pt>
                <c:pt idx="8">
                  <c:v>5.833333333333333</c:v>
                </c:pt>
                <c:pt idx="9">
                  <c:v>1.5</c:v>
                </c:pt>
                <c:pt idx="10">
                  <c:v>5.25</c:v>
                </c:pt>
                <c:pt idx="11">
                  <c:v>0.58333333333333337</c:v>
                </c:pt>
                <c:pt idx="13">
                  <c:v>0.41666666666666669</c:v>
                </c:pt>
              </c:numCache>
            </c:numRef>
          </c:val>
          <c:extLst>
            <c:ext xmlns:c16="http://schemas.microsoft.com/office/drawing/2014/chart" uri="{C3380CC4-5D6E-409C-BE32-E72D297353CC}">
              <c16:uniqueId val="{00000032-7A17-4F8A-85C3-B3EF688A0E3B}"/>
            </c:ext>
          </c:extLst>
        </c:ser>
        <c:ser>
          <c:idx val="12"/>
          <c:order val="12"/>
          <c:tx>
            <c:strRef>
              <c:f>P!$O$46:$O$47</c:f>
              <c:strCache>
                <c:ptCount val="1"/>
                <c:pt idx="0">
                  <c:v>09-06-22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259-EDBC-400A-8A68-55C45A98B83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25B-EDBC-400A-8A68-55C45A98B83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25D-EDBC-400A-8A68-55C45A98B83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25F-EDBC-400A-8A68-55C45A98B83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261-EDBC-400A-8A68-55C45A98B83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263-EDBC-400A-8A68-55C45A98B83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265-EDBC-400A-8A68-55C45A98B83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267-EDBC-400A-8A68-55C45A98B83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269-EDBC-400A-8A68-55C45A98B83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26B-EDBC-400A-8A68-55C45A98B834}"/>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26D-EDBC-400A-8A68-55C45A98B834}"/>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26F-EDBC-400A-8A68-55C45A98B834}"/>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271-EDBC-400A-8A68-55C45A98B834}"/>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273-EDBC-400A-8A68-55C45A98B834}"/>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275-EDBC-400A-8A68-55C45A98B834}"/>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277-EDBC-400A-8A68-55C45A98B834}"/>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279-EDBC-400A-8A68-55C45A98B834}"/>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27B-EDBC-400A-8A68-55C45A98B834}"/>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27D-EDBC-400A-8A68-55C45A98B834}"/>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27F-EDBC-400A-8A68-55C45A98B834}"/>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281-EDBC-400A-8A68-55C45A98B834}"/>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283-EDBC-400A-8A68-55C45A98B834}"/>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285-EDBC-400A-8A68-55C45A98B834}"/>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287-EDBC-400A-8A68-55C45A98B834}"/>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289-EDBC-400A-8A68-55C45A98B83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P!$B$48:$B$72</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P!$O$48:$O$72</c:f>
              <c:numCache>
                <c:formatCode>0.00</c:formatCode>
                <c:ptCount val="25"/>
                <c:pt idx="4">
                  <c:v>1.0833333333333333</c:v>
                </c:pt>
                <c:pt idx="5">
                  <c:v>0.5</c:v>
                </c:pt>
                <c:pt idx="8">
                  <c:v>1.1666666666666667</c:v>
                </c:pt>
                <c:pt idx="9">
                  <c:v>2.5</c:v>
                </c:pt>
                <c:pt idx="10">
                  <c:v>3.916666666666667</c:v>
                </c:pt>
                <c:pt idx="11">
                  <c:v>0.75</c:v>
                </c:pt>
                <c:pt idx="12">
                  <c:v>5.5</c:v>
                </c:pt>
                <c:pt idx="15">
                  <c:v>0.58333333333333337</c:v>
                </c:pt>
              </c:numCache>
            </c:numRef>
          </c:val>
          <c:extLst>
            <c:ext xmlns:c16="http://schemas.microsoft.com/office/drawing/2014/chart" uri="{C3380CC4-5D6E-409C-BE32-E72D297353CC}">
              <c16:uniqueId val="{00000033-7A17-4F8A-85C3-B3EF688A0E3B}"/>
            </c:ext>
          </c:extLst>
        </c:ser>
        <c:ser>
          <c:idx val="13"/>
          <c:order val="13"/>
          <c:tx>
            <c:strRef>
              <c:f>P!$P$46:$P$47</c:f>
              <c:strCache>
                <c:ptCount val="1"/>
                <c:pt idx="0">
                  <c:v>10-06-22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28B-EDBC-400A-8A68-55C45A98B83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28D-EDBC-400A-8A68-55C45A98B83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28F-EDBC-400A-8A68-55C45A98B83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291-EDBC-400A-8A68-55C45A98B83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293-EDBC-400A-8A68-55C45A98B83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295-EDBC-400A-8A68-55C45A98B83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297-EDBC-400A-8A68-55C45A98B83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299-EDBC-400A-8A68-55C45A98B83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29B-EDBC-400A-8A68-55C45A98B83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29D-EDBC-400A-8A68-55C45A98B834}"/>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29F-EDBC-400A-8A68-55C45A98B834}"/>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2A1-EDBC-400A-8A68-55C45A98B834}"/>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2A3-EDBC-400A-8A68-55C45A98B834}"/>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2A5-EDBC-400A-8A68-55C45A98B834}"/>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2A7-EDBC-400A-8A68-55C45A98B834}"/>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2A9-EDBC-400A-8A68-55C45A98B834}"/>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2AB-EDBC-400A-8A68-55C45A98B834}"/>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2AD-EDBC-400A-8A68-55C45A98B834}"/>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2AF-EDBC-400A-8A68-55C45A98B834}"/>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2B1-EDBC-400A-8A68-55C45A98B834}"/>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2B3-EDBC-400A-8A68-55C45A98B834}"/>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2B5-EDBC-400A-8A68-55C45A98B834}"/>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2B7-EDBC-400A-8A68-55C45A98B834}"/>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2B9-EDBC-400A-8A68-55C45A98B834}"/>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2BB-EDBC-400A-8A68-55C45A98B83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P!$B$48:$B$72</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P!$P$48:$P$72</c:f>
              <c:numCache>
                <c:formatCode>0.00</c:formatCode>
                <c:ptCount val="25"/>
                <c:pt idx="2">
                  <c:v>0.75</c:v>
                </c:pt>
                <c:pt idx="5">
                  <c:v>1</c:v>
                </c:pt>
                <c:pt idx="8">
                  <c:v>1</c:v>
                </c:pt>
                <c:pt idx="9">
                  <c:v>5.6666666666666661</c:v>
                </c:pt>
                <c:pt idx="10">
                  <c:v>5.5000000000000009</c:v>
                </c:pt>
                <c:pt idx="11">
                  <c:v>1.75</c:v>
                </c:pt>
                <c:pt idx="13">
                  <c:v>0.75</c:v>
                </c:pt>
              </c:numCache>
            </c:numRef>
          </c:val>
          <c:extLst>
            <c:ext xmlns:c16="http://schemas.microsoft.com/office/drawing/2014/chart" uri="{C3380CC4-5D6E-409C-BE32-E72D297353CC}">
              <c16:uniqueId val="{00000034-7A17-4F8A-85C3-B3EF688A0E3B}"/>
            </c:ext>
          </c:extLst>
        </c:ser>
        <c:ser>
          <c:idx val="14"/>
          <c:order val="14"/>
          <c:tx>
            <c:strRef>
              <c:f>P!$Q$46:$Q$47</c:f>
              <c:strCache>
                <c:ptCount val="1"/>
                <c:pt idx="0">
                  <c:v>09-07-22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2BD-EDBC-400A-8A68-55C45A98B83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2BF-EDBC-400A-8A68-55C45A98B83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2C1-EDBC-400A-8A68-55C45A98B83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2C3-EDBC-400A-8A68-55C45A98B83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2C5-EDBC-400A-8A68-55C45A98B83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2C7-EDBC-400A-8A68-55C45A98B83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2C9-EDBC-400A-8A68-55C45A98B83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2CB-EDBC-400A-8A68-55C45A98B83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2CD-EDBC-400A-8A68-55C45A98B83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2CF-EDBC-400A-8A68-55C45A98B834}"/>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2D1-EDBC-400A-8A68-55C45A98B834}"/>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2D3-EDBC-400A-8A68-55C45A98B834}"/>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2D5-EDBC-400A-8A68-55C45A98B834}"/>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2D7-EDBC-400A-8A68-55C45A98B834}"/>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2D9-EDBC-400A-8A68-55C45A98B834}"/>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2DB-EDBC-400A-8A68-55C45A98B834}"/>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2DD-EDBC-400A-8A68-55C45A98B834}"/>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2DF-EDBC-400A-8A68-55C45A98B834}"/>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2E1-EDBC-400A-8A68-55C45A98B834}"/>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2E3-EDBC-400A-8A68-55C45A98B834}"/>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2E5-EDBC-400A-8A68-55C45A98B834}"/>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2E7-EDBC-400A-8A68-55C45A98B834}"/>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2E9-EDBC-400A-8A68-55C45A98B834}"/>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2EB-EDBC-400A-8A68-55C45A98B834}"/>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2ED-EDBC-400A-8A68-55C45A98B83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P!$B$48:$B$72</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P!$Q$48:$Q$72</c:f>
              <c:numCache>
                <c:formatCode>0.00</c:formatCode>
                <c:ptCount val="25"/>
                <c:pt idx="3">
                  <c:v>0.33333333333333331</c:v>
                </c:pt>
                <c:pt idx="4">
                  <c:v>0.91666666666666674</c:v>
                </c:pt>
                <c:pt idx="5">
                  <c:v>0.75</c:v>
                </c:pt>
                <c:pt idx="8">
                  <c:v>1.0833333333333335</c:v>
                </c:pt>
                <c:pt idx="10">
                  <c:v>3.7500000000000004</c:v>
                </c:pt>
                <c:pt idx="11">
                  <c:v>0.75</c:v>
                </c:pt>
                <c:pt idx="12">
                  <c:v>8.8333333333333321</c:v>
                </c:pt>
              </c:numCache>
            </c:numRef>
          </c:val>
          <c:extLst>
            <c:ext xmlns:c16="http://schemas.microsoft.com/office/drawing/2014/chart" uri="{C3380CC4-5D6E-409C-BE32-E72D297353CC}">
              <c16:uniqueId val="{00000035-7A17-4F8A-85C3-B3EF688A0E3B}"/>
            </c:ext>
          </c:extLst>
        </c:ser>
        <c:ser>
          <c:idx val="15"/>
          <c:order val="15"/>
          <c:tx>
            <c:strRef>
              <c:f>P!$R$46:$R$47</c:f>
              <c:strCache>
                <c:ptCount val="1"/>
                <c:pt idx="0">
                  <c:v>10-07-22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2EF-EDBC-400A-8A68-55C45A98B83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2F1-EDBC-400A-8A68-55C45A98B83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2F3-EDBC-400A-8A68-55C45A98B83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2F5-EDBC-400A-8A68-55C45A98B83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2F7-EDBC-400A-8A68-55C45A98B83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2F9-EDBC-400A-8A68-55C45A98B83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2FB-EDBC-400A-8A68-55C45A98B83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2FD-EDBC-400A-8A68-55C45A98B83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2FF-EDBC-400A-8A68-55C45A98B83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301-EDBC-400A-8A68-55C45A98B834}"/>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303-EDBC-400A-8A68-55C45A98B834}"/>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305-EDBC-400A-8A68-55C45A98B834}"/>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307-EDBC-400A-8A68-55C45A98B834}"/>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309-EDBC-400A-8A68-55C45A98B834}"/>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30B-EDBC-400A-8A68-55C45A98B834}"/>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30D-EDBC-400A-8A68-55C45A98B834}"/>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30F-EDBC-400A-8A68-55C45A98B834}"/>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311-EDBC-400A-8A68-55C45A98B834}"/>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313-EDBC-400A-8A68-55C45A98B834}"/>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315-EDBC-400A-8A68-55C45A98B834}"/>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317-EDBC-400A-8A68-55C45A98B834}"/>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319-EDBC-400A-8A68-55C45A98B834}"/>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31B-EDBC-400A-8A68-55C45A98B834}"/>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31D-EDBC-400A-8A68-55C45A98B834}"/>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31F-EDBC-400A-8A68-55C45A98B83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P!$B$48:$B$72</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P!$R$48:$R$72</c:f>
              <c:numCache>
                <c:formatCode>0.00</c:formatCode>
                <c:ptCount val="25"/>
                <c:pt idx="2">
                  <c:v>0.83333333333333337</c:v>
                </c:pt>
                <c:pt idx="5">
                  <c:v>0.75</c:v>
                </c:pt>
                <c:pt idx="8">
                  <c:v>1.8333333333333333</c:v>
                </c:pt>
                <c:pt idx="9">
                  <c:v>5.5</c:v>
                </c:pt>
                <c:pt idx="10">
                  <c:v>4.916666666666667</c:v>
                </c:pt>
                <c:pt idx="11">
                  <c:v>1.916666666666667</c:v>
                </c:pt>
                <c:pt idx="13">
                  <c:v>0.75</c:v>
                </c:pt>
                <c:pt idx="15">
                  <c:v>0.41666666666666669</c:v>
                </c:pt>
              </c:numCache>
            </c:numRef>
          </c:val>
          <c:extLst>
            <c:ext xmlns:c16="http://schemas.microsoft.com/office/drawing/2014/chart" uri="{C3380CC4-5D6E-409C-BE32-E72D297353CC}">
              <c16:uniqueId val="{00000036-7A17-4F8A-85C3-B3EF688A0E3B}"/>
            </c:ext>
          </c:extLst>
        </c:ser>
        <c:ser>
          <c:idx val="16"/>
          <c:order val="16"/>
          <c:tx>
            <c:strRef>
              <c:f>P!$S$46:$S$47</c:f>
              <c:strCache>
                <c:ptCount val="1"/>
                <c:pt idx="0">
                  <c:v>11-07-22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321-EDBC-400A-8A68-55C45A98B83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323-EDBC-400A-8A68-55C45A98B83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325-EDBC-400A-8A68-55C45A98B83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327-EDBC-400A-8A68-55C45A98B83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329-EDBC-400A-8A68-55C45A98B83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32B-EDBC-400A-8A68-55C45A98B83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32D-EDBC-400A-8A68-55C45A98B83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32F-EDBC-400A-8A68-55C45A98B83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331-EDBC-400A-8A68-55C45A98B83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333-EDBC-400A-8A68-55C45A98B834}"/>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335-EDBC-400A-8A68-55C45A98B834}"/>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337-EDBC-400A-8A68-55C45A98B834}"/>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339-EDBC-400A-8A68-55C45A98B834}"/>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33B-EDBC-400A-8A68-55C45A98B834}"/>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33D-EDBC-400A-8A68-55C45A98B834}"/>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33F-EDBC-400A-8A68-55C45A98B834}"/>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341-EDBC-400A-8A68-55C45A98B834}"/>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343-EDBC-400A-8A68-55C45A98B834}"/>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345-EDBC-400A-8A68-55C45A98B834}"/>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347-EDBC-400A-8A68-55C45A98B834}"/>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349-EDBC-400A-8A68-55C45A98B834}"/>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34B-EDBC-400A-8A68-55C45A98B834}"/>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34D-EDBC-400A-8A68-55C45A98B834}"/>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34F-EDBC-400A-8A68-55C45A98B834}"/>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351-EDBC-400A-8A68-55C45A98B83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P!$B$48:$B$72</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P!$S$48:$S$72</c:f>
              <c:numCache>
                <c:formatCode>0.00</c:formatCode>
                <c:ptCount val="25"/>
                <c:pt idx="0">
                  <c:v>0.33333333333333331</c:v>
                </c:pt>
                <c:pt idx="1">
                  <c:v>0.58333333333333337</c:v>
                </c:pt>
                <c:pt idx="2">
                  <c:v>0.66666666666666663</c:v>
                </c:pt>
                <c:pt idx="5">
                  <c:v>0.75</c:v>
                </c:pt>
                <c:pt idx="8">
                  <c:v>1.8333333333333333</c:v>
                </c:pt>
                <c:pt idx="9">
                  <c:v>5.666666666666667</c:v>
                </c:pt>
                <c:pt idx="10">
                  <c:v>6.583333333333333</c:v>
                </c:pt>
                <c:pt idx="13">
                  <c:v>0.41666666666666669</c:v>
                </c:pt>
              </c:numCache>
            </c:numRef>
          </c:val>
          <c:extLst>
            <c:ext xmlns:c16="http://schemas.microsoft.com/office/drawing/2014/chart" uri="{C3380CC4-5D6E-409C-BE32-E72D297353CC}">
              <c16:uniqueId val="{00000037-7A17-4F8A-85C3-B3EF688A0E3B}"/>
            </c:ext>
          </c:extLst>
        </c:ser>
        <c:ser>
          <c:idx val="17"/>
          <c:order val="17"/>
          <c:tx>
            <c:strRef>
              <c:f>P!$T$46:$T$47</c:f>
              <c:strCache>
                <c:ptCount val="1"/>
                <c:pt idx="0">
                  <c:v>09-08-22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353-EDBC-400A-8A68-55C45A98B83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355-EDBC-400A-8A68-55C45A98B83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357-EDBC-400A-8A68-55C45A98B83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359-EDBC-400A-8A68-55C45A98B83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35B-EDBC-400A-8A68-55C45A98B83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35D-EDBC-400A-8A68-55C45A98B83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35F-EDBC-400A-8A68-55C45A98B83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361-EDBC-400A-8A68-55C45A98B83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363-EDBC-400A-8A68-55C45A98B83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365-EDBC-400A-8A68-55C45A98B834}"/>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367-EDBC-400A-8A68-55C45A98B834}"/>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369-EDBC-400A-8A68-55C45A98B834}"/>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36B-EDBC-400A-8A68-55C45A98B834}"/>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36D-EDBC-400A-8A68-55C45A98B834}"/>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36F-EDBC-400A-8A68-55C45A98B834}"/>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371-EDBC-400A-8A68-55C45A98B834}"/>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373-EDBC-400A-8A68-55C45A98B834}"/>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375-EDBC-400A-8A68-55C45A98B834}"/>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377-EDBC-400A-8A68-55C45A98B834}"/>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379-EDBC-400A-8A68-55C45A98B834}"/>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37B-EDBC-400A-8A68-55C45A98B834}"/>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37D-EDBC-400A-8A68-55C45A98B834}"/>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37F-EDBC-400A-8A68-55C45A98B834}"/>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381-EDBC-400A-8A68-55C45A98B834}"/>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383-EDBC-400A-8A68-55C45A98B83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P!$B$48:$B$72</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P!$T$48:$T$72</c:f>
              <c:numCache>
                <c:formatCode>0.00</c:formatCode>
                <c:ptCount val="25"/>
                <c:pt idx="3">
                  <c:v>0.75</c:v>
                </c:pt>
                <c:pt idx="4">
                  <c:v>1.0833333333333333</c:v>
                </c:pt>
                <c:pt idx="5">
                  <c:v>1</c:v>
                </c:pt>
                <c:pt idx="8">
                  <c:v>2</c:v>
                </c:pt>
                <c:pt idx="9">
                  <c:v>4.25</c:v>
                </c:pt>
                <c:pt idx="10">
                  <c:v>5.75</c:v>
                </c:pt>
                <c:pt idx="11">
                  <c:v>0.75</c:v>
                </c:pt>
                <c:pt idx="15">
                  <c:v>0.58333333333333337</c:v>
                </c:pt>
              </c:numCache>
            </c:numRef>
          </c:val>
          <c:extLst>
            <c:ext xmlns:c16="http://schemas.microsoft.com/office/drawing/2014/chart" uri="{C3380CC4-5D6E-409C-BE32-E72D297353CC}">
              <c16:uniqueId val="{00000038-7A17-4F8A-85C3-B3EF688A0E3B}"/>
            </c:ext>
          </c:extLst>
        </c:ser>
        <c:ser>
          <c:idx val="18"/>
          <c:order val="18"/>
          <c:tx>
            <c:strRef>
              <c:f>P!$U$46:$U$47</c:f>
              <c:strCache>
                <c:ptCount val="1"/>
                <c:pt idx="0">
                  <c:v>10-08-22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385-EDBC-400A-8A68-55C45A98B83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387-EDBC-400A-8A68-55C45A98B83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389-EDBC-400A-8A68-55C45A98B83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38B-EDBC-400A-8A68-55C45A98B83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38D-EDBC-400A-8A68-55C45A98B83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38F-EDBC-400A-8A68-55C45A98B83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391-EDBC-400A-8A68-55C45A98B83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393-EDBC-400A-8A68-55C45A98B83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395-EDBC-400A-8A68-55C45A98B83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397-EDBC-400A-8A68-55C45A98B834}"/>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399-EDBC-400A-8A68-55C45A98B834}"/>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39B-EDBC-400A-8A68-55C45A98B834}"/>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39D-EDBC-400A-8A68-55C45A98B834}"/>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39F-EDBC-400A-8A68-55C45A98B834}"/>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3A1-EDBC-400A-8A68-55C45A98B834}"/>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3A3-EDBC-400A-8A68-55C45A98B834}"/>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3A5-EDBC-400A-8A68-55C45A98B834}"/>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3A7-EDBC-400A-8A68-55C45A98B834}"/>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3A9-EDBC-400A-8A68-55C45A98B834}"/>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3AB-EDBC-400A-8A68-55C45A98B834}"/>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3AD-EDBC-400A-8A68-55C45A98B834}"/>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3AF-EDBC-400A-8A68-55C45A98B834}"/>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3B1-EDBC-400A-8A68-55C45A98B834}"/>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3B3-EDBC-400A-8A68-55C45A98B834}"/>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3B5-EDBC-400A-8A68-55C45A98B83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P!$B$48:$B$72</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P!$U$48:$U$72</c:f>
              <c:numCache>
                <c:formatCode>0.00</c:formatCode>
                <c:ptCount val="25"/>
                <c:pt idx="2">
                  <c:v>0.75</c:v>
                </c:pt>
                <c:pt idx="5">
                  <c:v>1</c:v>
                </c:pt>
                <c:pt idx="8">
                  <c:v>2</c:v>
                </c:pt>
                <c:pt idx="9">
                  <c:v>5</c:v>
                </c:pt>
                <c:pt idx="10">
                  <c:v>4.416666666666667</c:v>
                </c:pt>
                <c:pt idx="11">
                  <c:v>2.6666666666666665</c:v>
                </c:pt>
                <c:pt idx="12">
                  <c:v>0.41666666666666669</c:v>
                </c:pt>
                <c:pt idx="13">
                  <c:v>0.58333333333333337</c:v>
                </c:pt>
                <c:pt idx="15">
                  <c:v>0.41666666666666669</c:v>
                </c:pt>
              </c:numCache>
            </c:numRef>
          </c:val>
          <c:extLst>
            <c:ext xmlns:c16="http://schemas.microsoft.com/office/drawing/2014/chart" uri="{C3380CC4-5D6E-409C-BE32-E72D297353CC}">
              <c16:uniqueId val="{00000039-7A17-4F8A-85C3-B3EF688A0E3B}"/>
            </c:ext>
          </c:extLst>
        </c:ser>
        <c:ser>
          <c:idx val="19"/>
          <c:order val="19"/>
          <c:tx>
            <c:strRef>
              <c:f>P!$V$46:$V$47</c:f>
              <c:strCache>
                <c:ptCount val="1"/>
                <c:pt idx="0">
                  <c:v>11-08-22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3B7-EDBC-400A-8A68-55C45A98B83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3B9-EDBC-400A-8A68-55C45A98B83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3BB-EDBC-400A-8A68-55C45A98B83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3BD-EDBC-400A-8A68-55C45A98B83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3BF-EDBC-400A-8A68-55C45A98B83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3C1-EDBC-400A-8A68-55C45A98B83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3C3-EDBC-400A-8A68-55C45A98B83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3C5-EDBC-400A-8A68-55C45A98B83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3C7-EDBC-400A-8A68-55C45A98B83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3C9-EDBC-400A-8A68-55C45A98B834}"/>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3CB-EDBC-400A-8A68-55C45A98B834}"/>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3CD-EDBC-400A-8A68-55C45A98B834}"/>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3CF-EDBC-400A-8A68-55C45A98B834}"/>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3D1-EDBC-400A-8A68-55C45A98B834}"/>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3D3-EDBC-400A-8A68-55C45A98B834}"/>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3D5-EDBC-400A-8A68-55C45A98B834}"/>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3D7-EDBC-400A-8A68-55C45A98B834}"/>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3D9-EDBC-400A-8A68-55C45A98B834}"/>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3DB-EDBC-400A-8A68-55C45A98B834}"/>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3DD-EDBC-400A-8A68-55C45A98B834}"/>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3DF-EDBC-400A-8A68-55C45A98B834}"/>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3E1-EDBC-400A-8A68-55C45A98B834}"/>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3E3-EDBC-400A-8A68-55C45A98B834}"/>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3E5-EDBC-400A-8A68-55C45A98B834}"/>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3E7-EDBC-400A-8A68-55C45A98B83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P!$B$48:$B$72</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P!$V$48:$V$72</c:f>
              <c:numCache>
                <c:formatCode>0.00</c:formatCode>
                <c:ptCount val="25"/>
                <c:pt idx="0">
                  <c:v>0.33333333333333331</c:v>
                </c:pt>
                <c:pt idx="1">
                  <c:v>1</c:v>
                </c:pt>
                <c:pt idx="2">
                  <c:v>1</c:v>
                </c:pt>
                <c:pt idx="5">
                  <c:v>0.75</c:v>
                </c:pt>
                <c:pt idx="8">
                  <c:v>1.75</c:v>
                </c:pt>
                <c:pt idx="9">
                  <c:v>4.8333333333333339</c:v>
                </c:pt>
                <c:pt idx="10">
                  <c:v>5.9999999999999991</c:v>
                </c:pt>
                <c:pt idx="11">
                  <c:v>0.33333333333333331</c:v>
                </c:pt>
                <c:pt idx="13">
                  <c:v>0.41666666666666669</c:v>
                </c:pt>
                <c:pt idx="14">
                  <c:v>0.41666666666666669</c:v>
                </c:pt>
              </c:numCache>
            </c:numRef>
          </c:val>
          <c:extLst>
            <c:ext xmlns:c16="http://schemas.microsoft.com/office/drawing/2014/chart" uri="{C3380CC4-5D6E-409C-BE32-E72D297353CC}">
              <c16:uniqueId val="{0000003A-7A17-4F8A-85C3-B3EF688A0E3B}"/>
            </c:ext>
          </c:extLst>
        </c:ser>
        <c:ser>
          <c:idx val="20"/>
          <c:order val="20"/>
          <c:tx>
            <c:strRef>
              <c:f>P!$W$46:$W$47</c:f>
              <c:strCache>
                <c:ptCount val="1"/>
                <c:pt idx="0">
                  <c:v>09-09-22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3E9-EDBC-400A-8A68-55C45A98B83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3EB-EDBC-400A-8A68-55C45A98B83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3ED-EDBC-400A-8A68-55C45A98B83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3EF-EDBC-400A-8A68-55C45A98B83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3F1-EDBC-400A-8A68-55C45A98B83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3F3-EDBC-400A-8A68-55C45A98B83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3F5-EDBC-400A-8A68-55C45A98B83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3F7-EDBC-400A-8A68-55C45A98B83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3F9-EDBC-400A-8A68-55C45A98B83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3FB-EDBC-400A-8A68-55C45A98B834}"/>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3FD-EDBC-400A-8A68-55C45A98B834}"/>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3FF-EDBC-400A-8A68-55C45A98B834}"/>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401-EDBC-400A-8A68-55C45A98B834}"/>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403-EDBC-400A-8A68-55C45A98B834}"/>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405-EDBC-400A-8A68-55C45A98B834}"/>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407-EDBC-400A-8A68-55C45A98B834}"/>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409-EDBC-400A-8A68-55C45A98B834}"/>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40B-EDBC-400A-8A68-55C45A98B834}"/>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40D-EDBC-400A-8A68-55C45A98B834}"/>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40F-EDBC-400A-8A68-55C45A98B834}"/>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411-EDBC-400A-8A68-55C45A98B834}"/>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413-EDBC-400A-8A68-55C45A98B834}"/>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415-EDBC-400A-8A68-55C45A98B834}"/>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417-EDBC-400A-8A68-55C45A98B834}"/>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419-EDBC-400A-8A68-55C45A98B83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P!$B$48:$B$72</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P!$W$48:$W$72</c:f>
              <c:numCache>
                <c:formatCode>0.00</c:formatCode>
                <c:ptCount val="25"/>
                <c:pt idx="3">
                  <c:v>0.33333333333333331</c:v>
                </c:pt>
                <c:pt idx="4">
                  <c:v>0.91666666666666674</c:v>
                </c:pt>
                <c:pt idx="5">
                  <c:v>1</c:v>
                </c:pt>
                <c:pt idx="8">
                  <c:v>3.916666666666667</c:v>
                </c:pt>
                <c:pt idx="9">
                  <c:v>2.75</c:v>
                </c:pt>
                <c:pt idx="10">
                  <c:v>6.833333333333333</c:v>
                </c:pt>
                <c:pt idx="11">
                  <c:v>0.75</c:v>
                </c:pt>
              </c:numCache>
            </c:numRef>
          </c:val>
          <c:extLst>
            <c:ext xmlns:c16="http://schemas.microsoft.com/office/drawing/2014/chart" uri="{C3380CC4-5D6E-409C-BE32-E72D297353CC}">
              <c16:uniqueId val="{0000003B-7A17-4F8A-85C3-B3EF688A0E3B}"/>
            </c:ext>
          </c:extLst>
        </c:ser>
        <c:ser>
          <c:idx val="21"/>
          <c:order val="21"/>
          <c:tx>
            <c:strRef>
              <c:f>P!$X$46:$X$47</c:f>
              <c:strCache>
                <c:ptCount val="1"/>
                <c:pt idx="0">
                  <c:v>11-09-22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41B-EDBC-400A-8A68-55C45A98B83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41D-EDBC-400A-8A68-55C45A98B83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41F-EDBC-400A-8A68-55C45A98B83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421-EDBC-400A-8A68-55C45A98B83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423-EDBC-400A-8A68-55C45A98B83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425-EDBC-400A-8A68-55C45A98B83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427-EDBC-400A-8A68-55C45A98B83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429-EDBC-400A-8A68-55C45A98B83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42B-EDBC-400A-8A68-55C45A98B83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42D-EDBC-400A-8A68-55C45A98B834}"/>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42F-EDBC-400A-8A68-55C45A98B834}"/>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431-EDBC-400A-8A68-55C45A98B834}"/>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433-EDBC-400A-8A68-55C45A98B834}"/>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435-EDBC-400A-8A68-55C45A98B834}"/>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437-EDBC-400A-8A68-55C45A98B834}"/>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439-EDBC-400A-8A68-55C45A98B834}"/>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43B-EDBC-400A-8A68-55C45A98B834}"/>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43D-EDBC-400A-8A68-55C45A98B834}"/>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43F-EDBC-400A-8A68-55C45A98B834}"/>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441-EDBC-400A-8A68-55C45A98B834}"/>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443-EDBC-400A-8A68-55C45A98B834}"/>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445-EDBC-400A-8A68-55C45A98B834}"/>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447-EDBC-400A-8A68-55C45A98B834}"/>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449-EDBC-400A-8A68-55C45A98B834}"/>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44B-EDBC-400A-8A68-55C45A98B83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P!$B$48:$B$72</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P!$X$48:$X$72</c:f>
              <c:numCache>
                <c:formatCode>0.00</c:formatCode>
                <c:ptCount val="25"/>
                <c:pt idx="0">
                  <c:v>2.25</c:v>
                </c:pt>
                <c:pt idx="1">
                  <c:v>0.41666666666666669</c:v>
                </c:pt>
                <c:pt idx="2">
                  <c:v>0.66666666666666663</c:v>
                </c:pt>
                <c:pt idx="5">
                  <c:v>0.75</c:v>
                </c:pt>
                <c:pt idx="8">
                  <c:v>1.75</c:v>
                </c:pt>
                <c:pt idx="9">
                  <c:v>5.1666666666666661</c:v>
                </c:pt>
                <c:pt idx="10">
                  <c:v>4.333333333333333</c:v>
                </c:pt>
                <c:pt idx="11">
                  <c:v>0.33333333333333331</c:v>
                </c:pt>
                <c:pt idx="13">
                  <c:v>0.33333333333333331</c:v>
                </c:pt>
              </c:numCache>
            </c:numRef>
          </c:val>
          <c:extLst>
            <c:ext xmlns:c16="http://schemas.microsoft.com/office/drawing/2014/chart" uri="{C3380CC4-5D6E-409C-BE32-E72D297353CC}">
              <c16:uniqueId val="{0000003C-7A17-4F8A-85C3-B3EF688A0E3B}"/>
            </c:ext>
          </c:extLst>
        </c:ser>
        <c:ser>
          <c:idx val="22"/>
          <c:order val="22"/>
          <c:tx>
            <c:strRef>
              <c:f>P!$Y$46:$Y$47</c:f>
              <c:strCache>
                <c:ptCount val="1"/>
                <c:pt idx="0">
                  <c:v>08-10-22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44D-EDBC-400A-8A68-55C45A98B83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44F-EDBC-400A-8A68-55C45A98B83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451-EDBC-400A-8A68-55C45A98B83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453-EDBC-400A-8A68-55C45A98B83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455-EDBC-400A-8A68-55C45A98B83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457-EDBC-400A-8A68-55C45A98B83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459-EDBC-400A-8A68-55C45A98B83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45B-EDBC-400A-8A68-55C45A98B83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45D-EDBC-400A-8A68-55C45A98B83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45F-EDBC-400A-8A68-55C45A98B834}"/>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461-EDBC-400A-8A68-55C45A98B834}"/>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463-EDBC-400A-8A68-55C45A98B834}"/>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465-EDBC-400A-8A68-55C45A98B834}"/>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467-EDBC-400A-8A68-55C45A98B834}"/>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469-EDBC-400A-8A68-55C45A98B834}"/>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46B-EDBC-400A-8A68-55C45A98B834}"/>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46D-EDBC-400A-8A68-55C45A98B834}"/>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46F-EDBC-400A-8A68-55C45A98B834}"/>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471-EDBC-400A-8A68-55C45A98B834}"/>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473-EDBC-400A-8A68-55C45A98B834}"/>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475-EDBC-400A-8A68-55C45A98B834}"/>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477-EDBC-400A-8A68-55C45A98B834}"/>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479-EDBC-400A-8A68-55C45A98B834}"/>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47B-EDBC-400A-8A68-55C45A98B834}"/>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47D-EDBC-400A-8A68-55C45A98B83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P!$B$48:$B$72</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P!$Y$48:$Y$72</c:f>
              <c:numCache>
                <c:formatCode>0.00</c:formatCode>
                <c:ptCount val="25"/>
                <c:pt idx="3">
                  <c:v>4.166666666666667</c:v>
                </c:pt>
                <c:pt idx="5">
                  <c:v>1</c:v>
                </c:pt>
                <c:pt idx="8">
                  <c:v>2</c:v>
                </c:pt>
                <c:pt idx="9">
                  <c:v>2.5</c:v>
                </c:pt>
              </c:numCache>
            </c:numRef>
          </c:val>
          <c:extLst>
            <c:ext xmlns:c16="http://schemas.microsoft.com/office/drawing/2014/chart" uri="{C3380CC4-5D6E-409C-BE32-E72D297353CC}">
              <c16:uniqueId val="{0000003D-7A17-4F8A-85C3-B3EF688A0E3B}"/>
            </c:ext>
          </c:extLst>
        </c:ser>
        <c:ser>
          <c:idx val="23"/>
          <c:order val="23"/>
          <c:tx>
            <c:strRef>
              <c:f>P!$Z$46:$Z$47</c:f>
              <c:strCache>
                <c:ptCount val="1"/>
                <c:pt idx="0">
                  <c:v>09-10-22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47F-EDBC-400A-8A68-55C45A98B83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481-EDBC-400A-8A68-55C45A98B83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483-EDBC-400A-8A68-55C45A98B83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485-EDBC-400A-8A68-55C45A98B83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487-EDBC-400A-8A68-55C45A98B83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489-EDBC-400A-8A68-55C45A98B83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48B-EDBC-400A-8A68-55C45A98B83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48D-EDBC-400A-8A68-55C45A98B83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48F-EDBC-400A-8A68-55C45A98B83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491-EDBC-400A-8A68-55C45A98B834}"/>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493-EDBC-400A-8A68-55C45A98B834}"/>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495-EDBC-400A-8A68-55C45A98B834}"/>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497-EDBC-400A-8A68-55C45A98B834}"/>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499-EDBC-400A-8A68-55C45A98B834}"/>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49B-EDBC-400A-8A68-55C45A98B834}"/>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49D-EDBC-400A-8A68-55C45A98B834}"/>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49F-EDBC-400A-8A68-55C45A98B834}"/>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4A1-EDBC-400A-8A68-55C45A98B834}"/>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4A3-EDBC-400A-8A68-55C45A98B834}"/>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4A5-EDBC-400A-8A68-55C45A98B834}"/>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4A7-EDBC-400A-8A68-55C45A98B834}"/>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4A9-EDBC-400A-8A68-55C45A98B834}"/>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4AB-EDBC-400A-8A68-55C45A98B834}"/>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4AD-EDBC-400A-8A68-55C45A98B834}"/>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4AF-EDBC-400A-8A68-55C45A98B83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P!$B$48:$B$72</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P!$Z$48:$Z$72</c:f>
              <c:numCache>
                <c:formatCode>0.00</c:formatCode>
                <c:ptCount val="25"/>
                <c:pt idx="4">
                  <c:v>0.91666666666666674</c:v>
                </c:pt>
                <c:pt idx="10">
                  <c:v>6.4166666666666661</c:v>
                </c:pt>
                <c:pt idx="11">
                  <c:v>0.75</c:v>
                </c:pt>
              </c:numCache>
            </c:numRef>
          </c:val>
          <c:extLst>
            <c:ext xmlns:c16="http://schemas.microsoft.com/office/drawing/2014/chart" uri="{C3380CC4-5D6E-409C-BE32-E72D297353CC}">
              <c16:uniqueId val="{0000003E-7A17-4F8A-85C3-B3EF688A0E3B}"/>
            </c:ext>
          </c:extLst>
        </c:ser>
        <c:ser>
          <c:idx val="24"/>
          <c:order val="24"/>
          <c:tx>
            <c:strRef>
              <c:f>P!$AA$46:$AA$47</c:f>
              <c:strCache>
                <c:ptCount val="1"/>
                <c:pt idx="0">
                  <c:v>10-10-22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4B1-EDBC-400A-8A68-55C45A98B83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4B3-EDBC-400A-8A68-55C45A98B83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4B5-EDBC-400A-8A68-55C45A98B83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4B7-EDBC-400A-8A68-55C45A98B83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4B9-EDBC-400A-8A68-55C45A98B83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4BB-EDBC-400A-8A68-55C45A98B83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4BD-EDBC-400A-8A68-55C45A98B83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4BF-EDBC-400A-8A68-55C45A98B83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4C1-EDBC-400A-8A68-55C45A98B83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4C3-EDBC-400A-8A68-55C45A98B834}"/>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4C5-EDBC-400A-8A68-55C45A98B834}"/>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4C7-EDBC-400A-8A68-55C45A98B834}"/>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4C9-EDBC-400A-8A68-55C45A98B834}"/>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4CB-EDBC-400A-8A68-55C45A98B834}"/>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4CD-EDBC-400A-8A68-55C45A98B834}"/>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4CF-EDBC-400A-8A68-55C45A98B834}"/>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4D1-EDBC-400A-8A68-55C45A98B834}"/>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4D3-EDBC-400A-8A68-55C45A98B834}"/>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4D5-EDBC-400A-8A68-55C45A98B834}"/>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4D7-EDBC-400A-8A68-55C45A98B834}"/>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4D9-EDBC-400A-8A68-55C45A98B834}"/>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4DB-EDBC-400A-8A68-55C45A98B834}"/>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4DD-EDBC-400A-8A68-55C45A98B834}"/>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4DF-EDBC-400A-8A68-55C45A98B834}"/>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4E1-EDBC-400A-8A68-55C45A98B83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P!$B$48:$B$72</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P!$AA$48:$AA$72</c:f>
              <c:numCache>
                <c:formatCode>0.00</c:formatCode>
                <c:ptCount val="25"/>
                <c:pt idx="1">
                  <c:v>0.5</c:v>
                </c:pt>
                <c:pt idx="2">
                  <c:v>0.75</c:v>
                </c:pt>
                <c:pt idx="5">
                  <c:v>1</c:v>
                </c:pt>
                <c:pt idx="8">
                  <c:v>2.1666666666666665</c:v>
                </c:pt>
                <c:pt idx="9">
                  <c:v>3</c:v>
                </c:pt>
                <c:pt idx="10">
                  <c:v>5.5</c:v>
                </c:pt>
                <c:pt idx="11">
                  <c:v>0.58333333333333337</c:v>
                </c:pt>
                <c:pt idx="12">
                  <c:v>0.41666666666666669</c:v>
                </c:pt>
                <c:pt idx="13">
                  <c:v>0.75</c:v>
                </c:pt>
                <c:pt idx="15">
                  <c:v>2.25</c:v>
                </c:pt>
              </c:numCache>
            </c:numRef>
          </c:val>
          <c:extLst>
            <c:ext xmlns:c16="http://schemas.microsoft.com/office/drawing/2014/chart" uri="{C3380CC4-5D6E-409C-BE32-E72D297353CC}">
              <c16:uniqueId val="{0000003F-7A17-4F8A-85C3-B3EF688A0E3B}"/>
            </c:ext>
          </c:extLst>
        </c:ser>
        <c:ser>
          <c:idx val="25"/>
          <c:order val="25"/>
          <c:tx>
            <c:strRef>
              <c:f>P!$AB$46:$AB$47</c:f>
              <c:strCache>
                <c:ptCount val="1"/>
                <c:pt idx="0">
                  <c:v>11-10-22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4E3-EDBC-400A-8A68-55C45A98B83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4E5-EDBC-400A-8A68-55C45A98B83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4E7-EDBC-400A-8A68-55C45A98B83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4E9-EDBC-400A-8A68-55C45A98B83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4EB-EDBC-400A-8A68-55C45A98B83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4ED-EDBC-400A-8A68-55C45A98B83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4EF-EDBC-400A-8A68-55C45A98B83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4F1-EDBC-400A-8A68-55C45A98B83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4F3-EDBC-400A-8A68-55C45A98B83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4F5-EDBC-400A-8A68-55C45A98B834}"/>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4F7-EDBC-400A-8A68-55C45A98B834}"/>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4F9-EDBC-400A-8A68-55C45A98B834}"/>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4FB-EDBC-400A-8A68-55C45A98B834}"/>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4FD-EDBC-400A-8A68-55C45A98B834}"/>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4FF-EDBC-400A-8A68-55C45A98B834}"/>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501-EDBC-400A-8A68-55C45A98B834}"/>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503-EDBC-400A-8A68-55C45A98B834}"/>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505-EDBC-400A-8A68-55C45A98B834}"/>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507-EDBC-400A-8A68-55C45A98B834}"/>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509-EDBC-400A-8A68-55C45A98B834}"/>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50B-EDBC-400A-8A68-55C45A98B834}"/>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50D-EDBC-400A-8A68-55C45A98B834}"/>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50F-EDBC-400A-8A68-55C45A98B834}"/>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511-EDBC-400A-8A68-55C45A98B834}"/>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513-EDBC-400A-8A68-55C45A98B83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P!$B$48:$B$72</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P!$AB$48:$AB$72</c:f>
              <c:numCache>
                <c:formatCode>0.00</c:formatCode>
                <c:ptCount val="25"/>
                <c:pt idx="0">
                  <c:v>2.25</c:v>
                </c:pt>
                <c:pt idx="1">
                  <c:v>0.75</c:v>
                </c:pt>
                <c:pt idx="2">
                  <c:v>1.3333333333333333</c:v>
                </c:pt>
                <c:pt idx="5">
                  <c:v>1</c:v>
                </c:pt>
                <c:pt idx="8">
                  <c:v>2</c:v>
                </c:pt>
                <c:pt idx="9">
                  <c:v>4.666666666666667</c:v>
                </c:pt>
                <c:pt idx="10">
                  <c:v>11.083333333333334</c:v>
                </c:pt>
                <c:pt idx="11">
                  <c:v>1.1666666666666665</c:v>
                </c:pt>
                <c:pt idx="13">
                  <c:v>0.83333333333333337</c:v>
                </c:pt>
              </c:numCache>
            </c:numRef>
          </c:val>
          <c:extLst>
            <c:ext xmlns:c16="http://schemas.microsoft.com/office/drawing/2014/chart" uri="{C3380CC4-5D6E-409C-BE32-E72D297353CC}">
              <c16:uniqueId val="{00000040-7A17-4F8A-85C3-B3EF688A0E3B}"/>
            </c:ext>
          </c:extLst>
        </c:ser>
        <c:ser>
          <c:idx val="26"/>
          <c:order val="26"/>
          <c:tx>
            <c:strRef>
              <c:f>P!$AC$46:$AC$47</c:f>
              <c:strCache>
                <c:ptCount val="1"/>
                <c:pt idx="0">
                  <c:v>10-11-22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515-EDBC-400A-8A68-55C45A98B83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517-EDBC-400A-8A68-55C45A98B83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519-EDBC-400A-8A68-55C45A98B83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51B-EDBC-400A-8A68-55C45A98B83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51D-EDBC-400A-8A68-55C45A98B83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51F-EDBC-400A-8A68-55C45A98B83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521-EDBC-400A-8A68-55C45A98B83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523-EDBC-400A-8A68-55C45A98B83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525-EDBC-400A-8A68-55C45A98B83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527-EDBC-400A-8A68-55C45A98B834}"/>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529-EDBC-400A-8A68-55C45A98B834}"/>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52B-EDBC-400A-8A68-55C45A98B834}"/>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52D-EDBC-400A-8A68-55C45A98B834}"/>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52F-EDBC-400A-8A68-55C45A98B834}"/>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531-EDBC-400A-8A68-55C45A98B834}"/>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533-EDBC-400A-8A68-55C45A98B834}"/>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535-EDBC-400A-8A68-55C45A98B834}"/>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537-EDBC-400A-8A68-55C45A98B834}"/>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539-EDBC-400A-8A68-55C45A98B834}"/>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53B-EDBC-400A-8A68-55C45A98B834}"/>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53D-EDBC-400A-8A68-55C45A98B834}"/>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53F-EDBC-400A-8A68-55C45A98B834}"/>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541-EDBC-400A-8A68-55C45A98B834}"/>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543-EDBC-400A-8A68-55C45A98B834}"/>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545-EDBC-400A-8A68-55C45A98B83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P!$B$48:$B$72</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P!$AC$48:$AC$72</c:f>
              <c:numCache>
                <c:formatCode>0.00</c:formatCode>
                <c:ptCount val="25"/>
                <c:pt idx="2">
                  <c:v>0.75</c:v>
                </c:pt>
                <c:pt idx="5">
                  <c:v>0.83333333333333337</c:v>
                </c:pt>
                <c:pt idx="8">
                  <c:v>1.1666666666666665</c:v>
                </c:pt>
                <c:pt idx="9">
                  <c:v>6</c:v>
                </c:pt>
                <c:pt idx="10">
                  <c:v>5.9166666666666679</c:v>
                </c:pt>
                <c:pt idx="12">
                  <c:v>1.5</c:v>
                </c:pt>
                <c:pt idx="13">
                  <c:v>0.58333333333333337</c:v>
                </c:pt>
                <c:pt idx="15">
                  <c:v>0.41666666666666669</c:v>
                </c:pt>
              </c:numCache>
            </c:numRef>
          </c:val>
          <c:extLst>
            <c:ext xmlns:c16="http://schemas.microsoft.com/office/drawing/2014/chart" uri="{C3380CC4-5D6E-409C-BE32-E72D297353CC}">
              <c16:uniqueId val="{00000041-7A17-4F8A-85C3-B3EF688A0E3B}"/>
            </c:ext>
          </c:extLst>
        </c:ser>
        <c:ser>
          <c:idx val="27"/>
          <c:order val="27"/>
          <c:tx>
            <c:strRef>
              <c:f>P!$AD$46:$AD$47</c:f>
              <c:strCache>
                <c:ptCount val="1"/>
                <c:pt idx="0">
                  <c:v>11-11-22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547-EDBC-400A-8A68-55C45A98B83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549-EDBC-400A-8A68-55C45A98B83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54B-EDBC-400A-8A68-55C45A98B83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54D-EDBC-400A-8A68-55C45A98B83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54F-EDBC-400A-8A68-55C45A98B83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551-EDBC-400A-8A68-55C45A98B83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553-EDBC-400A-8A68-55C45A98B83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555-EDBC-400A-8A68-55C45A98B83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557-EDBC-400A-8A68-55C45A98B83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559-EDBC-400A-8A68-55C45A98B834}"/>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55B-EDBC-400A-8A68-55C45A98B834}"/>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55D-EDBC-400A-8A68-55C45A98B834}"/>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55F-EDBC-400A-8A68-55C45A98B834}"/>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561-EDBC-400A-8A68-55C45A98B834}"/>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563-EDBC-400A-8A68-55C45A98B834}"/>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565-EDBC-400A-8A68-55C45A98B834}"/>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567-EDBC-400A-8A68-55C45A98B834}"/>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569-EDBC-400A-8A68-55C45A98B834}"/>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56B-EDBC-400A-8A68-55C45A98B834}"/>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56D-EDBC-400A-8A68-55C45A98B834}"/>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56F-EDBC-400A-8A68-55C45A98B834}"/>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571-EDBC-400A-8A68-55C45A98B834}"/>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573-EDBC-400A-8A68-55C45A98B834}"/>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575-EDBC-400A-8A68-55C45A98B834}"/>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577-EDBC-400A-8A68-55C45A98B83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P!$B$48:$B$72</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P!$AD$48:$AD$72</c:f>
              <c:numCache>
                <c:formatCode>0.00</c:formatCode>
                <c:ptCount val="25"/>
                <c:pt idx="0">
                  <c:v>0.33333333333333331</c:v>
                </c:pt>
                <c:pt idx="2">
                  <c:v>1.8333333333333335</c:v>
                </c:pt>
                <c:pt idx="5">
                  <c:v>1</c:v>
                </c:pt>
                <c:pt idx="8">
                  <c:v>2.8333333333333335</c:v>
                </c:pt>
                <c:pt idx="9">
                  <c:v>4.333333333333333</c:v>
                </c:pt>
                <c:pt idx="10">
                  <c:v>5.083333333333333</c:v>
                </c:pt>
                <c:pt idx="11">
                  <c:v>0.33333333333333331</c:v>
                </c:pt>
                <c:pt idx="13">
                  <c:v>0.41666666666666669</c:v>
                </c:pt>
                <c:pt idx="17">
                  <c:v>0.75</c:v>
                </c:pt>
              </c:numCache>
            </c:numRef>
          </c:val>
          <c:extLst>
            <c:ext xmlns:c16="http://schemas.microsoft.com/office/drawing/2014/chart" uri="{C3380CC4-5D6E-409C-BE32-E72D297353CC}">
              <c16:uniqueId val="{00000042-7A17-4F8A-85C3-B3EF688A0E3B}"/>
            </c:ext>
          </c:extLst>
        </c:ser>
        <c:ser>
          <c:idx val="28"/>
          <c:order val="28"/>
          <c:tx>
            <c:strRef>
              <c:f>P!$AE$46:$AE$47</c:f>
              <c:strCache>
                <c:ptCount val="1"/>
                <c:pt idx="0">
                  <c:v>09-12-22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579-EDBC-400A-8A68-55C45A98B83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57B-EDBC-400A-8A68-55C45A98B83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57D-EDBC-400A-8A68-55C45A98B83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57F-EDBC-400A-8A68-55C45A98B83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581-EDBC-400A-8A68-55C45A98B83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583-EDBC-400A-8A68-55C45A98B83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585-EDBC-400A-8A68-55C45A98B83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587-EDBC-400A-8A68-55C45A98B83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589-EDBC-400A-8A68-55C45A98B83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58B-EDBC-400A-8A68-55C45A98B834}"/>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58D-EDBC-400A-8A68-55C45A98B834}"/>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58F-EDBC-400A-8A68-55C45A98B834}"/>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591-EDBC-400A-8A68-55C45A98B834}"/>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593-EDBC-400A-8A68-55C45A98B834}"/>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595-EDBC-400A-8A68-55C45A98B834}"/>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597-EDBC-400A-8A68-55C45A98B834}"/>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599-EDBC-400A-8A68-55C45A98B834}"/>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59B-EDBC-400A-8A68-55C45A98B834}"/>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59D-EDBC-400A-8A68-55C45A98B834}"/>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59F-EDBC-400A-8A68-55C45A98B834}"/>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5A1-EDBC-400A-8A68-55C45A98B834}"/>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5A3-EDBC-400A-8A68-55C45A98B834}"/>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5A5-EDBC-400A-8A68-55C45A98B834}"/>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5A7-EDBC-400A-8A68-55C45A98B834}"/>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5A9-EDBC-400A-8A68-55C45A98B83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P!$B$48:$B$72</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P!$AE$48:$AE$72</c:f>
              <c:numCache>
                <c:formatCode>0.00</c:formatCode>
                <c:ptCount val="25"/>
                <c:pt idx="3">
                  <c:v>2.5</c:v>
                </c:pt>
                <c:pt idx="4">
                  <c:v>2.8333333333333335</c:v>
                </c:pt>
                <c:pt idx="5">
                  <c:v>1</c:v>
                </c:pt>
                <c:pt idx="8">
                  <c:v>2.1666666666666665</c:v>
                </c:pt>
                <c:pt idx="9">
                  <c:v>2.5</c:v>
                </c:pt>
                <c:pt idx="10">
                  <c:v>4.25</c:v>
                </c:pt>
                <c:pt idx="11">
                  <c:v>0.91666666666666663</c:v>
                </c:pt>
              </c:numCache>
            </c:numRef>
          </c:val>
          <c:extLst>
            <c:ext xmlns:c16="http://schemas.microsoft.com/office/drawing/2014/chart" uri="{C3380CC4-5D6E-409C-BE32-E72D297353CC}">
              <c16:uniqueId val="{00000043-7A17-4F8A-85C3-B3EF688A0E3B}"/>
            </c:ext>
          </c:extLst>
        </c:ser>
        <c:ser>
          <c:idx val="29"/>
          <c:order val="29"/>
          <c:tx>
            <c:strRef>
              <c:f>P!$AF$46:$AF$47</c:f>
              <c:strCache>
                <c:ptCount val="1"/>
                <c:pt idx="0">
                  <c:v>10-12-22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5AB-EDBC-400A-8A68-55C45A98B83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5AD-EDBC-400A-8A68-55C45A98B83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5AF-EDBC-400A-8A68-55C45A98B83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5B1-EDBC-400A-8A68-55C45A98B83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5B3-EDBC-400A-8A68-55C45A98B83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5B5-EDBC-400A-8A68-55C45A98B83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5B7-EDBC-400A-8A68-55C45A98B83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5B9-EDBC-400A-8A68-55C45A98B83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5BB-EDBC-400A-8A68-55C45A98B83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5BD-EDBC-400A-8A68-55C45A98B834}"/>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5BF-EDBC-400A-8A68-55C45A98B834}"/>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5C1-EDBC-400A-8A68-55C45A98B834}"/>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5C3-EDBC-400A-8A68-55C45A98B834}"/>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5C5-EDBC-400A-8A68-55C45A98B834}"/>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5C7-EDBC-400A-8A68-55C45A98B834}"/>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5C9-EDBC-400A-8A68-55C45A98B834}"/>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5CB-EDBC-400A-8A68-55C45A98B834}"/>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5CD-EDBC-400A-8A68-55C45A98B834}"/>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5CF-EDBC-400A-8A68-55C45A98B834}"/>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5D1-EDBC-400A-8A68-55C45A98B834}"/>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5D3-EDBC-400A-8A68-55C45A98B834}"/>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5D5-EDBC-400A-8A68-55C45A98B834}"/>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5D7-EDBC-400A-8A68-55C45A98B834}"/>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5D9-EDBC-400A-8A68-55C45A98B834}"/>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5DB-EDBC-400A-8A68-55C45A98B83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P!$B$48:$B$72</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P!$AF$48:$AF$72</c:f>
              <c:numCache>
                <c:formatCode>0.00</c:formatCode>
                <c:ptCount val="25"/>
                <c:pt idx="2">
                  <c:v>0.83333333333333326</c:v>
                </c:pt>
                <c:pt idx="5">
                  <c:v>0.75</c:v>
                </c:pt>
                <c:pt idx="8">
                  <c:v>2.4166666666666665</c:v>
                </c:pt>
                <c:pt idx="9">
                  <c:v>4.5</c:v>
                </c:pt>
                <c:pt idx="10">
                  <c:v>4.5</c:v>
                </c:pt>
                <c:pt idx="11">
                  <c:v>0.5</c:v>
                </c:pt>
                <c:pt idx="13">
                  <c:v>0.5</c:v>
                </c:pt>
              </c:numCache>
            </c:numRef>
          </c:val>
          <c:extLst>
            <c:ext xmlns:c16="http://schemas.microsoft.com/office/drawing/2014/chart" uri="{C3380CC4-5D6E-409C-BE32-E72D297353CC}">
              <c16:uniqueId val="{00000044-7A17-4F8A-85C3-B3EF688A0E3B}"/>
            </c:ext>
          </c:extLst>
        </c:ser>
        <c:ser>
          <c:idx val="30"/>
          <c:order val="30"/>
          <c:tx>
            <c:strRef>
              <c:f>P!$AG$46:$AG$47</c:f>
              <c:strCache>
                <c:ptCount val="1"/>
                <c:pt idx="0">
                  <c:v>11-12-22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5DD-EDBC-400A-8A68-55C45A98B83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5DF-EDBC-400A-8A68-55C45A98B83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5E1-EDBC-400A-8A68-55C45A98B83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5E3-EDBC-400A-8A68-55C45A98B83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5E5-EDBC-400A-8A68-55C45A98B83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5E7-EDBC-400A-8A68-55C45A98B83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5E9-EDBC-400A-8A68-55C45A98B83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5EB-EDBC-400A-8A68-55C45A98B83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5ED-EDBC-400A-8A68-55C45A98B83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5EF-EDBC-400A-8A68-55C45A98B834}"/>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5F1-EDBC-400A-8A68-55C45A98B834}"/>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5F3-EDBC-400A-8A68-55C45A98B834}"/>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5F5-EDBC-400A-8A68-55C45A98B834}"/>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5F7-EDBC-400A-8A68-55C45A98B834}"/>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5F9-EDBC-400A-8A68-55C45A98B834}"/>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5FB-EDBC-400A-8A68-55C45A98B834}"/>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5FD-EDBC-400A-8A68-55C45A98B834}"/>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5FF-EDBC-400A-8A68-55C45A98B834}"/>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601-EDBC-400A-8A68-55C45A98B834}"/>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603-EDBC-400A-8A68-55C45A98B834}"/>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605-EDBC-400A-8A68-55C45A98B834}"/>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607-EDBC-400A-8A68-55C45A98B834}"/>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609-EDBC-400A-8A68-55C45A98B834}"/>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60B-EDBC-400A-8A68-55C45A98B834}"/>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60D-EDBC-400A-8A68-55C45A98B83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P!$B$48:$B$72</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P!$AG$48:$AG$72</c:f>
              <c:numCache>
                <c:formatCode>0.00</c:formatCode>
                <c:ptCount val="25"/>
                <c:pt idx="0">
                  <c:v>1.3333333333333333</c:v>
                </c:pt>
                <c:pt idx="2">
                  <c:v>0.66666666666666663</c:v>
                </c:pt>
                <c:pt idx="5">
                  <c:v>1</c:v>
                </c:pt>
                <c:pt idx="8">
                  <c:v>2</c:v>
                </c:pt>
                <c:pt idx="9">
                  <c:v>3.3333333333333335</c:v>
                </c:pt>
                <c:pt idx="10">
                  <c:v>4.9999999999999991</c:v>
                </c:pt>
                <c:pt idx="11">
                  <c:v>0.66666666666666663</c:v>
                </c:pt>
                <c:pt idx="12">
                  <c:v>0.5</c:v>
                </c:pt>
                <c:pt idx="13">
                  <c:v>0.91666666666666663</c:v>
                </c:pt>
                <c:pt idx="18">
                  <c:v>0.5</c:v>
                </c:pt>
                <c:pt idx="19">
                  <c:v>0.5</c:v>
                </c:pt>
              </c:numCache>
            </c:numRef>
          </c:val>
          <c:extLst>
            <c:ext xmlns:c16="http://schemas.microsoft.com/office/drawing/2014/chart" uri="{C3380CC4-5D6E-409C-BE32-E72D297353CC}">
              <c16:uniqueId val="{00000045-7A17-4F8A-85C3-B3EF688A0E3B}"/>
            </c:ext>
          </c:extLst>
        </c:ser>
        <c:ser>
          <c:idx val="31"/>
          <c:order val="31"/>
          <c:tx>
            <c:strRef>
              <c:f>P!$AH$46:$AH$47</c:f>
              <c:strCache>
                <c:ptCount val="1"/>
                <c:pt idx="0">
                  <c:v>13-09-22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60F-EDBC-400A-8A68-55C45A98B83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611-EDBC-400A-8A68-55C45A98B83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613-EDBC-400A-8A68-55C45A98B83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615-EDBC-400A-8A68-55C45A98B83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617-EDBC-400A-8A68-55C45A98B83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619-EDBC-400A-8A68-55C45A98B83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61B-EDBC-400A-8A68-55C45A98B83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61D-EDBC-400A-8A68-55C45A98B83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61F-EDBC-400A-8A68-55C45A98B83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621-EDBC-400A-8A68-55C45A98B834}"/>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623-EDBC-400A-8A68-55C45A98B834}"/>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625-EDBC-400A-8A68-55C45A98B834}"/>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627-EDBC-400A-8A68-55C45A98B834}"/>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629-EDBC-400A-8A68-55C45A98B834}"/>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62B-EDBC-400A-8A68-55C45A98B834}"/>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62D-EDBC-400A-8A68-55C45A98B834}"/>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62F-EDBC-400A-8A68-55C45A98B834}"/>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631-EDBC-400A-8A68-55C45A98B834}"/>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633-EDBC-400A-8A68-55C45A98B834}"/>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635-EDBC-400A-8A68-55C45A98B834}"/>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637-EDBC-400A-8A68-55C45A98B834}"/>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639-EDBC-400A-8A68-55C45A98B834}"/>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63B-EDBC-400A-8A68-55C45A98B834}"/>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63D-EDBC-400A-8A68-55C45A98B834}"/>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63F-EDBC-400A-8A68-55C45A98B83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P!$B$48:$B$72</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P!$AH$48:$AH$72</c:f>
              <c:numCache>
                <c:formatCode>0.00</c:formatCode>
                <c:ptCount val="25"/>
                <c:pt idx="3">
                  <c:v>2.833333333333333</c:v>
                </c:pt>
                <c:pt idx="4">
                  <c:v>1.8333333333333335</c:v>
                </c:pt>
                <c:pt idx="5">
                  <c:v>1</c:v>
                </c:pt>
                <c:pt idx="8">
                  <c:v>1</c:v>
                </c:pt>
                <c:pt idx="9">
                  <c:v>3.6666666666666665</c:v>
                </c:pt>
                <c:pt idx="10">
                  <c:v>4.75</c:v>
                </c:pt>
                <c:pt idx="11">
                  <c:v>2.4166666666666665</c:v>
                </c:pt>
              </c:numCache>
            </c:numRef>
          </c:val>
          <c:extLst>
            <c:ext xmlns:c16="http://schemas.microsoft.com/office/drawing/2014/chart" uri="{C3380CC4-5D6E-409C-BE32-E72D297353CC}">
              <c16:uniqueId val="{00000046-7A17-4F8A-85C3-B3EF688A0E3B}"/>
            </c:ext>
          </c:extLst>
        </c:ser>
        <c:ser>
          <c:idx val="32"/>
          <c:order val="32"/>
          <c:tx>
            <c:strRef>
              <c:f>P!$AI$46:$AI$47</c:f>
              <c:strCache>
                <c:ptCount val="1"/>
                <c:pt idx="0">
                  <c:v>13-10-22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641-EDBC-400A-8A68-55C45A98B83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643-EDBC-400A-8A68-55C45A98B83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645-EDBC-400A-8A68-55C45A98B83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647-EDBC-400A-8A68-55C45A98B83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649-EDBC-400A-8A68-55C45A98B83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64B-EDBC-400A-8A68-55C45A98B83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64D-EDBC-400A-8A68-55C45A98B83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64F-EDBC-400A-8A68-55C45A98B83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651-EDBC-400A-8A68-55C45A98B83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653-EDBC-400A-8A68-55C45A98B834}"/>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655-EDBC-400A-8A68-55C45A98B834}"/>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657-EDBC-400A-8A68-55C45A98B834}"/>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659-EDBC-400A-8A68-55C45A98B834}"/>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65B-EDBC-400A-8A68-55C45A98B834}"/>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65D-EDBC-400A-8A68-55C45A98B834}"/>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65F-EDBC-400A-8A68-55C45A98B834}"/>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661-EDBC-400A-8A68-55C45A98B834}"/>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663-EDBC-400A-8A68-55C45A98B834}"/>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665-EDBC-400A-8A68-55C45A98B834}"/>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667-EDBC-400A-8A68-55C45A98B834}"/>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669-EDBC-400A-8A68-55C45A98B834}"/>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66B-EDBC-400A-8A68-55C45A98B834}"/>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66D-EDBC-400A-8A68-55C45A98B834}"/>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66F-EDBC-400A-8A68-55C45A98B834}"/>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671-EDBC-400A-8A68-55C45A98B83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P!$B$48:$B$72</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P!$AI$48:$AI$72</c:f>
              <c:numCache>
                <c:formatCode>0.00</c:formatCode>
                <c:ptCount val="25"/>
                <c:pt idx="2">
                  <c:v>0.75</c:v>
                </c:pt>
                <c:pt idx="5">
                  <c:v>0.75</c:v>
                </c:pt>
                <c:pt idx="8">
                  <c:v>3.4166666666666665</c:v>
                </c:pt>
                <c:pt idx="9">
                  <c:v>4</c:v>
                </c:pt>
                <c:pt idx="10">
                  <c:v>6.75</c:v>
                </c:pt>
                <c:pt idx="11">
                  <c:v>0.83333333333333337</c:v>
                </c:pt>
                <c:pt idx="17">
                  <c:v>0.5</c:v>
                </c:pt>
              </c:numCache>
            </c:numRef>
          </c:val>
          <c:extLst>
            <c:ext xmlns:c16="http://schemas.microsoft.com/office/drawing/2014/chart" uri="{C3380CC4-5D6E-409C-BE32-E72D297353CC}">
              <c16:uniqueId val="{00000047-7A17-4F8A-85C3-B3EF688A0E3B}"/>
            </c:ext>
          </c:extLst>
        </c:ser>
        <c:ser>
          <c:idx val="33"/>
          <c:order val="33"/>
          <c:tx>
            <c:strRef>
              <c:f>P!$AJ$46:$AJ$47</c:f>
              <c:strCache>
                <c:ptCount val="1"/>
                <c:pt idx="0">
                  <c:v>14-09-22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673-EDBC-400A-8A68-55C45A98B83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675-EDBC-400A-8A68-55C45A98B83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677-EDBC-400A-8A68-55C45A98B83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679-EDBC-400A-8A68-55C45A98B83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67B-EDBC-400A-8A68-55C45A98B83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67D-EDBC-400A-8A68-55C45A98B83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67F-EDBC-400A-8A68-55C45A98B83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681-EDBC-400A-8A68-55C45A98B83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683-EDBC-400A-8A68-55C45A98B83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685-EDBC-400A-8A68-55C45A98B834}"/>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687-EDBC-400A-8A68-55C45A98B834}"/>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689-EDBC-400A-8A68-55C45A98B834}"/>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68B-EDBC-400A-8A68-55C45A98B834}"/>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68D-EDBC-400A-8A68-55C45A98B834}"/>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68F-EDBC-400A-8A68-55C45A98B834}"/>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691-EDBC-400A-8A68-55C45A98B834}"/>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693-EDBC-400A-8A68-55C45A98B834}"/>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695-EDBC-400A-8A68-55C45A98B834}"/>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697-EDBC-400A-8A68-55C45A98B834}"/>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699-EDBC-400A-8A68-55C45A98B834}"/>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69B-EDBC-400A-8A68-55C45A98B834}"/>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69D-EDBC-400A-8A68-55C45A98B834}"/>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69F-EDBC-400A-8A68-55C45A98B834}"/>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6A1-EDBC-400A-8A68-55C45A98B834}"/>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6A3-EDBC-400A-8A68-55C45A98B83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P!$B$48:$B$72</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P!$AJ$48:$AJ$72</c:f>
              <c:numCache>
                <c:formatCode>0.00</c:formatCode>
                <c:ptCount val="25"/>
                <c:pt idx="4">
                  <c:v>0.58333333333333337</c:v>
                </c:pt>
                <c:pt idx="6">
                  <c:v>0.33333333333333331</c:v>
                </c:pt>
                <c:pt idx="10">
                  <c:v>3.1666666666666665</c:v>
                </c:pt>
                <c:pt idx="11">
                  <c:v>1.3333333333333333</c:v>
                </c:pt>
                <c:pt idx="12">
                  <c:v>0.58333333333333337</c:v>
                </c:pt>
                <c:pt idx="17">
                  <c:v>2</c:v>
                </c:pt>
                <c:pt idx="20">
                  <c:v>0.58333333333333337</c:v>
                </c:pt>
              </c:numCache>
            </c:numRef>
          </c:val>
          <c:extLst>
            <c:ext xmlns:c16="http://schemas.microsoft.com/office/drawing/2014/chart" uri="{C3380CC4-5D6E-409C-BE32-E72D297353CC}">
              <c16:uniqueId val="{00000048-7A17-4F8A-85C3-B3EF688A0E3B}"/>
            </c:ext>
          </c:extLst>
        </c:ser>
        <c:ser>
          <c:idx val="34"/>
          <c:order val="34"/>
          <c:tx>
            <c:strRef>
              <c:f>P!$AK$46:$AK$47</c:f>
              <c:strCache>
                <c:ptCount val="1"/>
                <c:pt idx="0">
                  <c:v>14-10-22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6A5-EDBC-400A-8A68-55C45A98B83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6A7-EDBC-400A-8A68-55C45A98B83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6A9-EDBC-400A-8A68-55C45A98B83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6AB-EDBC-400A-8A68-55C45A98B83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6AD-EDBC-400A-8A68-55C45A98B83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6AF-EDBC-400A-8A68-55C45A98B83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6B1-EDBC-400A-8A68-55C45A98B83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6B3-EDBC-400A-8A68-55C45A98B83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6B5-EDBC-400A-8A68-55C45A98B83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6B7-EDBC-400A-8A68-55C45A98B834}"/>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6B9-EDBC-400A-8A68-55C45A98B834}"/>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6BB-EDBC-400A-8A68-55C45A98B834}"/>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6BD-EDBC-400A-8A68-55C45A98B834}"/>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6BF-EDBC-400A-8A68-55C45A98B834}"/>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6C1-EDBC-400A-8A68-55C45A98B834}"/>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6C3-EDBC-400A-8A68-55C45A98B834}"/>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6C5-EDBC-400A-8A68-55C45A98B834}"/>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6C7-EDBC-400A-8A68-55C45A98B834}"/>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6C9-EDBC-400A-8A68-55C45A98B834}"/>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6CB-EDBC-400A-8A68-55C45A98B834}"/>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6CD-EDBC-400A-8A68-55C45A98B834}"/>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6CF-EDBC-400A-8A68-55C45A98B834}"/>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6D1-EDBC-400A-8A68-55C45A98B834}"/>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6D3-EDBC-400A-8A68-55C45A98B834}"/>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6D5-EDBC-400A-8A68-55C45A98B83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P!$B$48:$B$72</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P!$AK$48:$AK$72</c:f>
              <c:numCache>
                <c:formatCode>0.00</c:formatCode>
                <c:ptCount val="25"/>
                <c:pt idx="2">
                  <c:v>0.75</c:v>
                </c:pt>
                <c:pt idx="5">
                  <c:v>0.75</c:v>
                </c:pt>
                <c:pt idx="8">
                  <c:v>3</c:v>
                </c:pt>
                <c:pt idx="9">
                  <c:v>4.166666666666667</c:v>
                </c:pt>
                <c:pt idx="10">
                  <c:v>6.833333333333333</c:v>
                </c:pt>
                <c:pt idx="17">
                  <c:v>1.0833333333333333</c:v>
                </c:pt>
              </c:numCache>
            </c:numRef>
          </c:val>
          <c:extLst>
            <c:ext xmlns:c16="http://schemas.microsoft.com/office/drawing/2014/chart" uri="{C3380CC4-5D6E-409C-BE32-E72D297353CC}">
              <c16:uniqueId val="{00000049-7A17-4F8A-85C3-B3EF688A0E3B}"/>
            </c:ext>
          </c:extLst>
        </c:ser>
        <c:ser>
          <c:idx val="35"/>
          <c:order val="35"/>
          <c:tx>
            <c:strRef>
              <c:f>P!$AL$46:$AL$47</c:f>
              <c:strCache>
                <c:ptCount val="1"/>
                <c:pt idx="0">
                  <c:v>14-11-22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6D7-EDBC-400A-8A68-55C45A98B83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6D9-EDBC-400A-8A68-55C45A98B83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6DB-EDBC-400A-8A68-55C45A98B83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6DD-EDBC-400A-8A68-55C45A98B83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6DF-EDBC-400A-8A68-55C45A98B83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6E1-EDBC-400A-8A68-55C45A98B83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6E3-EDBC-400A-8A68-55C45A98B83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6E5-EDBC-400A-8A68-55C45A98B83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6E7-EDBC-400A-8A68-55C45A98B83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6E9-EDBC-400A-8A68-55C45A98B834}"/>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6EB-EDBC-400A-8A68-55C45A98B834}"/>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6ED-EDBC-400A-8A68-55C45A98B834}"/>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6EF-EDBC-400A-8A68-55C45A98B834}"/>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6F1-EDBC-400A-8A68-55C45A98B834}"/>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6F3-EDBC-400A-8A68-55C45A98B834}"/>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6F5-EDBC-400A-8A68-55C45A98B834}"/>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6F7-EDBC-400A-8A68-55C45A98B834}"/>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6F9-EDBC-400A-8A68-55C45A98B834}"/>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6FB-EDBC-400A-8A68-55C45A98B834}"/>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6FD-EDBC-400A-8A68-55C45A98B834}"/>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6FF-EDBC-400A-8A68-55C45A98B834}"/>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701-EDBC-400A-8A68-55C45A98B834}"/>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703-EDBC-400A-8A68-55C45A98B834}"/>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705-EDBC-400A-8A68-55C45A98B834}"/>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707-EDBC-400A-8A68-55C45A98B83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P!$B$48:$B$72</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P!$AL$48:$AL$72</c:f>
              <c:numCache>
                <c:formatCode>0.00</c:formatCode>
                <c:ptCount val="25"/>
                <c:pt idx="0">
                  <c:v>1.4166666666666665</c:v>
                </c:pt>
                <c:pt idx="2">
                  <c:v>1</c:v>
                </c:pt>
                <c:pt idx="5">
                  <c:v>1</c:v>
                </c:pt>
                <c:pt idx="8">
                  <c:v>3</c:v>
                </c:pt>
                <c:pt idx="9">
                  <c:v>3.3333333333333335</c:v>
                </c:pt>
                <c:pt idx="10">
                  <c:v>4.9999999999999991</c:v>
                </c:pt>
                <c:pt idx="12">
                  <c:v>0.33333333333333331</c:v>
                </c:pt>
                <c:pt idx="13">
                  <c:v>0.41666666666666669</c:v>
                </c:pt>
                <c:pt idx="17">
                  <c:v>0.41666666666666669</c:v>
                </c:pt>
                <c:pt idx="18">
                  <c:v>0.25</c:v>
                </c:pt>
                <c:pt idx="19">
                  <c:v>0.5</c:v>
                </c:pt>
                <c:pt idx="20">
                  <c:v>0.33333333333333331</c:v>
                </c:pt>
              </c:numCache>
            </c:numRef>
          </c:val>
          <c:extLst>
            <c:ext xmlns:c16="http://schemas.microsoft.com/office/drawing/2014/chart" uri="{C3380CC4-5D6E-409C-BE32-E72D297353CC}">
              <c16:uniqueId val="{0000004A-7A17-4F8A-85C3-B3EF688A0E3B}"/>
            </c:ext>
          </c:extLst>
        </c:ser>
        <c:ser>
          <c:idx val="36"/>
          <c:order val="36"/>
          <c:tx>
            <c:strRef>
              <c:f>P!$AM$46:$AM$47</c:f>
              <c:strCache>
                <c:ptCount val="1"/>
                <c:pt idx="0">
                  <c:v>15-09-22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709-EDBC-400A-8A68-55C45A98B83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70B-EDBC-400A-8A68-55C45A98B83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70D-EDBC-400A-8A68-55C45A98B83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70F-EDBC-400A-8A68-55C45A98B83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711-EDBC-400A-8A68-55C45A98B83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713-EDBC-400A-8A68-55C45A98B83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715-EDBC-400A-8A68-55C45A98B83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717-EDBC-400A-8A68-55C45A98B83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719-EDBC-400A-8A68-55C45A98B83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71B-EDBC-400A-8A68-55C45A98B834}"/>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71D-EDBC-400A-8A68-55C45A98B834}"/>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71F-EDBC-400A-8A68-55C45A98B834}"/>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721-EDBC-400A-8A68-55C45A98B834}"/>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723-EDBC-400A-8A68-55C45A98B834}"/>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725-EDBC-400A-8A68-55C45A98B834}"/>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727-EDBC-400A-8A68-55C45A98B834}"/>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729-EDBC-400A-8A68-55C45A98B834}"/>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72B-EDBC-400A-8A68-55C45A98B834}"/>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72D-EDBC-400A-8A68-55C45A98B834}"/>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72F-EDBC-400A-8A68-55C45A98B834}"/>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731-EDBC-400A-8A68-55C45A98B834}"/>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733-EDBC-400A-8A68-55C45A98B834}"/>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735-EDBC-400A-8A68-55C45A98B834}"/>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737-EDBC-400A-8A68-55C45A98B834}"/>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739-EDBC-400A-8A68-55C45A98B83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P!$B$48:$B$72</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P!$AM$48:$AM$72</c:f>
              <c:numCache>
                <c:formatCode>0.00</c:formatCode>
                <c:ptCount val="25"/>
                <c:pt idx="5">
                  <c:v>1</c:v>
                </c:pt>
                <c:pt idx="6">
                  <c:v>0.66666666666666663</c:v>
                </c:pt>
                <c:pt idx="8">
                  <c:v>5.1666666666666661</c:v>
                </c:pt>
                <c:pt idx="9">
                  <c:v>2</c:v>
                </c:pt>
                <c:pt idx="10">
                  <c:v>4.583333333333333</c:v>
                </c:pt>
                <c:pt idx="11">
                  <c:v>1.3333333333333333</c:v>
                </c:pt>
                <c:pt idx="12">
                  <c:v>1.0833333333333333</c:v>
                </c:pt>
                <c:pt idx="17">
                  <c:v>1.1666666666666667</c:v>
                </c:pt>
              </c:numCache>
            </c:numRef>
          </c:val>
          <c:extLst>
            <c:ext xmlns:c16="http://schemas.microsoft.com/office/drawing/2014/chart" uri="{C3380CC4-5D6E-409C-BE32-E72D297353CC}">
              <c16:uniqueId val="{0000004B-7A17-4F8A-85C3-B3EF688A0E3B}"/>
            </c:ext>
          </c:extLst>
        </c:ser>
        <c:ser>
          <c:idx val="37"/>
          <c:order val="37"/>
          <c:tx>
            <c:strRef>
              <c:f>P!$AN$46:$AN$47</c:f>
              <c:strCache>
                <c:ptCount val="1"/>
                <c:pt idx="0">
                  <c:v>15-10-22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73B-EDBC-400A-8A68-55C45A98B83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73D-EDBC-400A-8A68-55C45A98B83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73F-EDBC-400A-8A68-55C45A98B83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741-EDBC-400A-8A68-55C45A98B83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743-EDBC-400A-8A68-55C45A98B83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745-EDBC-400A-8A68-55C45A98B83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747-EDBC-400A-8A68-55C45A98B83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749-EDBC-400A-8A68-55C45A98B83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74B-EDBC-400A-8A68-55C45A98B83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74D-EDBC-400A-8A68-55C45A98B834}"/>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74F-EDBC-400A-8A68-55C45A98B834}"/>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751-EDBC-400A-8A68-55C45A98B834}"/>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753-EDBC-400A-8A68-55C45A98B834}"/>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755-EDBC-400A-8A68-55C45A98B834}"/>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757-EDBC-400A-8A68-55C45A98B834}"/>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759-EDBC-400A-8A68-55C45A98B834}"/>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75B-EDBC-400A-8A68-55C45A98B834}"/>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75D-EDBC-400A-8A68-55C45A98B834}"/>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75F-EDBC-400A-8A68-55C45A98B834}"/>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761-EDBC-400A-8A68-55C45A98B834}"/>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763-EDBC-400A-8A68-55C45A98B834}"/>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765-EDBC-400A-8A68-55C45A98B834}"/>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767-EDBC-400A-8A68-55C45A98B834}"/>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769-EDBC-400A-8A68-55C45A98B834}"/>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76B-EDBC-400A-8A68-55C45A98B83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P!$B$48:$B$72</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P!$AN$48:$AN$72</c:f>
              <c:numCache>
                <c:formatCode>0.00</c:formatCode>
                <c:ptCount val="25"/>
                <c:pt idx="2">
                  <c:v>0.83333333333333326</c:v>
                </c:pt>
                <c:pt idx="5">
                  <c:v>0.83333333333333337</c:v>
                </c:pt>
                <c:pt idx="8">
                  <c:v>2.9166666666666665</c:v>
                </c:pt>
                <c:pt idx="9">
                  <c:v>4</c:v>
                </c:pt>
                <c:pt idx="10">
                  <c:v>6.666666666666667</c:v>
                </c:pt>
                <c:pt idx="11">
                  <c:v>0.33333333333333331</c:v>
                </c:pt>
                <c:pt idx="13">
                  <c:v>0.75</c:v>
                </c:pt>
              </c:numCache>
            </c:numRef>
          </c:val>
          <c:extLst>
            <c:ext xmlns:c16="http://schemas.microsoft.com/office/drawing/2014/chart" uri="{C3380CC4-5D6E-409C-BE32-E72D297353CC}">
              <c16:uniqueId val="{0000004C-7A17-4F8A-85C3-B3EF688A0E3B}"/>
            </c:ext>
          </c:extLst>
        </c:ser>
        <c:ser>
          <c:idx val="38"/>
          <c:order val="38"/>
          <c:tx>
            <c:strRef>
              <c:f>P!$AO$46:$AO$47</c:f>
              <c:strCache>
                <c:ptCount val="1"/>
                <c:pt idx="0">
                  <c:v>15-11-22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76D-EDBC-400A-8A68-55C45A98B83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76F-EDBC-400A-8A68-55C45A98B83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771-EDBC-400A-8A68-55C45A98B83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773-EDBC-400A-8A68-55C45A98B83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775-EDBC-400A-8A68-55C45A98B83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777-EDBC-400A-8A68-55C45A98B83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779-EDBC-400A-8A68-55C45A98B83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77B-EDBC-400A-8A68-55C45A98B83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77D-EDBC-400A-8A68-55C45A98B83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77F-EDBC-400A-8A68-55C45A98B834}"/>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781-EDBC-400A-8A68-55C45A98B834}"/>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783-EDBC-400A-8A68-55C45A98B834}"/>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785-EDBC-400A-8A68-55C45A98B834}"/>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787-EDBC-400A-8A68-55C45A98B834}"/>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789-EDBC-400A-8A68-55C45A98B834}"/>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78B-EDBC-400A-8A68-55C45A98B834}"/>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78D-EDBC-400A-8A68-55C45A98B834}"/>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78F-EDBC-400A-8A68-55C45A98B834}"/>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791-EDBC-400A-8A68-55C45A98B834}"/>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793-EDBC-400A-8A68-55C45A98B834}"/>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795-EDBC-400A-8A68-55C45A98B834}"/>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797-EDBC-400A-8A68-55C45A98B834}"/>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799-EDBC-400A-8A68-55C45A98B834}"/>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79B-EDBC-400A-8A68-55C45A98B834}"/>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79D-EDBC-400A-8A68-55C45A98B83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P!$B$48:$B$72</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P!$AO$48:$AO$72</c:f>
              <c:numCache>
                <c:formatCode>0.00</c:formatCode>
                <c:ptCount val="25"/>
                <c:pt idx="0">
                  <c:v>1.5833333333333333</c:v>
                </c:pt>
                <c:pt idx="2">
                  <c:v>1.6666666666666667</c:v>
                </c:pt>
                <c:pt idx="5">
                  <c:v>1</c:v>
                </c:pt>
                <c:pt idx="8">
                  <c:v>2.6666666666666665</c:v>
                </c:pt>
                <c:pt idx="9">
                  <c:v>3</c:v>
                </c:pt>
                <c:pt idx="10">
                  <c:v>3.75</c:v>
                </c:pt>
                <c:pt idx="11">
                  <c:v>0.66666666666666663</c:v>
                </c:pt>
                <c:pt idx="13">
                  <c:v>1.0833333333333333</c:v>
                </c:pt>
                <c:pt idx="17">
                  <c:v>0.33333333333333331</c:v>
                </c:pt>
                <c:pt idx="18">
                  <c:v>0.33333333333333331</c:v>
                </c:pt>
                <c:pt idx="20">
                  <c:v>0.33333333333333331</c:v>
                </c:pt>
                <c:pt idx="21">
                  <c:v>0.5</c:v>
                </c:pt>
              </c:numCache>
            </c:numRef>
          </c:val>
          <c:extLst>
            <c:ext xmlns:c16="http://schemas.microsoft.com/office/drawing/2014/chart" uri="{C3380CC4-5D6E-409C-BE32-E72D297353CC}">
              <c16:uniqueId val="{0000004D-7A17-4F8A-85C3-B3EF688A0E3B}"/>
            </c:ext>
          </c:extLst>
        </c:ser>
        <c:ser>
          <c:idx val="39"/>
          <c:order val="39"/>
          <c:tx>
            <c:strRef>
              <c:f>P!$AP$46:$AP$47</c:f>
              <c:strCache>
                <c:ptCount val="1"/>
                <c:pt idx="0">
                  <c:v>16-09-22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79F-EDBC-400A-8A68-55C45A98B83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7A1-EDBC-400A-8A68-55C45A98B83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7A3-EDBC-400A-8A68-55C45A98B83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7A5-EDBC-400A-8A68-55C45A98B83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7A7-EDBC-400A-8A68-55C45A98B83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7A9-EDBC-400A-8A68-55C45A98B83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7AB-EDBC-400A-8A68-55C45A98B83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7AD-EDBC-400A-8A68-55C45A98B83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7AF-EDBC-400A-8A68-55C45A98B83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7B1-EDBC-400A-8A68-55C45A98B834}"/>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7B3-EDBC-400A-8A68-55C45A98B834}"/>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7B5-EDBC-400A-8A68-55C45A98B834}"/>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7B7-EDBC-400A-8A68-55C45A98B834}"/>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7B9-EDBC-400A-8A68-55C45A98B834}"/>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7BB-EDBC-400A-8A68-55C45A98B834}"/>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7BD-EDBC-400A-8A68-55C45A98B834}"/>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7BF-EDBC-400A-8A68-55C45A98B834}"/>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7C1-EDBC-400A-8A68-55C45A98B834}"/>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7C3-EDBC-400A-8A68-55C45A98B834}"/>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7C5-EDBC-400A-8A68-55C45A98B834}"/>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7C7-EDBC-400A-8A68-55C45A98B834}"/>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7C9-EDBC-400A-8A68-55C45A98B834}"/>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7CB-EDBC-400A-8A68-55C45A98B834}"/>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7CD-EDBC-400A-8A68-55C45A98B834}"/>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7CF-EDBC-400A-8A68-55C45A98B83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P!$B$48:$B$72</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P!$AP$48:$AP$72</c:f>
              <c:numCache>
                <c:formatCode>0.00</c:formatCode>
                <c:ptCount val="25"/>
                <c:pt idx="5">
                  <c:v>1</c:v>
                </c:pt>
                <c:pt idx="6">
                  <c:v>1</c:v>
                </c:pt>
                <c:pt idx="8">
                  <c:v>3.5</c:v>
                </c:pt>
                <c:pt idx="9">
                  <c:v>3.5</c:v>
                </c:pt>
                <c:pt idx="10">
                  <c:v>5.583333333333333</c:v>
                </c:pt>
                <c:pt idx="11">
                  <c:v>0.83333333333333337</c:v>
                </c:pt>
                <c:pt idx="12">
                  <c:v>0.41666666666666669</c:v>
                </c:pt>
                <c:pt idx="20">
                  <c:v>1.25</c:v>
                </c:pt>
              </c:numCache>
            </c:numRef>
          </c:val>
          <c:extLst>
            <c:ext xmlns:c16="http://schemas.microsoft.com/office/drawing/2014/chart" uri="{C3380CC4-5D6E-409C-BE32-E72D297353CC}">
              <c16:uniqueId val="{0000004E-7A17-4F8A-85C3-B3EF688A0E3B}"/>
            </c:ext>
          </c:extLst>
        </c:ser>
        <c:ser>
          <c:idx val="40"/>
          <c:order val="40"/>
          <c:tx>
            <c:strRef>
              <c:f>P!$AQ$46:$AQ$47</c:f>
              <c:strCache>
                <c:ptCount val="1"/>
                <c:pt idx="0">
                  <c:v>16-11-22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7D1-EDBC-400A-8A68-55C45A98B83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7D3-EDBC-400A-8A68-55C45A98B83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7D5-EDBC-400A-8A68-55C45A98B83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7D7-EDBC-400A-8A68-55C45A98B83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7D9-EDBC-400A-8A68-55C45A98B83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7DB-EDBC-400A-8A68-55C45A98B83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7DD-EDBC-400A-8A68-55C45A98B83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7DF-EDBC-400A-8A68-55C45A98B83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7E1-EDBC-400A-8A68-55C45A98B83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7E3-EDBC-400A-8A68-55C45A98B834}"/>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7E5-EDBC-400A-8A68-55C45A98B834}"/>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7E7-EDBC-400A-8A68-55C45A98B834}"/>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7E9-EDBC-400A-8A68-55C45A98B834}"/>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7EB-EDBC-400A-8A68-55C45A98B834}"/>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7ED-EDBC-400A-8A68-55C45A98B834}"/>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7EF-EDBC-400A-8A68-55C45A98B834}"/>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7F1-EDBC-400A-8A68-55C45A98B834}"/>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7F3-EDBC-400A-8A68-55C45A98B834}"/>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7F5-EDBC-400A-8A68-55C45A98B834}"/>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7F7-EDBC-400A-8A68-55C45A98B834}"/>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7F9-EDBC-400A-8A68-55C45A98B834}"/>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7FB-EDBC-400A-8A68-55C45A98B834}"/>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7FD-EDBC-400A-8A68-55C45A98B834}"/>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7FF-EDBC-400A-8A68-55C45A98B834}"/>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801-EDBC-400A-8A68-55C45A98B83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P!$B$48:$B$72</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P!$AQ$48:$AQ$72</c:f>
              <c:numCache>
                <c:formatCode>0.00</c:formatCode>
                <c:ptCount val="25"/>
                <c:pt idx="0">
                  <c:v>1.0833333333333333</c:v>
                </c:pt>
                <c:pt idx="2">
                  <c:v>1.6666666666666667</c:v>
                </c:pt>
                <c:pt idx="5">
                  <c:v>1</c:v>
                </c:pt>
                <c:pt idx="7">
                  <c:v>0.5</c:v>
                </c:pt>
                <c:pt idx="8">
                  <c:v>1.8333333333333333</c:v>
                </c:pt>
                <c:pt idx="9">
                  <c:v>3.75</c:v>
                </c:pt>
                <c:pt idx="10">
                  <c:v>4.916666666666667</c:v>
                </c:pt>
                <c:pt idx="11">
                  <c:v>0.66666666666666663</c:v>
                </c:pt>
                <c:pt idx="13">
                  <c:v>0.66666666666666663</c:v>
                </c:pt>
                <c:pt idx="14">
                  <c:v>0.66666666666666663</c:v>
                </c:pt>
                <c:pt idx="17">
                  <c:v>0.41666666666666669</c:v>
                </c:pt>
              </c:numCache>
            </c:numRef>
          </c:val>
          <c:extLst>
            <c:ext xmlns:c16="http://schemas.microsoft.com/office/drawing/2014/chart" uri="{C3380CC4-5D6E-409C-BE32-E72D297353CC}">
              <c16:uniqueId val="{0000004F-7A17-4F8A-85C3-B3EF688A0E3B}"/>
            </c:ext>
          </c:extLst>
        </c:ser>
        <c:ser>
          <c:idx val="41"/>
          <c:order val="41"/>
          <c:tx>
            <c:strRef>
              <c:f>P!$AR$46:$AR$47</c:f>
              <c:strCache>
                <c:ptCount val="1"/>
                <c:pt idx="0">
                  <c:v>17-09-22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803-EDBC-400A-8A68-55C45A98B83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805-EDBC-400A-8A68-55C45A98B83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807-EDBC-400A-8A68-55C45A98B83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809-EDBC-400A-8A68-55C45A98B83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80B-EDBC-400A-8A68-55C45A98B83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80D-EDBC-400A-8A68-55C45A98B83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80F-EDBC-400A-8A68-55C45A98B83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811-EDBC-400A-8A68-55C45A98B83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813-EDBC-400A-8A68-55C45A98B83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815-EDBC-400A-8A68-55C45A98B834}"/>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817-EDBC-400A-8A68-55C45A98B834}"/>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819-EDBC-400A-8A68-55C45A98B834}"/>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81B-EDBC-400A-8A68-55C45A98B834}"/>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81D-EDBC-400A-8A68-55C45A98B834}"/>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81F-EDBC-400A-8A68-55C45A98B834}"/>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821-EDBC-400A-8A68-55C45A98B834}"/>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823-EDBC-400A-8A68-55C45A98B834}"/>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825-EDBC-400A-8A68-55C45A98B834}"/>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827-EDBC-400A-8A68-55C45A98B834}"/>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829-EDBC-400A-8A68-55C45A98B834}"/>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82B-EDBC-400A-8A68-55C45A98B834}"/>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82D-EDBC-400A-8A68-55C45A98B834}"/>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82F-EDBC-400A-8A68-55C45A98B834}"/>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831-EDBC-400A-8A68-55C45A98B834}"/>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833-EDBC-400A-8A68-55C45A98B83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P!$B$48:$B$72</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P!$AR$48:$AR$72</c:f>
              <c:numCache>
                <c:formatCode>0.00</c:formatCode>
                <c:ptCount val="25"/>
                <c:pt idx="5">
                  <c:v>1</c:v>
                </c:pt>
                <c:pt idx="6">
                  <c:v>1</c:v>
                </c:pt>
                <c:pt idx="8">
                  <c:v>3.5</c:v>
                </c:pt>
                <c:pt idx="9">
                  <c:v>3.5</c:v>
                </c:pt>
                <c:pt idx="10">
                  <c:v>6.4166666666666661</c:v>
                </c:pt>
                <c:pt idx="11">
                  <c:v>0.83333333333333337</c:v>
                </c:pt>
                <c:pt idx="15">
                  <c:v>0.75</c:v>
                </c:pt>
              </c:numCache>
            </c:numRef>
          </c:val>
          <c:extLst>
            <c:ext xmlns:c16="http://schemas.microsoft.com/office/drawing/2014/chart" uri="{C3380CC4-5D6E-409C-BE32-E72D297353CC}">
              <c16:uniqueId val="{00000050-7A17-4F8A-85C3-B3EF688A0E3B}"/>
            </c:ext>
          </c:extLst>
        </c:ser>
        <c:ser>
          <c:idx val="42"/>
          <c:order val="42"/>
          <c:tx>
            <c:strRef>
              <c:f>P!$AS$46:$AS$47</c:f>
              <c:strCache>
                <c:ptCount val="1"/>
                <c:pt idx="0">
                  <c:v>17-10-22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835-EDBC-400A-8A68-55C45A98B83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837-EDBC-400A-8A68-55C45A98B83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839-EDBC-400A-8A68-55C45A98B83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83B-EDBC-400A-8A68-55C45A98B83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83D-EDBC-400A-8A68-55C45A98B83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83F-EDBC-400A-8A68-55C45A98B83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841-EDBC-400A-8A68-55C45A98B83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843-EDBC-400A-8A68-55C45A98B83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845-EDBC-400A-8A68-55C45A98B83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847-EDBC-400A-8A68-55C45A98B834}"/>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849-EDBC-400A-8A68-55C45A98B834}"/>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84B-EDBC-400A-8A68-55C45A98B834}"/>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84D-EDBC-400A-8A68-55C45A98B834}"/>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84F-EDBC-400A-8A68-55C45A98B834}"/>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851-EDBC-400A-8A68-55C45A98B834}"/>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853-EDBC-400A-8A68-55C45A98B834}"/>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855-EDBC-400A-8A68-55C45A98B834}"/>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857-EDBC-400A-8A68-55C45A98B834}"/>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859-EDBC-400A-8A68-55C45A98B834}"/>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85B-EDBC-400A-8A68-55C45A98B834}"/>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85D-EDBC-400A-8A68-55C45A98B834}"/>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85F-EDBC-400A-8A68-55C45A98B834}"/>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861-EDBC-400A-8A68-55C45A98B834}"/>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863-EDBC-400A-8A68-55C45A98B834}"/>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865-EDBC-400A-8A68-55C45A98B83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P!$B$48:$B$72</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P!$AS$48:$AS$72</c:f>
              <c:numCache>
                <c:formatCode>0.00</c:formatCode>
                <c:ptCount val="25"/>
                <c:pt idx="1">
                  <c:v>0.83333333333333337</c:v>
                </c:pt>
                <c:pt idx="2">
                  <c:v>0.75</c:v>
                </c:pt>
                <c:pt idx="5">
                  <c:v>1</c:v>
                </c:pt>
                <c:pt idx="8">
                  <c:v>3.0833333333333335</c:v>
                </c:pt>
                <c:pt idx="9">
                  <c:v>4</c:v>
                </c:pt>
                <c:pt idx="10">
                  <c:v>5.8333333333333339</c:v>
                </c:pt>
                <c:pt idx="12">
                  <c:v>0.66666666666666663</c:v>
                </c:pt>
                <c:pt idx="13">
                  <c:v>0.66666666666666663</c:v>
                </c:pt>
              </c:numCache>
            </c:numRef>
          </c:val>
          <c:extLst>
            <c:ext xmlns:c16="http://schemas.microsoft.com/office/drawing/2014/chart" uri="{C3380CC4-5D6E-409C-BE32-E72D297353CC}">
              <c16:uniqueId val="{00000051-7A17-4F8A-85C3-B3EF688A0E3B}"/>
            </c:ext>
          </c:extLst>
        </c:ser>
        <c:ser>
          <c:idx val="43"/>
          <c:order val="43"/>
          <c:tx>
            <c:strRef>
              <c:f>P!$AT$46:$AT$47</c:f>
              <c:strCache>
                <c:ptCount val="1"/>
                <c:pt idx="0">
                  <c:v>17-11-22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867-EDBC-400A-8A68-55C45A98B83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869-EDBC-400A-8A68-55C45A98B83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86B-EDBC-400A-8A68-55C45A98B83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86D-EDBC-400A-8A68-55C45A98B83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86F-EDBC-400A-8A68-55C45A98B83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871-EDBC-400A-8A68-55C45A98B83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873-EDBC-400A-8A68-55C45A98B83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875-EDBC-400A-8A68-55C45A98B83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877-EDBC-400A-8A68-55C45A98B83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879-EDBC-400A-8A68-55C45A98B834}"/>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87B-EDBC-400A-8A68-55C45A98B834}"/>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87D-EDBC-400A-8A68-55C45A98B834}"/>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87F-EDBC-400A-8A68-55C45A98B834}"/>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881-EDBC-400A-8A68-55C45A98B834}"/>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883-EDBC-400A-8A68-55C45A98B834}"/>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885-EDBC-400A-8A68-55C45A98B834}"/>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887-EDBC-400A-8A68-55C45A98B834}"/>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889-EDBC-400A-8A68-55C45A98B834}"/>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88B-EDBC-400A-8A68-55C45A98B834}"/>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88D-EDBC-400A-8A68-55C45A98B834}"/>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88F-EDBC-400A-8A68-55C45A98B834}"/>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891-EDBC-400A-8A68-55C45A98B834}"/>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893-EDBC-400A-8A68-55C45A98B834}"/>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895-EDBC-400A-8A68-55C45A98B834}"/>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897-EDBC-400A-8A68-55C45A98B83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P!$B$48:$B$72</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P!$AT$48:$AT$72</c:f>
              <c:numCache>
                <c:formatCode>0.00</c:formatCode>
                <c:ptCount val="25"/>
                <c:pt idx="0">
                  <c:v>0.75</c:v>
                </c:pt>
                <c:pt idx="1">
                  <c:v>1.1666666666666667</c:v>
                </c:pt>
                <c:pt idx="2">
                  <c:v>0.75</c:v>
                </c:pt>
                <c:pt idx="5">
                  <c:v>1</c:v>
                </c:pt>
                <c:pt idx="8">
                  <c:v>2.1666666666666665</c:v>
                </c:pt>
                <c:pt idx="9">
                  <c:v>3.3333333333333335</c:v>
                </c:pt>
                <c:pt idx="10">
                  <c:v>5.833333333333333</c:v>
                </c:pt>
                <c:pt idx="11">
                  <c:v>0.41666666666666669</c:v>
                </c:pt>
                <c:pt idx="13">
                  <c:v>0.41666666666666669</c:v>
                </c:pt>
                <c:pt idx="14">
                  <c:v>0.66666666666666663</c:v>
                </c:pt>
              </c:numCache>
            </c:numRef>
          </c:val>
          <c:extLst>
            <c:ext xmlns:c16="http://schemas.microsoft.com/office/drawing/2014/chart" uri="{C3380CC4-5D6E-409C-BE32-E72D297353CC}">
              <c16:uniqueId val="{00000052-7A17-4F8A-85C3-B3EF688A0E3B}"/>
            </c:ext>
          </c:extLst>
        </c:ser>
        <c:ser>
          <c:idx val="44"/>
          <c:order val="44"/>
          <c:tx>
            <c:strRef>
              <c:f>P!$AU$46:$AU$47</c:f>
              <c:strCache>
                <c:ptCount val="1"/>
                <c:pt idx="0">
                  <c:v>18-10-22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899-EDBC-400A-8A68-55C45A98B83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89B-EDBC-400A-8A68-55C45A98B83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89D-EDBC-400A-8A68-55C45A98B83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89F-EDBC-400A-8A68-55C45A98B83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8A1-EDBC-400A-8A68-55C45A98B83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8A3-EDBC-400A-8A68-55C45A98B83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8A5-EDBC-400A-8A68-55C45A98B83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8A7-EDBC-400A-8A68-55C45A98B83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8A9-EDBC-400A-8A68-55C45A98B83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8AB-EDBC-400A-8A68-55C45A98B834}"/>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8AD-EDBC-400A-8A68-55C45A98B834}"/>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8AF-EDBC-400A-8A68-55C45A98B834}"/>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8B1-EDBC-400A-8A68-55C45A98B834}"/>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8B3-EDBC-400A-8A68-55C45A98B834}"/>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8B5-EDBC-400A-8A68-55C45A98B834}"/>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8B7-EDBC-400A-8A68-55C45A98B834}"/>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8B9-EDBC-400A-8A68-55C45A98B834}"/>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8BB-EDBC-400A-8A68-55C45A98B834}"/>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8BD-EDBC-400A-8A68-55C45A98B834}"/>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8BF-EDBC-400A-8A68-55C45A98B834}"/>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8C1-EDBC-400A-8A68-55C45A98B834}"/>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8C3-EDBC-400A-8A68-55C45A98B834}"/>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8C5-EDBC-400A-8A68-55C45A98B834}"/>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8C7-EDBC-400A-8A68-55C45A98B834}"/>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8C9-EDBC-400A-8A68-55C45A98B83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P!$B$48:$B$72</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P!$AU$48:$AU$72</c:f>
              <c:numCache>
                <c:formatCode>0.00</c:formatCode>
                <c:ptCount val="25"/>
                <c:pt idx="1">
                  <c:v>0.66666666666666663</c:v>
                </c:pt>
                <c:pt idx="2">
                  <c:v>0.66666666666666663</c:v>
                </c:pt>
                <c:pt idx="5">
                  <c:v>1</c:v>
                </c:pt>
                <c:pt idx="8">
                  <c:v>1.75</c:v>
                </c:pt>
                <c:pt idx="9">
                  <c:v>5.416666666666667</c:v>
                </c:pt>
                <c:pt idx="10">
                  <c:v>3.5833333333333335</c:v>
                </c:pt>
                <c:pt idx="12">
                  <c:v>0.5</c:v>
                </c:pt>
                <c:pt idx="13">
                  <c:v>1.75</c:v>
                </c:pt>
              </c:numCache>
            </c:numRef>
          </c:val>
          <c:extLst>
            <c:ext xmlns:c16="http://schemas.microsoft.com/office/drawing/2014/chart" uri="{C3380CC4-5D6E-409C-BE32-E72D297353CC}">
              <c16:uniqueId val="{00000053-7A17-4F8A-85C3-B3EF688A0E3B}"/>
            </c:ext>
          </c:extLst>
        </c:ser>
        <c:ser>
          <c:idx val="45"/>
          <c:order val="45"/>
          <c:tx>
            <c:strRef>
              <c:f>P!$AV$46:$AV$47</c:f>
              <c:strCache>
                <c:ptCount val="1"/>
                <c:pt idx="0">
                  <c:v>18-11-22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8CB-EDBC-400A-8A68-55C45A98B83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8CD-EDBC-400A-8A68-55C45A98B83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8CF-EDBC-400A-8A68-55C45A98B83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8D1-EDBC-400A-8A68-55C45A98B83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8D3-EDBC-400A-8A68-55C45A98B83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8D5-EDBC-400A-8A68-55C45A98B83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8D7-EDBC-400A-8A68-55C45A98B83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8D9-EDBC-400A-8A68-55C45A98B83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8DB-EDBC-400A-8A68-55C45A98B83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8DD-EDBC-400A-8A68-55C45A98B834}"/>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8DF-EDBC-400A-8A68-55C45A98B834}"/>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8E1-EDBC-400A-8A68-55C45A98B834}"/>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8E3-EDBC-400A-8A68-55C45A98B834}"/>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8E5-EDBC-400A-8A68-55C45A98B834}"/>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8E7-EDBC-400A-8A68-55C45A98B834}"/>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8E9-EDBC-400A-8A68-55C45A98B834}"/>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8EB-EDBC-400A-8A68-55C45A98B834}"/>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8ED-EDBC-400A-8A68-55C45A98B834}"/>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8EF-EDBC-400A-8A68-55C45A98B834}"/>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8F1-EDBC-400A-8A68-55C45A98B834}"/>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8F3-EDBC-400A-8A68-55C45A98B834}"/>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8F5-EDBC-400A-8A68-55C45A98B834}"/>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8F7-EDBC-400A-8A68-55C45A98B834}"/>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8F9-EDBC-400A-8A68-55C45A98B834}"/>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8FB-EDBC-400A-8A68-55C45A98B83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P!$B$48:$B$72</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P!$AV$48:$AV$72</c:f>
              <c:numCache>
                <c:formatCode>0.00</c:formatCode>
                <c:ptCount val="25"/>
                <c:pt idx="0">
                  <c:v>0.33333333333333331</c:v>
                </c:pt>
                <c:pt idx="2">
                  <c:v>0.66666666666666663</c:v>
                </c:pt>
                <c:pt idx="5">
                  <c:v>1</c:v>
                </c:pt>
                <c:pt idx="8">
                  <c:v>6.666666666666667</c:v>
                </c:pt>
                <c:pt idx="10">
                  <c:v>7.333333333333333</c:v>
                </c:pt>
                <c:pt idx="13">
                  <c:v>0.33333333333333331</c:v>
                </c:pt>
              </c:numCache>
            </c:numRef>
          </c:val>
          <c:extLst>
            <c:ext xmlns:c16="http://schemas.microsoft.com/office/drawing/2014/chart" uri="{C3380CC4-5D6E-409C-BE32-E72D297353CC}">
              <c16:uniqueId val="{00000054-7A17-4F8A-85C3-B3EF688A0E3B}"/>
            </c:ext>
          </c:extLst>
        </c:ser>
        <c:ser>
          <c:idx val="46"/>
          <c:order val="46"/>
          <c:tx>
            <c:strRef>
              <c:f>P!$AW$46:$AW$47</c:f>
              <c:strCache>
                <c:ptCount val="1"/>
                <c:pt idx="0">
                  <c:v>19-09-22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8FD-EDBC-400A-8A68-55C45A98B83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8FF-EDBC-400A-8A68-55C45A98B83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901-EDBC-400A-8A68-55C45A98B83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903-EDBC-400A-8A68-55C45A98B83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905-EDBC-400A-8A68-55C45A98B83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907-EDBC-400A-8A68-55C45A98B83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909-EDBC-400A-8A68-55C45A98B83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90B-EDBC-400A-8A68-55C45A98B83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90D-EDBC-400A-8A68-55C45A98B83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90F-EDBC-400A-8A68-55C45A98B834}"/>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911-EDBC-400A-8A68-55C45A98B834}"/>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913-EDBC-400A-8A68-55C45A98B834}"/>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915-EDBC-400A-8A68-55C45A98B834}"/>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917-EDBC-400A-8A68-55C45A98B834}"/>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919-EDBC-400A-8A68-55C45A98B834}"/>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91B-EDBC-400A-8A68-55C45A98B834}"/>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91D-EDBC-400A-8A68-55C45A98B834}"/>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91F-EDBC-400A-8A68-55C45A98B834}"/>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921-EDBC-400A-8A68-55C45A98B834}"/>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923-EDBC-400A-8A68-55C45A98B834}"/>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925-EDBC-400A-8A68-55C45A98B834}"/>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927-EDBC-400A-8A68-55C45A98B834}"/>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929-EDBC-400A-8A68-55C45A98B834}"/>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92B-EDBC-400A-8A68-55C45A98B834}"/>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92D-EDBC-400A-8A68-55C45A98B83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P!$B$48:$B$72</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P!$AW$48:$AW$72</c:f>
              <c:numCache>
                <c:formatCode>0.00</c:formatCode>
                <c:ptCount val="25"/>
                <c:pt idx="0">
                  <c:v>0.5</c:v>
                </c:pt>
                <c:pt idx="2">
                  <c:v>0.33333333333333331</c:v>
                </c:pt>
                <c:pt idx="5">
                  <c:v>0.5</c:v>
                </c:pt>
                <c:pt idx="6">
                  <c:v>0.33333333333333331</c:v>
                </c:pt>
                <c:pt idx="8">
                  <c:v>5.083333333333333</c:v>
                </c:pt>
                <c:pt idx="9">
                  <c:v>0.75</c:v>
                </c:pt>
                <c:pt idx="10">
                  <c:v>5.666666666666667</c:v>
                </c:pt>
                <c:pt idx="11">
                  <c:v>0.91666666666666663</c:v>
                </c:pt>
                <c:pt idx="12">
                  <c:v>1.5833333333333335</c:v>
                </c:pt>
                <c:pt idx="15">
                  <c:v>1.5</c:v>
                </c:pt>
              </c:numCache>
            </c:numRef>
          </c:val>
          <c:extLst>
            <c:ext xmlns:c16="http://schemas.microsoft.com/office/drawing/2014/chart" uri="{C3380CC4-5D6E-409C-BE32-E72D297353CC}">
              <c16:uniqueId val="{00000055-7A17-4F8A-85C3-B3EF688A0E3B}"/>
            </c:ext>
          </c:extLst>
        </c:ser>
        <c:ser>
          <c:idx val="47"/>
          <c:order val="47"/>
          <c:tx>
            <c:strRef>
              <c:f>P!$AX$46:$AX$47</c:f>
              <c:strCache>
                <c:ptCount val="1"/>
                <c:pt idx="0">
                  <c:v>19-10-22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92F-EDBC-400A-8A68-55C45A98B83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931-EDBC-400A-8A68-55C45A98B83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933-EDBC-400A-8A68-55C45A98B83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935-EDBC-400A-8A68-55C45A98B83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937-EDBC-400A-8A68-55C45A98B83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939-EDBC-400A-8A68-55C45A98B83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93B-EDBC-400A-8A68-55C45A98B83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93D-EDBC-400A-8A68-55C45A98B83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93F-EDBC-400A-8A68-55C45A98B83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941-EDBC-400A-8A68-55C45A98B834}"/>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943-EDBC-400A-8A68-55C45A98B834}"/>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945-EDBC-400A-8A68-55C45A98B834}"/>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947-EDBC-400A-8A68-55C45A98B834}"/>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949-EDBC-400A-8A68-55C45A98B834}"/>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94B-EDBC-400A-8A68-55C45A98B834}"/>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94D-EDBC-400A-8A68-55C45A98B834}"/>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94F-EDBC-400A-8A68-55C45A98B834}"/>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951-EDBC-400A-8A68-55C45A98B834}"/>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953-EDBC-400A-8A68-55C45A98B834}"/>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955-EDBC-400A-8A68-55C45A98B834}"/>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957-EDBC-400A-8A68-55C45A98B834}"/>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959-EDBC-400A-8A68-55C45A98B834}"/>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95B-EDBC-400A-8A68-55C45A98B834}"/>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95D-EDBC-400A-8A68-55C45A98B834}"/>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95F-EDBC-400A-8A68-55C45A98B83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P!$B$48:$B$72</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P!$AX$48:$AX$72</c:f>
              <c:numCache>
                <c:formatCode>0.00</c:formatCode>
                <c:ptCount val="25"/>
                <c:pt idx="2">
                  <c:v>0.66666666666666663</c:v>
                </c:pt>
                <c:pt idx="5">
                  <c:v>1</c:v>
                </c:pt>
                <c:pt idx="8">
                  <c:v>0.25</c:v>
                </c:pt>
                <c:pt idx="9">
                  <c:v>6.666666666666667</c:v>
                </c:pt>
                <c:pt idx="10">
                  <c:v>5.7499999999999991</c:v>
                </c:pt>
                <c:pt idx="11">
                  <c:v>0.75</c:v>
                </c:pt>
                <c:pt idx="12">
                  <c:v>0.33333333333333331</c:v>
                </c:pt>
                <c:pt idx="13">
                  <c:v>0.66666666666666663</c:v>
                </c:pt>
                <c:pt idx="17">
                  <c:v>0.75</c:v>
                </c:pt>
              </c:numCache>
            </c:numRef>
          </c:val>
          <c:extLst>
            <c:ext xmlns:c16="http://schemas.microsoft.com/office/drawing/2014/chart" uri="{C3380CC4-5D6E-409C-BE32-E72D297353CC}">
              <c16:uniqueId val="{00000056-7A17-4F8A-85C3-B3EF688A0E3B}"/>
            </c:ext>
          </c:extLst>
        </c:ser>
        <c:ser>
          <c:idx val="48"/>
          <c:order val="48"/>
          <c:tx>
            <c:strRef>
              <c:f>P!$AY$46:$AY$47</c:f>
              <c:strCache>
                <c:ptCount val="1"/>
                <c:pt idx="0">
                  <c:v>19-11-22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961-EDBC-400A-8A68-55C45A98B83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963-EDBC-400A-8A68-55C45A98B83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965-EDBC-400A-8A68-55C45A98B83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967-EDBC-400A-8A68-55C45A98B83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969-EDBC-400A-8A68-55C45A98B83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96B-EDBC-400A-8A68-55C45A98B83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96D-EDBC-400A-8A68-55C45A98B83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96F-EDBC-400A-8A68-55C45A98B83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971-EDBC-400A-8A68-55C45A98B83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973-EDBC-400A-8A68-55C45A98B834}"/>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975-EDBC-400A-8A68-55C45A98B834}"/>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977-EDBC-400A-8A68-55C45A98B834}"/>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979-EDBC-400A-8A68-55C45A98B834}"/>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97B-EDBC-400A-8A68-55C45A98B834}"/>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97D-EDBC-400A-8A68-55C45A98B834}"/>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97F-EDBC-400A-8A68-55C45A98B834}"/>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981-EDBC-400A-8A68-55C45A98B834}"/>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983-EDBC-400A-8A68-55C45A98B834}"/>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985-EDBC-400A-8A68-55C45A98B834}"/>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987-EDBC-400A-8A68-55C45A98B834}"/>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989-EDBC-400A-8A68-55C45A98B834}"/>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98B-EDBC-400A-8A68-55C45A98B834}"/>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98D-EDBC-400A-8A68-55C45A98B834}"/>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98F-EDBC-400A-8A68-55C45A98B834}"/>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991-EDBC-400A-8A68-55C45A98B83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P!$B$48:$B$72</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P!$AY$48:$AY$72</c:f>
              <c:numCache>
                <c:formatCode>0.00</c:formatCode>
                <c:ptCount val="25"/>
                <c:pt idx="2">
                  <c:v>0.66666666666666663</c:v>
                </c:pt>
                <c:pt idx="5">
                  <c:v>2</c:v>
                </c:pt>
                <c:pt idx="8">
                  <c:v>6</c:v>
                </c:pt>
                <c:pt idx="9">
                  <c:v>4</c:v>
                </c:pt>
                <c:pt idx="14">
                  <c:v>3.666666666666667</c:v>
                </c:pt>
              </c:numCache>
            </c:numRef>
          </c:val>
          <c:extLst>
            <c:ext xmlns:c16="http://schemas.microsoft.com/office/drawing/2014/chart" uri="{C3380CC4-5D6E-409C-BE32-E72D297353CC}">
              <c16:uniqueId val="{00000057-7A17-4F8A-85C3-B3EF688A0E3B}"/>
            </c:ext>
          </c:extLst>
        </c:ser>
        <c:ser>
          <c:idx val="49"/>
          <c:order val="49"/>
          <c:tx>
            <c:strRef>
              <c:f>P!$AZ$46:$AZ$47</c:f>
              <c:strCache>
                <c:ptCount val="1"/>
                <c:pt idx="0">
                  <c:v>20-09-22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993-EDBC-400A-8A68-55C45A98B83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995-EDBC-400A-8A68-55C45A98B83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997-EDBC-400A-8A68-55C45A98B83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999-EDBC-400A-8A68-55C45A98B83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99B-EDBC-400A-8A68-55C45A98B83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99D-EDBC-400A-8A68-55C45A98B83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99F-EDBC-400A-8A68-55C45A98B83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9A1-EDBC-400A-8A68-55C45A98B83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9A3-EDBC-400A-8A68-55C45A98B83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9A5-EDBC-400A-8A68-55C45A98B834}"/>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9A7-EDBC-400A-8A68-55C45A98B834}"/>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9A9-EDBC-400A-8A68-55C45A98B834}"/>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9AB-EDBC-400A-8A68-55C45A98B834}"/>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9AD-EDBC-400A-8A68-55C45A98B834}"/>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9AF-EDBC-400A-8A68-55C45A98B834}"/>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9B1-EDBC-400A-8A68-55C45A98B834}"/>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9B3-EDBC-400A-8A68-55C45A98B834}"/>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9B5-EDBC-400A-8A68-55C45A98B834}"/>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9B7-EDBC-400A-8A68-55C45A98B834}"/>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9B9-EDBC-400A-8A68-55C45A98B834}"/>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9BB-EDBC-400A-8A68-55C45A98B834}"/>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9BD-EDBC-400A-8A68-55C45A98B834}"/>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9BF-EDBC-400A-8A68-55C45A98B834}"/>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9C1-EDBC-400A-8A68-55C45A98B834}"/>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9C3-EDBC-400A-8A68-55C45A98B83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P!$B$48:$B$72</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P!$AZ$48:$AZ$72</c:f>
              <c:numCache>
                <c:formatCode>0.00</c:formatCode>
                <c:ptCount val="25"/>
                <c:pt idx="1">
                  <c:v>1.6666666666666667</c:v>
                </c:pt>
                <c:pt idx="2">
                  <c:v>0.33333333333333331</c:v>
                </c:pt>
                <c:pt idx="5">
                  <c:v>0.75</c:v>
                </c:pt>
                <c:pt idx="6">
                  <c:v>0.33333333333333331</c:v>
                </c:pt>
                <c:pt idx="8">
                  <c:v>4.583333333333333</c:v>
                </c:pt>
                <c:pt idx="9">
                  <c:v>1.8333333333333333</c:v>
                </c:pt>
                <c:pt idx="10">
                  <c:v>4.9999999999999991</c:v>
                </c:pt>
                <c:pt idx="12">
                  <c:v>0.58333333333333337</c:v>
                </c:pt>
                <c:pt idx="15">
                  <c:v>1.75</c:v>
                </c:pt>
              </c:numCache>
            </c:numRef>
          </c:val>
          <c:extLst>
            <c:ext xmlns:c16="http://schemas.microsoft.com/office/drawing/2014/chart" uri="{C3380CC4-5D6E-409C-BE32-E72D297353CC}">
              <c16:uniqueId val="{00000058-7A17-4F8A-85C3-B3EF688A0E3B}"/>
            </c:ext>
          </c:extLst>
        </c:ser>
        <c:ser>
          <c:idx val="50"/>
          <c:order val="50"/>
          <c:tx>
            <c:strRef>
              <c:f>P!$BA$46:$BA$47</c:f>
              <c:strCache>
                <c:ptCount val="1"/>
                <c:pt idx="0">
                  <c:v>20-10-22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9C5-EDBC-400A-8A68-55C45A98B83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9C7-EDBC-400A-8A68-55C45A98B83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9C9-EDBC-400A-8A68-55C45A98B83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9CB-EDBC-400A-8A68-55C45A98B83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9CD-EDBC-400A-8A68-55C45A98B83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9CF-EDBC-400A-8A68-55C45A98B83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9D1-EDBC-400A-8A68-55C45A98B83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9D3-EDBC-400A-8A68-55C45A98B83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9D5-EDBC-400A-8A68-55C45A98B83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9D7-EDBC-400A-8A68-55C45A98B834}"/>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9D9-EDBC-400A-8A68-55C45A98B834}"/>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9DB-EDBC-400A-8A68-55C45A98B834}"/>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9DD-EDBC-400A-8A68-55C45A98B834}"/>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9DF-EDBC-400A-8A68-55C45A98B834}"/>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9E1-EDBC-400A-8A68-55C45A98B834}"/>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9E3-EDBC-400A-8A68-55C45A98B834}"/>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9E5-EDBC-400A-8A68-55C45A98B834}"/>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9E7-EDBC-400A-8A68-55C45A98B834}"/>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9E9-EDBC-400A-8A68-55C45A98B834}"/>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9EB-EDBC-400A-8A68-55C45A98B834}"/>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9ED-EDBC-400A-8A68-55C45A98B834}"/>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9EF-EDBC-400A-8A68-55C45A98B834}"/>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9F1-EDBC-400A-8A68-55C45A98B834}"/>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9F3-EDBC-400A-8A68-55C45A98B834}"/>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9F5-EDBC-400A-8A68-55C45A98B83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P!$B$48:$B$72</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P!$BA$48:$BA$72</c:f>
              <c:numCache>
                <c:formatCode>0.00</c:formatCode>
                <c:ptCount val="25"/>
                <c:pt idx="0">
                  <c:v>1.1666666666666665</c:v>
                </c:pt>
                <c:pt idx="2">
                  <c:v>1</c:v>
                </c:pt>
                <c:pt idx="5">
                  <c:v>1.5</c:v>
                </c:pt>
                <c:pt idx="8">
                  <c:v>0.75</c:v>
                </c:pt>
                <c:pt idx="9">
                  <c:v>14.166666666666668</c:v>
                </c:pt>
                <c:pt idx="10">
                  <c:v>3.7499999999999996</c:v>
                </c:pt>
                <c:pt idx="11">
                  <c:v>1.7499999999999998</c:v>
                </c:pt>
                <c:pt idx="13">
                  <c:v>0.41666666666666669</c:v>
                </c:pt>
                <c:pt idx="15">
                  <c:v>0.75</c:v>
                </c:pt>
              </c:numCache>
            </c:numRef>
          </c:val>
          <c:extLst>
            <c:ext xmlns:c16="http://schemas.microsoft.com/office/drawing/2014/chart" uri="{C3380CC4-5D6E-409C-BE32-E72D297353CC}">
              <c16:uniqueId val="{00000059-7A17-4F8A-85C3-B3EF688A0E3B}"/>
            </c:ext>
          </c:extLst>
        </c:ser>
        <c:ser>
          <c:idx val="51"/>
          <c:order val="51"/>
          <c:tx>
            <c:strRef>
              <c:f>P!$BB$46:$BB$47</c:f>
              <c:strCache>
                <c:ptCount val="1"/>
                <c:pt idx="0">
                  <c:v>21-09-22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9F7-EDBC-400A-8A68-55C45A98B83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9F9-EDBC-400A-8A68-55C45A98B83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9FB-EDBC-400A-8A68-55C45A98B83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9FD-EDBC-400A-8A68-55C45A98B83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9FF-EDBC-400A-8A68-55C45A98B83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A01-EDBC-400A-8A68-55C45A98B83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A03-EDBC-400A-8A68-55C45A98B83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A05-EDBC-400A-8A68-55C45A98B83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A07-EDBC-400A-8A68-55C45A98B83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A09-EDBC-400A-8A68-55C45A98B834}"/>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A0B-EDBC-400A-8A68-55C45A98B834}"/>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A0D-EDBC-400A-8A68-55C45A98B834}"/>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A0F-EDBC-400A-8A68-55C45A98B834}"/>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A11-EDBC-400A-8A68-55C45A98B834}"/>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A13-EDBC-400A-8A68-55C45A98B834}"/>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A15-EDBC-400A-8A68-55C45A98B834}"/>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A17-EDBC-400A-8A68-55C45A98B834}"/>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A19-EDBC-400A-8A68-55C45A98B834}"/>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A1B-EDBC-400A-8A68-55C45A98B834}"/>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A1D-EDBC-400A-8A68-55C45A98B834}"/>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A1F-EDBC-400A-8A68-55C45A98B834}"/>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A21-EDBC-400A-8A68-55C45A98B834}"/>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A23-EDBC-400A-8A68-55C45A98B834}"/>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A25-EDBC-400A-8A68-55C45A98B834}"/>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A27-EDBC-400A-8A68-55C45A98B83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P!$B$48:$B$72</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P!$BB$48:$BB$72</c:f>
              <c:numCache>
                <c:formatCode>0.00</c:formatCode>
                <c:ptCount val="25"/>
                <c:pt idx="1">
                  <c:v>1</c:v>
                </c:pt>
                <c:pt idx="2">
                  <c:v>0.33333333333333331</c:v>
                </c:pt>
                <c:pt idx="5">
                  <c:v>1</c:v>
                </c:pt>
                <c:pt idx="6">
                  <c:v>0.33333333333333331</c:v>
                </c:pt>
                <c:pt idx="8">
                  <c:v>1.8333333333333333</c:v>
                </c:pt>
                <c:pt idx="9">
                  <c:v>2</c:v>
                </c:pt>
                <c:pt idx="10">
                  <c:v>6.5</c:v>
                </c:pt>
                <c:pt idx="12">
                  <c:v>0.66666666666666663</c:v>
                </c:pt>
                <c:pt idx="13">
                  <c:v>0.33333333333333331</c:v>
                </c:pt>
                <c:pt idx="14">
                  <c:v>1.75</c:v>
                </c:pt>
                <c:pt idx="15">
                  <c:v>1.3333333333333333</c:v>
                </c:pt>
              </c:numCache>
            </c:numRef>
          </c:val>
          <c:extLst>
            <c:ext xmlns:c16="http://schemas.microsoft.com/office/drawing/2014/chart" uri="{C3380CC4-5D6E-409C-BE32-E72D297353CC}">
              <c16:uniqueId val="{0000005A-7A17-4F8A-85C3-B3EF688A0E3B}"/>
            </c:ext>
          </c:extLst>
        </c:ser>
        <c:ser>
          <c:idx val="52"/>
          <c:order val="52"/>
          <c:tx>
            <c:strRef>
              <c:f>P!$BC$46:$BC$47</c:f>
              <c:strCache>
                <c:ptCount val="1"/>
                <c:pt idx="0">
                  <c:v>21-10-22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A29-EDBC-400A-8A68-55C45A98B83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A2B-EDBC-400A-8A68-55C45A98B83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A2D-EDBC-400A-8A68-55C45A98B83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A2F-EDBC-400A-8A68-55C45A98B83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A31-EDBC-400A-8A68-55C45A98B83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A33-EDBC-400A-8A68-55C45A98B83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A35-EDBC-400A-8A68-55C45A98B83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A37-EDBC-400A-8A68-55C45A98B83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A39-EDBC-400A-8A68-55C45A98B83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A3B-EDBC-400A-8A68-55C45A98B834}"/>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A3D-EDBC-400A-8A68-55C45A98B834}"/>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A3F-EDBC-400A-8A68-55C45A98B834}"/>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A41-EDBC-400A-8A68-55C45A98B834}"/>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A43-EDBC-400A-8A68-55C45A98B834}"/>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A45-EDBC-400A-8A68-55C45A98B834}"/>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A47-EDBC-400A-8A68-55C45A98B834}"/>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A49-EDBC-400A-8A68-55C45A98B834}"/>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A4B-EDBC-400A-8A68-55C45A98B834}"/>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A4D-EDBC-400A-8A68-55C45A98B834}"/>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A4F-EDBC-400A-8A68-55C45A98B834}"/>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A51-EDBC-400A-8A68-55C45A98B834}"/>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A53-EDBC-400A-8A68-55C45A98B834}"/>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A55-EDBC-400A-8A68-55C45A98B834}"/>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A57-EDBC-400A-8A68-55C45A98B834}"/>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A59-EDBC-400A-8A68-55C45A98B83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P!$B$48:$B$72</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P!$BC$48:$BC$72</c:f>
              <c:numCache>
                <c:formatCode>0.00</c:formatCode>
                <c:ptCount val="25"/>
                <c:pt idx="0">
                  <c:v>2.3333333333333335</c:v>
                </c:pt>
                <c:pt idx="1">
                  <c:v>0.66666666666666663</c:v>
                </c:pt>
                <c:pt idx="2">
                  <c:v>0.66666666666666663</c:v>
                </c:pt>
                <c:pt idx="5">
                  <c:v>1</c:v>
                </c:pt>
                <c:pt idx="8">
                  <c:v>1</c:v>
                </c:pt>
                <c:pt idx="9">
                  <c:v>5.833333333333333</c:v>
                </c:pt>
                <c:pt idx="10">
                  <c:v>3.9166666666666665</c:v>
                </c:pt>
                <c:pt idx="11">
                  <c:v>1</c:v>
                </c:pt>
                <c:pt idx="13">
                  <c:v>0.41666666666666669</c:v>
                </c:pt>
              </c:numCache>
            </c:numRef>
          </c:val>
          <c:extLst>
            <c:ext xmlns:c16="http://schemas.microsoft.com/office/drawing/2014/chart" uri="{C3380CC4-5D6E-409C-BE32-E72D297353CC}">
              <c16:uniqueId val="{0000005B-7A17-4F8A-85C3-B3EF688A0E3B}"/>
            </c:ext>
          </c:extLst>
        </c:ser>
        <c:ser>
          <c:idx val="53"/>
          <c:order val="53"/>
          <c:tx>
            <c:strRef>
              <c:f>P!$BD$46:$BD$47</c:f>
              <c:strCache>
                <c:ptCount val="1"/>
                <c:pt idx="0">
                  <c:v>21-11-22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A5B-EDBC-400A-8A68-55C45A98B83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A5D-EDBC-400A-8A68-55C45A98B83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A5F-EDBC-400A-8A68-55C45A98B83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A61-EDBC-400A-8A68-55C45A98B83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A63-EDBC-400A-8A68-55C45A98B83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A65-EDBC-400A-8A68-55C45A98B83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A67-EDBC-400A-8A68-55C45A98B83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A69-EDBC-400A-8A68-55C45A98B83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A6B-EDBC-400A-8A68-55C45A98B83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A6D-EDBC-400A-8A68-55C45A98B834}"/>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A6F-EDBC-400A-8A68-55C45A98B834}"/>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A71-EDBC-400A-8A68-55C45A98B834}"/>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A73-EDBC-400A-8A68-55C45A98B834}"/>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A75-EDBC-400A-8A68-55C45A98B834}"/>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A77-EDBC-400A-8A68-55C45A98B834}"/>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A79-EDBC-400A-8A68-55C45A98B834}"/>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A7B-EDBC-400A-8A68-55C45A98B834}"/>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A7D-EDBC-400A-8A68-55C45A98B834}"/>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A7F-EDBC-400A-8A68-55C45A98B834}"/>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A81-EDBC-400A-8A68-55C45A98B834}"/>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A83-EDBC-400A-8A68-55C45A98B834}"/>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A85-EDBC-400A-8A68-55C45A98B834}"/>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A87-EDBC-400A-8A68-55C45A98B834}"/>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A89-EDBC-400A-8A68-55C45A98B834}"/>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A8B-EDBC-400A-8A68-55C45A98B83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P!$B$48:$B$72</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P!$BD$48:$BD$72</c:f>
              <c:numCache>
                <c:formatCode>0.00</c:formatCode>
                <c:ptCount val="25"/>
                <c:pt idx="0">
                  <c:v>0.33333333333333331</c:v>
                </c:pt>
                <c:pt idx="2">
                  <c:v>0.33333333333333331</c:v>
                </c:pt>
                <c:pt idx="10">
                  <c:v>4.75</c:v>
                </c:pt>
                <c:pt idx="11">
                  <c:v>0.66666666666666663</c:v>
                </c:pt>
                <c:pt idx="13">
                  <c:v>0.41666666666666669</c:v>
                </c:pt>
                <c:pt idx="15">
                  <c:v>1.75</c:v>
                </c:pt>
              </c:numCache>
            </c:numRef>
          </c:val>
          <c:extLst>
            <c:ext xmlns:c16="http://schemas.microsoft.com/office/drawing/2014/chart" uri="{C3380CC4-5D6E-409C-BE32-E72D297353CC}">
              <c16:uniqueId val="{0000005C-7A17-4F8A-85C3-B3EF688A0E3B}"/>
            </c:ext>
          </c:extLst>
        </c:ser>
        <c:ser>
          <c:idx val="54"/>
          <c:order val="54"/>
          <c:tx>
            <c:strRef>
              <c:f>P!$BE$46:$BE$47</c:f>
              <c:strCache>
                <c:ptCount val="1"/>
                <c:pt idx="0">
                  <c:v>22-09-22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A8D-EDBC-400A-8A68-55C45A98B83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A8F-EDBC-400A-8A68-55C45A98B83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A91-EDBC-400A-8A68-55C45A98B83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A93-EDBC-400A-8A68-55C45A98B83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A95-EDBC-400A-8A68-55C45A98B83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A97-EDBC-400A-8A68-55C45A98B83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A99-EDBC-400A-8A68-55C45A98B83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A9B-EDBC-400A-8A68-55C45A98B83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A9D-EDBC-400A-8A68-55C45A98B83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A9F-EDBC-400A-8A68-55C45A98B834}"/>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AA1-EDBC-400A-8A68-55C45A98B834}"/>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AA3-EDBC-400A-8A68-55C45A98B834}"/>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AA5-EDBC-400A-8A68-55C45A98B834}"/>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AA7-EDBC-400A-8A68-55C45A98B834}"/>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AA9-EDBC-400A-8A68-55C45A98B834}"/>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AAB-EDBC-400A-8A68-55C45A98B834}"/>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AAD-EDBC-400A-8A68-55C45A98B834}"/>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AAF-EDBC-400A-8A68-55C45A98B834}"/>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AB1-EDBC-400A-8A68-55C45A98B834}"/>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AB3-EDBC-400A-8A68-55C45A98B834}"/>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AB5-EDBC-400A-8A68-55C45A98B834}"/>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AB7-EDBC-400A-8A68-55C45A98B834}"/>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AB9-EDBC-400A-8A68-55C45A98B834}"/>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ABB-EDBC-400A-8A68-55C45A98B834}"/>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ABD-EDBC-400A-8A68-55C45A98B83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P!$B$48:$B$72</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P!$BE$48:$BE$72</c:f>
              <c:numCache>
                <c:formatCode>0.00</c:formatCode>
                <c:ptCount val="25"/>
                <c:pt idx="1">
                  <c:v>0.66666666666666663</c:v>
                </c:pt>
                <c:pt idx="2">
                  <c:v>0.66666666666666663</c:v>
                </c:pt>
                <c:pt idx="5">
                  <c:v>1</c:v>
                </c:pt>
                <c:pt idx="8">
                  <c:v>2.25</c:v>
                </c:pt>
                <c:pt idx="9">
                  <c:v>3.25</c:v>
                </c:pt>
                <c:pt idx="10">
                  <c:v>5.166666666666667</c:v>
                </c:pt>
                <c:pt idx="12">
                  <c:v>0.58333333333333337</c:v>
                </c:pt>
                <c:pt idx="15">
                  <c:v>0.91666666666666663</c:v>
                </c:pt>
                <c:pt idx="22">
                  <c:v>1.3333333333333333</c:v>
                </c:pt>
                <c:pt idx="23">
                  <c:v>1.3333333333333333</c:v>
                </c:pt>
              </c:numCache>
            </c:numRef>
          </c:val>
          <c:extLst>
            <c:ext xmlns:c16="http://schemas.microsoft.com/office/drawing/2014/chart" uri="{C3380CC4-5D6E-409C-BE32-E72D297353CC}">
              <c16:uniqueId val="{0000005D-7A17-4F8A-85C3-B3EF688A0E3B}"/>
            </c:ext>
          </c:extLst>
        </c:ser>
        <c:ser>
          <c:idx val="55"/>
          <c:order val="55"/>
          <c:tx>
            <c:strRef>
              <c:f>P!$BF$46:$BF$47</c:f>
              <c:strCache>
                <c:ptCount val="1"/>
                <c:pt idx="0">
                  <c:v>22-10-22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ABF-EDBC-400A-8A68-55C45A98B83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AC1-EDBC-400A-8A68-55C45A98B83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AC3-EDBC-400A-8A68-55C45A98B83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AC5-EDBC-400A-8A68-55C45A98B83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AC7-EDBC-400A-8A68-55C45A98B83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AC9-EDBC-400A-8A68-55C45A98B83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ACB-EDBC-400A-8A68-55C45A98B83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ACD-EDBC-400A-8A68-55C45A98B83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ACF-EDBC-400A-8A68-55C45A98B83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AD1-EDBC-400A-8A68-55C45A98B834}"/>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AD3-EDBC-400A-8A68-55C45A98B834}"/>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AD5-EDBC-400A-8A68-55C45A98B834}"/>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AD7-EDBC-400A-8A68-55C45A98B834}"/>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AD9-EDBC-400A-8A68-55C45A98B834}"/>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ADB-EDBC-400A-8A68-55C45A98B834}"/>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ADD-EDBC-400A-8A68-55C45A98B834}"/>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ADF-EDBC-400A-8A68-55C45A98B834}"/>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AE1-EDBC-400A-8A68-55C45A98B834}"/>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AE3-EDBC-400A-8A68-55C45A98B834}"/>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AE5-EDBC-400A-8A68-55C45A98B834}"/>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AE7-EDBC-400A-8A68-55C45A98B834}"/>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AE9-EDBC-400A-8A68-55C45A98B834}"/>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AEB-EDBC-400A-8A68-55C45A98B834}"/>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AED-EDBC-400A-8A68-55C45A98B834}"/>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AEF-EDBC-400A-8A68-55C45A98B83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P!$B$48:$B$72</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P!$BF$48:$BF$72</c:f>
              <c:numCache>
                <c:formatCode>0.00</c:formatCode>
                <c:ptCount val="25"/>
                <c:pt idx="0">
                  <c:v>1.8333333333333335</c:v>
                </c:pt>
                <c:pt idx="2">
                  <c:v>0.66666666666666663</c:v>
                </c:pt>
                <c:pt idx="5">
                  <c:v>1</c:v>
                </c:pt>
                <c:pt idx="8">
                  <c:v>2.1666666666666665</c:v>
                </c:pt>
                <c:pt idx="9">
                  <c:v>4.5</c:v>
                </c:pt>
                <c:pt idx="10">
                  <c:v>5.5</c:v>
                </c:pt>
                <c:pt idx="13">
                  <c:v>0.41666666666666669</c:v>
                </c:pt>
              </c:numCache>
            </c:numRef>
          </c:val>
          <c:extLst>
            <c:ext xmlns:c16="http://schemas.microsoft.com/office/drawing/2014/chart" uri="{C3380CC4-5D6E-409C-BE32-E72D297353CC}">
              <c16:uniqueId val="{0000005E-7A17-4F8A-85C3-B3EF688A0E3B}"/>
            </c:ext>
          </c:extLst>
        </c:ser>
        <c:ser>
          <c:idx val="56"/>
          <c:order val="56"/>
          <c:tx>
            <c:strRef>
              <c:f>P!$BG$46:$BG$47</c:f>
              <c:strCache>
                <c:ptCount val="1"/>
                <c:pt idx="0">
                  <c:v>22-11-22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AF1-EDBC-400A-8A68-55C45A98B83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AF3-EDBC-400A-8A68-55C45A98B83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AF5-EDBC-400A-8A68-55C45A98B83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AF7-EDBC-400A-8A68-55C45A98B83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AF9-EDBC-400A-8A68-55C45A98B83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AFB-EDBC-400A-8A68-55C45A98B83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AFD-EDBC-400A-8A68-55C45A98B83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AFF-EDBC-400A-8A68-55C45A98B83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B01-EDBC-400A-8A68-55C45A98B83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B03-EDBC-400A-8A68-55C45A98B834}"/>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B05-EDBC-400A-8A68-55C45A98B834}"/>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B07-EDBC-400A-8A68-55C45A98B834}"/>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B09-EDBC-400A-8A68-55C45A98B834}"/>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B0B-EDBC-400A-8A68-55C45A98B834}"/>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B0D-EDBC-400A-8A68-55C45A98B834}"/>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B0F-EDBC-400A-8A68-55C45A98B834}"/>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B11-EDBC-400A-8A68-55C45A98B834}"/>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B13-EDBC-400A-8A68-55C45A98B834}"/>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B15-EDBC-400A-8A68-55C45A98B834}"/>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B17-EDBC-400A-8A68-55C45A98B834}"/>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B19-EDBC-400A-8A68-55C45A98B834}"/>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B1B-EDBC-400A-8A68-55C45A98B834}"/>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B1D-EDBC-400A-8A68-55C45A98B834}"/>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B1F-EDBC-400A-8A68-55C45A98B834}"/>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B21-EDBC-400A-8A68-55C45A98B83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P!$B$48:$B$72</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P!$BG$48:$BG$72</c:f>
              <c:numCache>
                <c:formatCode>0.00</c:formatCode>
                <c:ptCount val="25"/>
                <c:pt idx="0">
                  <c:v>0.33333333333333331</c:v>
                </c:pt>
                <c:pt idx="2">
                  <c:v>0.33333333333333331</c:v>
                </c:pt>
                <c:pt idx="10">
                  <c:v>4.75</c:v>
                </c:pt>
                <c:pt idx="11">
                  <c:v>0.66666666666666663</c:v>
                </c:pt>
                <c:pt idx="13">
                  <c:v>0.41666666666666669</c:v>
                </c:pt>
                <c:pt idx="15">
                  <c:v>1.75</c:v>
                </c:pt>
              </c:numCache>
            </c:numRef>
          </c:val>
          <c:extLst>
            <c:ext xmlns:c16="http://schemas.microsoft.com/office/drawing/2014/chart" uri="{C3380CC4-5D6E-409C-BE32-E72D297353CC}">
              <c16:uniqueId val="{0000005F-7A17-4F8A-85C3-B3EF688A0E3B}"/>
            </c:ext>
          </c:extLst>
        </c:ser>
        <c:ser>
          <c:idx val="57"/>
          <c:order val="57"/>
          <c:tx>
            <c:strRef>
              <c:f>P!$BH$46:$BH$47</c:f>
              <c:strCache>
                <c:ptCount val="1"/>
                <c:pt idx="0">
                  <c:v>23-09-22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B23-EDBC-400A-8A68-55C45A98B83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B25-EDBC-400A-8A68-55C45A98B83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B27-EDBC-400A-8A68-55C45A98B83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B29-EDBC-400A-8A68-55C45A98B83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B2B-EDBC-400A-8A68-55C45A98B83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B2D-EDBC-400A-8A68-55C45A98B83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B2F-EDBC-400A-8A68-55C45A98B83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B31-EDBC-400A-8A68-55C45A98B83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B33-EDBC-400A-8A68-55C45A98B83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B35-EDBC-400A-8A68-55C45A98B834}"/>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B37-EDBC-400A-8A68-55C45A98B834}"/>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B39-EDBC-400A-8A68-55C45A98B834}"/>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B3B-EDBC-400A-8A68-55C45A98B834}"/>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B3D-EDBC-400A-8A68-55C45A98B834}"/>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B3F-EDBC-400A-8A68-55C45A98B834}"/>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B41-EDBC-400A-8A68-55C45A98B834}"/>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B43-EDBC-400A-8A68-55C45A98B834}"/>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B45-EDBC-400A-8A68-55C45A98B834}"/>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B47-EDBC-400A-8A68-55C45A98B834}"/>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B49-EDBC-400A-8A68-55C45A98B834}"/>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B4B-EDBC-400A-8A68-55C45A98B834}"/>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B4D-EDBC-400A-8A68-55C45A98B834}"/>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B4F-EDBC-400A-8A68-55C45A98B834}"/>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B51-EDBC-400A-8A68-55C45A98B834}"/>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B53-EDBC-400A-8A68-55C45A98B83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P!$B$48:$B$72</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P!$BH$48:$BH$72</c:f>
              <c:numCache>
                <c:formatCode>0.00</c:formatCode>
                <c:ptCount val="25"/>
                <c:pt idx="1">
                  <c:v>2.6666666666666665</c:v>
                </c:pt>
                <c:pt idx="2">
                  <c:v>0.66666666666666663</c:v>
                </c:pt>
                <c:pt idx="5">
                  <c:v>1</c:v>
                </c:pt>
                <c:pt idx="8">
                  <c:v>0.75</c:v>
                </c:pt>
                <c:pt idx="9">
                  <c:v>4.9166666666666661</c:v>
                </c:pt>
                <c:pt idx="10">
                  <c:v>3.916666666666667</c:v>
                </c:pt>
                <c:pt idx="11">
                  <c:v>2.1666666666666665</c:v>
                </c:pt>
                <c:pt idx="15">
                  <c:v>0.75</c:v>
                </c:pt>
              </c:numCache>
            </c:numRef>
          </c:val>
          <c:extLst>
            <c:ext xmlns:c16="http://schemas.microsoft.com/office/drawing/2014/chart" uri="{C3380CC4-5D6E-409C-BE32-E72D297353CC}">
              <c16:uniqueId val="{00000060-7A17-4F8A-85C3-B3EF688A0E3B}"/>
            </c:ext>
          </c:extLst>
        </c:ser>
        <c:ser>
          <c:idx val="58"/>
          <c:order val="58"/>
          <c:tx>
            <c:strRef>
              <c:f>P!$BI$46:$BI$47</c:f>
              <c:strCache>
                <c:ptCount val="1"/>
                <c:pt idx="0">
                  <c:v>24-09-22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B55-EDBC-400A-8A68-55C45A98B83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B57-EDBC-400A-8A68-55C45A98B83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B59-EDBC-400A-8A68-55C45A98B83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B5B-EDBC-400A-8A68-55C45A98B83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B5D-EDBC-400A-8A68-55C45A98B83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B5F-EDBC-400A-8A68-55C45A98B83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B61-EDBC-400A-8A68-55C45A98B83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B63-EDBC-400A-8A68-55C45A98B83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B65-EDBC-400A-8A68-55C45A98B83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B67-EDBC-400A-8A68-55C45A98B834}"/>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B69-EDBC-400A-8A68-55C45A98B834}"/>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B6B-EDBC-400A-8A68-55C45A98B834}"/>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B6D-EDBC-400A-8A68-55C45A98B834}"/>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B6F-EDBC-400A-8A68-55C45A98B834}"/>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B71-EDBC-400A-8A68-55C45A98B834}"/>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B73-EDBC-400A-8A68-55C45A98B834}"/>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B75-EDBC-400A-8A68-55C45A98B834}"/>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B77-EDBC-400A-8A68-55C45A98B834}"/>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B79-EDBC-400A-8A68-55C45A98B834}"/>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B7B-EDBC-400A-8A68-55C45A98B834}"/>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B7D-EDBC-400A-8A68-55C45A98B834}"/>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B7F-EDBC-400A-8A68-55C45A98B834}"/>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B81-EDBC-400A-8A68-55C45A98B834}"/>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B83-EDBC-400A-8A68-55C45A98B834}"/>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B85-EDBC-400A-8A68-55C45A98B83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P!$B$48:$B$72</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P!$BI$48:$BI$72</c:f>
              <c:numCache>
                <c:formatCode>0.00</c:formatCode>
                <c:ptCount val="25"/>
                <c:pt idx="1">
                  <c:v>1.2666666666666666</c:v>
                </c:pt>
                <c:pt idx="2">
                  <c:v>0.33333333333333331</c:v>
                </c:pt>
                <c:pt idx="5">
                  <c:v>1</c:v>
                </c:pt>
                <c:pt idx="6">
                  <c:v>0.33333333333333331</c:v>
                </c:pt>
                <c:pt idx="8">
                  <c:v>3</c:v>
                </c:pt>
                <c:pt idx="9">
                  <c:v>3.5</c:v>
                </c:pt>
                <c:pt idx="10">
                  <c:v>2.666666666666667</c:v>
                </c:pt>
                <c:pt idx="11">
                  <c:v>4.833333333333333</c:v>
                </c:pt>
              </c:numCache>
            </c:numRef>
          </c:val>
          <c:extLst>
            <c:ext xmlns:c16="http://schemas.microsoft.com/office/drawing/2014/chart" uri="{C3380CC4-5D6E-409C-BE32-E72D297353CC}">
              <c16:uniqueId val="{00000061-7A17-4F8A-85C3-B3EF688A0E3B}"/>
            </c:ext>
          </c:extLst>
        </c:ser>
        <c:ser>
          <c:idx val="59"/>
          <c:order val="59"/>
          <c:tx>
            <c:strRef>
              <c:f>P!$BJ$46:$BJ$47</c:f>
              <c:strCache>
                <c:ptCount val="1"/>
                <c:pt idx="0">
                  <c:v>25-10-22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B87-EDBC-400A-8A68-55C45A98B83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B89-EDBC-400A-8A68-55C45A98B83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B8B-EDBC-400A-8A68-55C45A98B83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B8D-EDBC-400A-8A68-55C45A98B83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B8F-EDBC-400A-8A68-55C45A98B83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B91-EDBC-400A-8A68-55C45A98B83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B93-EDBC-400A-8A68-55C45A98B83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B95-EDBC-400A-8A68-55C45A98B83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B97-EDBC-400A-8A68-55C45A98B83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B99-EDBC-400A-8A68-55C45A98B834}"/>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B9B-EDBC-400A-8A68-55C45A98B834}"/>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B9D-EDBC-400A-8A68-55C45A98B834}"/>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B9F-EDBC-400A-8A68-55C45A98B834}"/>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BA1-EDBC-400A-8A68-55C45A98B834}"/>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BA3-EDBC-400A-8A68-55C45A98B834}"/>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BA5-EDBC-400A-8A68-55C45A98B834}"/>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BA7-EDBC-400A-8A68-55C45A98B834}"/>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BA9-EDBC-400A-8A68-55C45A98B834}"/>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BAB-EDBC-400A-8A68-55C45A98B834}"/>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BAD-EDBC-400A-8A68-55C45A98B834}"/>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BAF-EDBC-400A-8A68-55C45A98B834}"/>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BB1-EDBC-400A-8A68-55C45A98B834}"/>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BB3-EDBC-400A-8A68-55C45A98B834}"/>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BB5-EDBC-400A-8A68-55C45A98B834}"/>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BB7-EDBC-400A-8A68-55C45A98B83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P!$B$48:$B$72</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P!$BJ$48:$BJ$72</c:f>
              <c:numCache>
                <c:formatCode>0.00</c:formatCode>
                <c:ptCount val="25"/>
                <c:pt idx="0">
                  <c:v>1.0833333333333335</c:v>
                </c:pt>
                <c:pt idx="2">
                  <c:v>0.66666666666666663</c:v>
                </c:pt>
                <c:pt idx="5">
                  <c:v>1</c:v>
                </c:pt>
                <c:pt idx="8">
                  <c:v>2.1666666666666665</c:v>
                </c:pt>
                <c:pt idx="9">
                  <c:v>4.5</c:v>
                </c:pt>
                <c:pt idx="10">
                  <c:v>6.166666666666667</c:v>
                </c:pt>
                <c:pt idx="12">
                  <c:v>0.5</c:v>
                </c:pt>
                <c:pt idx="13">
                  <c:v>0.41666666666666669</c:v>
                </c:pt>
              </c:numCache>
            </c:numRef>
          </c:val>
          <c:extLst>
            <c:ext xmlns:c16="http://schemas.microsoft.com/office/drawing/2014/chart" uri="{C3380CC4-5D6E-409C-BE32-E72D297353CC}">
              <c16:uniqueId val="{00000062-7A17-4F8A-85C3-B3EF688A0E3B}"/>
            </c:ext>
          </c:extLst>
        </c:ser>
        <c:ser>
          <c:idx val="60"/>
          <c:order val="60"/>
          <c:tx>
            <c:strRef>
              <c:f>P!$BK$46:$BK$47</c:f>
              <c:strCache>
                <c:ptCount val="1"/>
                <c:pt idx="0">
                  <c:v>26-09-22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BB9-EDBC-400A-8A68-55C45A98B83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BBB-EDBC-400A-8A68-55C45A98B83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BBD-EDBC-400A-8A68-55C45A98B83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BBF-EDBC-400A-8A68-55C45A98B83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BC1-EDBC-400A-8A68-55C45A98B83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BC3-EDBC-400A-8A68-55C45A98B83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BC5-EDBC-400A-8A68-55C45A98B83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BC7-EDBC-400A-8A68-55C45A98B83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BC9-EDBC-400A-8A68-55C45A98B83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BCB-EDBC-400A-8A68-55C45A98B834}"/>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BCD-EDBC-400A-8A68-55C45A98B834}"/>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BCF-EDBC-400A-8A68-55C45A98B834}"/>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BD1-EDBC-400A-8A68-55C45A98B834}"/>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BD3-EDBC-400A-8A68-55C45A98B834}"/>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BD5-EDBC-400A-8A68-55C45A98B834}"/>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BD7-EDBC-400A-8A68-55C45A98B834}"/>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BD9-EDBC-400A-8A68-55C45A98B834}"/>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BDB-EDBC-400A-8A68-55C45A98B834}"/>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BDD-EDBC-400A-8A68-55C45A98B834}"/>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BDF-EDBC-400A-8A68-55C45A98B834}"/>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BE1-EDBC-400A-8A68-55C45A98B834}"/>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BE3-EDBC-400A-8A68-55C45A98B834}"/>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BE5-EDBC-400A-8A68-55C45A98B834}"/>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BE7-EDBC-400A-8A68-55C45A98B834}"/>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BE9-EDBC-400A-8A68-55C45A98B83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P!$B$48:$B$72</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P!$BK$48:$BK$72</c:f>
              <c:numCache>
                <c:formatCode>0.00</c:formatCode>
                <c:ptCount val="25"/>
                <c:pt idx="2">
                  <c:v>0.75</c:v>
                </c:pt>
                <c:pt idx="5">
                  <c:v>1</c:v>
                </c:pt>
                <c:pt idx="6">
                  <c:v>0.33333333333333331</c:v>
                </c:pt>
                <c:pt idx="8">
                  <c:v>2</c:v>
                </c:pt>
                <c:pt idx="9">
                  <c:v>4.75</c:v>
                </c:pt>
                <c:pt idx="10">
                  <c:v>3.583333333333333</c:v>
                </c:pt>
                <c:pt idx="11">
                  <c:v>3.833333333333333</c:v>
                </c:pt>
                <c:pt idx="12">
                  <c:v>0.33333333333333331</c:v>
                </c:pt>
              </c:numCache>
            </c:numRef>
          </c:val>
          <c:extLst>
            <c:ext xmlns:c16="http://schemas.microsoft.com/office/drawing/2014/chart" uri="{C3380CC4-5D6E-409C-BE32-E72D297353CC}">
              <c16:uniqueId val="{00000063-7A17-4F8A-85C3-B3EF688A0E3B}"/>
            </c:ext>
          </c:extLst>
        </c:ser>
        <c:ser>
          <c:idx val="61"/>
          <c:order val="61"/>
          <c:tx>
            <c:strRef>
              <c:f>P!$BL$46:$BL$47</c:f>
              <c:strCache>
                <c:ptCount val="1"/>
                <c:pt idx="0">
                  <c:v>26-10-22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BEB-EDBC-400A-8A68-55C45A98B83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BED-EDBC-400A-8A68-55C45A98B83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BEF-EDBC-400A-8A68-55C45A98B83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BF1-EDBC-400A-8A68-55C45A98B83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BF3-EDBC-400A-8A68-55C45A98B83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BF5-EDBC-400A-8A68-55C45A98B83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BF7-EDBC-400A-8A68-55C45A98B83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BF9-EDBC-400A-8A68-55C45A98B83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BFB-EDBC-400A-8A68-55C45A98B83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BFD-EDBC-400A-8A68-55C45A98B834}"/>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BFF-EDBC-400A-8A68-55C45A98B834}"/>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C01-EDBC-400A-8A68-55C45A98B834}"/>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C03-EDBC-400A-8A68-55C45A98B834}"/>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C05-EDBC-400A-8A68-55C45A98B834}"/>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C07-EDBC-400A-8A68-55C45A98B834}"/>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C09-EDBC-400A-8A68-55C45A98B834}"/>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C0B-EDBC-400A-8A68-55C45A98B834}"/>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C0D-EDBC-400A-8A68-55C45A98B834}"/>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C0F-EDBC-400A-8A68-55C45A98B834}"/>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C11-EDBC-400A-8A68-55C45A98B834}"/>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C13-EDBC-400A-8A68-55C45A98B834}"/>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C15-EDBC-400A-8A68-55C45A98B834}"/>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C17-EDBC-400A-8A68-55C45A98B834}"/>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C19-EDBC-400A-8A68-55C45A98B834}"/>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C1B-EDBC-400A-8A68-55C45A98B83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P!$B$48:$B$72</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P!$BL$48:$BL$72</c:f>
              <c:numCache>
                <c:formatCode>0.00</c:formatCode>
                <c:ptCount val="25"/>
                <c:pt idx="0">
                  <c:v>2.1666666666666665</c:v>
                </c:pt>
                <c:pt idx="2">
                  <c:v>0.66666666666666663</c:v>
                </c:pt>
                <c:pt idx="5">
                  <c:v>1</c:v>
                </c:pt>
                <c:pt idx="8">
                  <c:v>0.66666666666666663</c:v>
                </c:pt>
                <c:pt idx="9">
                  <c:v>5</c:v>
                </c:pt>
                <c:pt idx="10">
                  <c:v>4.583333333333333</c:v>
                </c:pt>
                <c:pt idx="11">
                  <c:v>0.58333333333333337</c:v>
                </c:pt>
                <c:pt idx="12">
                  <c:v>0.5</c:v>
                </c:pt>
                <c:pt idx="13">
                  <c:v>0.41666666666666669</c:v>
                </c:pt>
                <c:pt idx="14">
                  <c:v>1</c:v>
                </c:pt>
              </c:numCache>
            </c:numRef>
          </c:val>
          <c:extLst>
            <c:ext xmlns:c16="http://schemas.microsoft.com/office/drawing/2014/chart" uri="{C3380CC4-5D6E-409C-BE32-E72D297353CC}">
              <c16:uniqueId val="{00000064-7A17-4F8A-85C3-B3EF688A0E3B}"/>
            </c:ext>
          </c:extLst>
        </c:ser>
        <c:ser>
          <c:idx val="62"/>
          <c:order val="62"/>
          <c:tx>
            <c:strRef>
              <c:f>P!$BM$46:$BM$47</c:f>
              <c:strCache>
                <c:ptCount val="1"/>
                <c:pt idx="0">
                  <c:v>27-09-22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C1D-EDBC-400A-8A68-55C45A98B83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C1F-EDBC-400A-8A68-55C45A98B83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C21-EDBC-400A-8A68-55C45A98B83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C23-EDBC-400A-8A68-55C45A98B83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C25-EDBC-400A-8A68-55C45A98B83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C27-EDBC-400A-8A68-55C45A98B83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C29-EDBC-400A-8A68-55C45A98B83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C2B-EDBC-400A-8A68-55C45A98B83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C2D-EDBC-400A-8A68-55C45A98B83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C2F-EDBC-400A-8A68-55C45A98B834}"/>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C31-EDBC-400A-8A68-55C45A98B834}"/>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C33-EDBC-400A-8A68-55C45A98B834}"/>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C35-EDBC-400A-8A68-55C45A98B834}"/>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C37-EDBC-400A-8A68-55C45A98B834}"/>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C39-EDBC-400A-8A68-55C45A98B834}"/>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C3B-EDBC-400A-8A68-55C45A98B834}"/>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C3D-EDBC-400A-8A68-55C45A98B834}"/>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C3F-EDBC-400A-8A68-55C45A98B834}"/>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C41-EDBC-400A-8A68-55C45A98B834}"/>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C43-EDBC-400A-8A68-55C45A98B834}"/>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C45-EDBC-400A-8A68-55C45A98B834}"/>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C47-EDBC-400A-8A68-55C45A98B834}"/>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C49-EDBC-400A-8A68-55C45A98B834}"/>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C4B-EDBC-400A-8A68-55C45A98B834}"/>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C4D-EDBC-400A-8A68-55C45A98B83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P!$B$48:$B$72</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P!$BM$48:$BM$72</c:f>
              <c:numCache>
                <c:formatCode>0.00</c:formatCode>
                <c:ptCount val="25"/>
                <c:pt idx="1">
                  <c:v>0.41666666666666669</c:v>
                </c:pt>
                <c:pt idx="2">
                  <c:v>0.41666666666666669</c:v>
                </c:pt>
                <c:pt idx="5">
                  <c:v>1</c:v>
                </c:pt>
                <c:pt idx="6">
                  <c:v>0.33333333333333331</c:v>
                </c:pt>
                <c:pt idx="8">
                  <c:v>3.5</c:v>
                </c:pt>
                <c:pt idx="9">
                  <c:v>3.583333333333333</c:v>
                </c:pt>
                <c:pt idx="10">
                  <c:v>3.4166666666666665</c:v>
                </c:pt>
                <c:pt idx="11">
                  <c:v>3.5</c:v>
                </c:pt>
                <c:pt idx="12">
                  <c:v>0.5</c:v>
                </c:pt>
                <c:pt idx="13">
                  <c:v>0.33333333333333331</c:v>
                </c:pt>
              </c:numCache>
            </c:numRef>
          </c:val>
          <c:extLst>
            <c:ext xmlns:c16="http://schemas.microsoft.com/office/drawing/2014/chart" uri="{C3380CC4-5D6E-409C-BE32-E72D297353CC}">
              <c16:uniqueId val="{00000065-7A17-4F8A-85C3-B3EF688A0E3B}"/>
            </c:ext>
          </c:extLst>
        </c:ser>
        <c:ser>
          <c:idx val="63"/>
          <c:order val="63"/>
          <c:tx>
            <c:strRef>
              <c:f>P!$BN$46:$BN$47</c:f>
              <c:strCache>
                <c:ptCount val="1"/>
                <c:pt idx="0">
                  <c:v>27-10-22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C4F-EDBC-400A-8A68-55C45A98B83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C51-EDBC-400A-8A68-55C45A98B83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C53-EDBC-400A-8A68-55C45A98B83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C55-EDBC-400A-8A68-55C45A98B83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C57-EDBC-400A-8A68-55C45A98B83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C59-EDBC-400A-8A68-55C45A98B83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C5B-EDBC-400A-8A68-55C45A98B83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C5D-EDBC-400A-8A68-55C45A98B83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C5F-EDBC-400A-8A68-55C45A98B83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C61-EDBC-400A-8A68-55C45A98B834}"/>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C63-EDBC-400A-8A68-55C45A98B834}"/>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C65-EDBC-400A-8A68-55C45A98B834}"/>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C67-EDBC-400A-8A68-55C45A98B834}"/>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C69-EDBC-400A-8A68-55C45A98B834}"/>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C6B-EDBC-400A-8A68-55C45A98B834}"/>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C6D-EDBC-400A-8A68-55C45A98B834}"/>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C6F-EDBC-400A-8A68-55C45A98B834}"/>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C71-EDBC-400A-8A68-55C45A98B834}"/>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C73-EDBC-400A-8A68-55C45A98B834}"/>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C75-EDBC-400A-8A68-55C45A98B834}"/>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C77-EDBC-400A-8A68-55C45A98B834}"/>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C79-EDBC-400A-8A68-55C45A98B834}"/>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C7B-EDBC-400A-8A68-55C45A98B834}"/>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C7D-EDBC-400A-8A68-55C45A98B834}"/>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C7F-EDBC-400A-8A68-55C45A98B83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P!$B$48:$B$72</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P!$BN$48:$BN$72</c:f>
              <c:numCache>
                <c:formatCode>0.00</c:formatCode>
                <c:ptCount val="25"/>
                <c:pt idx="0">
                  <c:v>1.75</c:v>
                </c:pt>
                <c:pt idx="1">
                  <c:v>0.66666666666666663</c:v>
                </c:pt>
                <c:pt idx="2">
                  <c:v>0.66666666666666663</c:v>
                </c:pt>
                <c:pt idx="5">
                  <c:v>1</c:v>
                </c:pt>
                <c:pt idx="8">
                  <c:v>2.3333333333333335</c:v>
                </c:pt>
                <c:pt idx="9">
                  <c:v>3.3333333333333335</c:v>
                </c:pt>
                <c:pt idx="10">
                  <c:v>4.4166666666666661</c:v>
                </c:pt>
                <c:pt idx="11">
                  <c:v>0.41666666666666669</c:v>
                </c:pt>
                <c:pt idx="12">
                  <c:v>0.5</c:v>
                </c:pt>
                <c:pt idx="13">
                  <c:v>0.41666666666666669</c:v>
                </c:pt>
                <c:pt idx="14">
                  <c:v>1</c:v>
                </c:pt>
              </c:numCache>
            </c:numRef>
          </c:val>
          <c:extLst>
            <c:ext xmlns:c16="http://schemas.microsoft.com/office/drawing/2014/chart" uri="{C3380CC4-5D6E-409C-BE32-E72D297353CC}">
              <c16:uniqueId val="{00000066-7A17-4F8A-85C3-B3EF688A0E3B}"/>
            </c:ext>
          </c:extLst>
        </c:ser>
        <c:ser>
          <c:idx val="64"/>
          <c:order val="64"/>
          <c:tx>
            <c:strRef>
              <c:f>P!$BO$46:$BO$47</c:f>
              <c:strCache>
                <c:ptCount val="1"/>
                <c:pt idx="0">
                  <c:v>28-09-22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C81-EDBC-400A-8A68-55C45A98B83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C83-EDBC-400A-8A68-55C45A98B83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C85-EDBC-400A-8A68-55C45A98B83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C87-EDBC-400A-8A68-55C45A98B83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C89-EDBC-400A-8A68-55C45A98B83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C8B-EDBC-400A-8A68-55C45A98B83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C8D-EDBC-400A-8A68-55C45A98B83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C8F-EDBC-400A-8A68-55C45A98B83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C91-EDBC-400A-8A68-55C45A98B83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C93-EDBC-400A-8A68-55C45A98B834}"/>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C95-EDBC-400A-8A68-55C45A98B834}"/>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C97-EDBC-400A-8A68-55C45A98B834}"/>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C99-EDBC-400A-8A68-55C45A98B834}"/>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C9B-EDBC-400A-8A68-55C45A98B834}"/>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C9D-EDBC-400A-8A68-55C45A98B834}"/>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C9F-EDBC-400A-8A68-55C45A98B834}"/>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CA1-EDBC-400A-8A68-55C45A98B834}"/>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CA3-EDBC-400A-8A68-55C45A98B834}"/>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CA5-EDBC-400A-8A68-55C45A98B834}"/>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CA7-EDBC-400A-8A68-55C45A98B834}"/>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CA9-EDBC-400A-8A68-55C45A98B834}"/>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CAB-EDBC-400A-8A68-55C45A98B834}"/>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CAD-EDBC-400A-8A68-55C45A98B834}"/>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CAF-EDBC-400A-8A68-55C45A98B834}"/>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CB1-EDBC-400A-8A68-55C45A98B83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P!$B$48:$B$72</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P!$BO$48:$BO$72</c:f>
              <c:numCache>
                <c:formatCode>0.00</c:formatCode>
                <c:ptCount val="25"/>
                <c:pt idx="2">
                  <c:v>0.41666666666666669</c:v>
                </c:pt>
                <c:pt idx="5">
                  <c:v>1</c:v>
                </c:pt>
                <c:pt idx="6">
                  <c:v>0.33333333333333331</c:v>
                </c:pt>
                <c:pt idx="8">
                  <c:v>2.333333333333333</c:v>
                </c:pt>
                <c:pt idx="9">
                  <c:v>4</c:v>
                </c:pt>
                <c:pt idx="10">
                  <c:v>4</c:v>
                </c:pt>
                <c:pt idx="11">
                  <c:v>3.6666666666666665</c:v>
                </c:pt>
                <c:pt idx="12">
                  <c:v>0.5</c:v>
                </c:pt>
                <c:pt idx="14">
                  <c:v>0.75</c:v>
                </c:pt>
              </c:numCache>
            </c:numRef>
          </c:val>
          <c:extLst>
            <c:ext xmlns:c16="http://schemas.microsoft.com/office/drawing/2014/chart" uri="{C3380CC4-5D6E-409C-BE32-E72D297353CC}">
              <c16:uniqueId val="{00000067-7A17-4F8A-85C3-B3EF688A0E3B}"/>
            </c:ext>
          </c:extLst>
        </c:ser>
        <c:ser>
          <c:idx val="65"/>
          <c:order val="65"/>
          <c:tx>
            <c:strRef>
              <c:f>P!$BP$46:$BP$47</c:f>
              <c:strCache>
                <c:ptCount val="1"/>
                <c:pt idx="0">
                  <c:v>28-10-22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CB3-EDBC-400A-8A68-55C45A98B83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CB5-EDBC-400A-8A68-55C45A98B83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CB7-EDBC-400A-8A68-55C45A98B83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CB9-EDBC-400A-8A68-55C45A98B83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CBB-EDBC-400A-8A68-55C45A98B83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CBD-EDBC-400A-8A68-55C45A98B83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CBF-EDBC-400A-8A68-55C45A98B83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CC1-EDBC-400A-8A68-55C45A98B83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CC3-EDBC-400A-8A68-55C45A98B83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CC5-EDBC-400A-8A68-55C45A98B834}"/>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CC7-EDBC-400A-8A68-55C45A98B834}"/>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CC9-EDBC-400A-8A68-55C45A98B834}"/>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CCB-EDBC-400A-8A68-55C45A98B834}"/>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CCD-EDBC-400A-8A68-55C45A98B834}"/>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CCF-EDBC-400A-8A68-55C45A98B834}"/>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CD1-EDBC-400A-8A68-55C45A98B834}"/>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CD3-EDBC-400A-8A68-55C45A98B834}"/>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CD5-EDBC-400A-8A68-55C45A98B834}"/>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CD7-EDBC-400A-8A68-55C45A98B834}"/>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CD9-EDBC-400A-8A68-55C45A98B834}"/>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CDB-EDBC-400A-8A68-55C45A98B834}"/>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CDD-EDBC-400A-8A68-55C45A98B834}"/>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CDF-EDBC-400A-8A68-55C45A98B834}"/>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CE1-EDBC-400A-8A68-55C45A98B834}"/>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CE3-EDBC-400A-8A68-55C45A98B83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P!$B$48:$B$72</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P!$BP$48:$BP$72</c:f>
              <c:numCache>
                <c:formatCode>0.00</c:formatCode>
                <c:ptCount val="25"/>
                <c:pt idx="0">
                  <c:v>1.75</c:v>
                </c:pt>
                <c:pt idx="2">
                  <c:v>0.66666666666666663</c:v>
                </c:pt>
                <c:pt idx="5">
                  <c:v>1</c:v>
                </c:pt>
                <c:pt idx="8">
                  <c:v>3.8333333333333335</c:v>
                </c:pt>
                <c:pt idx="9">
                  <c:v>3.3333333333333335</c:v>
                </c:pt>
                <c:pt idx="10">
                  <c:v>6.166666666666667</c:v>
                </c:pt>
                <c:pt idx="11">
                  <c:v>0.41666666666666669</c:v>
                </c:pt>
                <c:pt idx="12">
                  <c:v>0.5</c:v>
                </c:pt>
                <c:pt idx="13">
                  <c:v>0.41666666666666669</c:v>
                </c:pt>
                <c:pt idx="14">
                  <c:v>1</c:v>
                </c:pt>
              </c:numCache>
            </c:numRef>
          </c:val>
          <c:extLst>
            <c:ext xmlns:c16="http://schemas.microsoft.com/office/drawing/2014/chart" uri="{C3380CC4-5D6E-409C-BE32-E72D297353CC}">
              <c16:uniqueId val="{00000068-7A17-4F8A-85C3-B3EF688A0E3B}"/>
            </c:ext>
          </c:extLst>
        </c:ser>
        <c:ser>
          <c:idx val="66"/>
          <c:order val="66"/>
          <c:tx>
            <c:strRef>
              <c:f>P!$BQ$46:$BQ$47</c:f>
              <c:strCache>
                <c:ptCount val="1"/>
                <c:pt idx="0">
                  <c:v>29-09-22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CE5-EDBC-400A-8A68-55C45A98B83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CE7-EDBC-400A-8A68-55C45A98B83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CE9-EDBC-400A-8A68-55C45A98B83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CEB-EDBC-400A-8A68-55C45A98B83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CED-EDBC-400A-8A68-55C45A98B83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CEF-EDBC-400A-8A68-55C45A98B83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CF1-EDBC-400A-8A68-55C45A98B83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CF3-EDBC-400A-8A68-55C45A98B83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CF5-EDBC-400A-8A68-55C45A98B83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CF7-EDBC-400A-8A68-55C45A98B834}"/>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CF9-EDBC-400A-8A68-55C45A98B834}"/>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CFB-EDBC-400A-8A68-55C45A98B834}"/>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CFD-EDBC-400A-8A68-55C45A98B834}"/>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CFF-EDBC-400A-8A68-55C45A98B834}"/>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D01-EDBC-400A-8A68-55C45A98B834}"/>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D03-EDBC-400A-8A68-55C45A98B834}"/>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D05-EDBC-400A-8A68-55C45A98B834}"/>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D07-EDBC-400A-8A68-55C45A98B834}"/>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D09-EDBC-400A-8A68-55C45A98B834}"/>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D0B-EDBC-400A-8A68-55C45A98B834}"/>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D0D-EDBC-400A-8A68-55C45A98B834}"/>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D0F-EDBC-400A-8A68-55C45A98B834}"/>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D11-EDBC-400A-8A68-55C45A98B834}"/>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D13-EDBC-400A-8A68-55C45A98B834}"/>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D15-EDBC-400A-8A68-55C45A98B83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P!$B$48:$B$72</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P!$BQ$48:$BQ$72</c:f>
              <c:numCache>
                <c:formatCode>0.00</c:formatCode>
                <c:ptCount val="25"/>
                <c:pt idx="2">
                  <c:v>0.41666666666666669</c:v>
                </c:pt>
                <c:pt idx="5">
                  <c:v>1</c:v>
                </c:pt>
                <c:pt idx="6">
                  <c:v>0.33333333333333331</c:v>
                </c:pt>
                <c:pt idx="8">
                  <c:v>2</c:v>
                </c:pt>
                <c:pt idx="9">
                  <c:v>4.75</c:v>
                </c:pt>
                <c:pt idx="10">
                  <c:v>5.2499999999999991</c:v>
                </c:pt>
                <c:pt idx="11">
                  <c:v>1.9166666666666665</c:v>
                </c:pt>
                <c:pt idx="12">
                  <c:v>0.5</c:v>
                </c:pt>
                <c:pt idx="13">
                  <c:v>0.58333333333333337</c:v>
                </c:pt>
              </c:numCache>
            </c:numRef>
          </c:val>
          <c:extLst>
            <c:ext xmlns:c16="http://schemas.microsoft.com/office/drawing/2014/chart" uri="{C3380CC4-5D6E-409C-BE32-E72D297353CC}">
              <c16:uniqueId val="{00000069-7A17-4F8A-85C3-B3EF688A0E3B}"/>
            </c:ext>
          </c:extLst>
        </c:ser>
        <c:ser>
          <c:idx val="67"/>
          <c:order val="67"/>
          <c:tx>
            <c:strRef>
              <c:f>P!$BR$46:$BR$47</c:f>
              <c:strCache>
                <c:ptCount val="1"/>
                <c:pt idx="0">
                  <c:v>29-10-22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D17-EDBC-400A-8A68-55C45A98B83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D19-EDBC-400A-8A68-55C45A98B83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D1B-EDBC-400A-8A68-55C45A98B83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D1D-EDBC-400A-8A68-55C45A98B83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D1F-EDBC-400A-8A68-55C45A98B83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D21-EDBC-400A-8A68-55C45A98B83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D23-EDBC-400A-8A68-55C45A98B83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D25-EDBC-400A-8A68-55C45A98B83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D27-EDBC-400A-8A68-55C45A98B83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D29-EDBC-400A-8A68-55C45A98B834}"/>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D2B-EDBC-400A-8A68-55C45A98B834}"/>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D2D-EDBC-400A-8A68-55C45A98B834}"/>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D2F-EDBC-400A-8A68-55C45A98B834}"/>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D31-EDBC-400A-8A68-55C45A98B834}"/>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D33-EDBC-400A-8A68-55C45A98B834}"/>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D35-EDBC-400A-8A68-55C45A98B834}"/>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D37-EDBC-400A-8A68-55C45A98B834}"/>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D39-EDBC-400A-8A68-55C45A98B834}"/>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D3B-EDBC-400A-8A68-55C45A98B834}"/>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D3D-EDBC-400A-8A68-55C45A98B834}"/>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D3F-EDBC-400A-8A68-55C45A98B834}"/>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D41-EDBC-400A-8A68-55C45A98B834}"/>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D43-EDBC-400A-8A68-55C45A98B834}"/>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D45-EDBC-400A-8A68-55C45A98B834}"/>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D47-EDBC-400A-8A68-55C45A98B83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P!$B$48:$B$72</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P!$BR$48:$BR$72</c:f>
              <c:numCache>
                <c:formatCode>0.00</c:formatCode>
                <c:ptCount val="25"/>
                <c:pt idx="0">
                  <c:v>1.3333333333333333</c:v>
                </c:pt>
                <c:pt idx="2">
                  <c:v>0.66666666666666663</c:v>
                </c:pt>
                <c:pt idx="5">
                  <c:v>1</c:v>
                </c:pt>
                <c:pt idx="8">
                  <c:v>4</c:v>
                </c:pt>
                <c:pt idx="9">
                  <c:v>3.3333333333333335</c:v>
                </c:pt>
                <c:pt idx="10">
                  <c:v>5.333333333333333</c:v>
                </c:pt>
                <c:pt idx="11">
                  <c:v>0.41666666666666669</c:v>
                </c:pt>
                <c:pt idx="12">
                  <c:v>0.5</c:v>
                </c:pt>
                <c:pt idx="13">
                  <c:v>0.41666666666666669</c:v>
                </c:pt>
                <c:pt idx="14">
                  <c:v>1</c:v>
                </c:pt>
              </c:numCache>
            </c:numRef>
          </c:val>
          <c:extLst>
            <c:ext xmlns:c16="http://schemas.microsoft.com/office/drawing/2014/chart" uri="{C3380CC4-5D6E-409C-BE32-E72D297353CC}">
              <c16:uniqueId val="{0000006A-7A17-4F8A-85C3-B3EF688A0E3B}"/>
            </c:ext>
          </c:extLst>
        </c:ser>
        <c:ser>
          <c:idx val="68"/>
          <c:order val="68"/>
          <c:tx>
            <c:strRef>
              <c:f>P!$BS$46:$BS$47</c:f>
              <c:strCache>
                <c:ptCount val="1"/>
                <c:pt idx="0">
                  <c:v>30-09-22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D49-EDBC-400A-8A68-55C45A98B83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D4B-EDBC-400A-8A68-55C45A98B83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D4D-EDBC-400A-8A68-55C45A98B83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D4F-EDBC-400A-8A68-55C45A98B83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D51-EDBC-400A-8A68-55C45A98B83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D53-EDBC-400A-8A68-55C45A98B83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D55-EDBC-400A-8A68-55C45A98B83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D57-EDBC-400A-8A68-55C45A98B83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D59-EDBC-400A-8A68-55C45A98B83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D5B-EDBC-400A-8A68-55C45A98B834}"/>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D5D-EDBC-400A-8A68-55C45A98B834}"/>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D5F-EDBC-400A-8A68-55C45A98B834}"/>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D61-EDBC-400A-8A68-55C45A98B834}"/>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D63-EDBC-400A-8A68-55C45A98B834}"/>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D65-EDBC-400A-8A68-55C45A98B834}"/>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D67-EDBC-400A-8A68-55C45A98B834}"/>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D69-EDBC-400A-8A68-55C45A98B834}"/>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D6B-EDBC-400A-8A68-55C45A98B834}"/>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D6D-EDBC-400A-8A68-55C45A98B834}"/>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D6F-EDBC-400A-8A68-55C45A98B834}"/>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D71-EDBC-400A-8A68-55C45A98B834}"/>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D73-EDBC-400A-8A68-55C45A98B834}"/>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D75-EDBC-400A-8A68-55C45A98B834}"/>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D77-EDBC-400A-8A68-55C45A98B834}"/>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D79-EDBC-400A-8A68-55C45A98B83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P!$B$48:$B$72</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P!$BS$48:$BS$72</c:f>
              <c:numCache>
                <c:formatCode>0.00</c:formatCode>
                <c:ptCount val="25"/>
                <c:pt idx="2">
                  <c:v>0.41666666666666669</c:v>
                </c:pt>
                <c:pt idx="5">
                  <c:v>1</c:v>
                </c:pt>
                <c:pt idx="6">
                  <c:v>0.33333333333333331</c:v>
                </c:pt>
                <c:pt idx="8">
                  <c:v>2.25</c:v>
                </c:pt>
                <c:pt idx="9">
                  <c:v>4.666666666666667</c:v>
                </c:pt>
                <c:pt idx="10">
                  <c:v>6.4166666666666661</c:v>
                </c:pt>
                <c:pt idx="11">
                  <c:v>0.58333333333333337</c:v>
                </c:pt>
                <c:pt idx="12">
                  <c:v>0.5</c:v>
                </c:pt>
                <c:pt idx="13">
                  <c:v>0.75</c:v>
                </c:pt>
              </c:numCache>
            </c:numRef>
          </c:val>
          <c:extLst>
            <c:ext xmlns:c16="http://schemas.microsoft.com/office/drawing/2014/chart" uri="{C3380CC4-5D6E-409C-BE32-E72D297353CC}">
              <c16:uniqueId val="{0000006B-7A17-4F8A-85C3-B3EF688A0E3B}"/>
            </c:ext>
          </c:extLst>
        </c:ser>
        <c:ser>
          <c:idx val="69"/>
          <c:order val="69"/>
          <c:tx>
            <c:strRef>
              <c:f>P!$BT$46:$BT$47</c:f>
              <c:strCache>
                <c:ptCount val="1"/>
                <c:pt idx="0">
                  <c:v>31-10-22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D7B-EDBC-400A-8A68-55C45A98B83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D7D-EDBC-400A-8A68-55C45A98B83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D7F-EDBC-400A-8A68-55C45A98B83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D81-EDBC-400A-8A68-55C45A98B83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D83-EDBC-400A-8A68-55C45A98B83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D85-EDBC-400A-8A68-55C45A98B83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D87-EDBC-400A-8A68-55C45A98B83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D89-EDBC-400A-8A68-55C45A98B83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D8B-EDBC-400A-8A68-55C45A98B83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D8D-EDBC-400A-8A68-55C45A98B834}"/>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D8F-EDBC-400A-8A68-55C45A98B834}"/>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D91-EDBC-400A-8A68-55C45A98B834}"/>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D93-EDBC-400A-8A68-55C45A98B834}"/>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D95-EDBC-400A-8A68-55C45A98B834}"/>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D97-EDBC-400A-8A68-55C45A98B834}"/>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D99-EDBC-400A-8A68-55C45A98B834}"/>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D9B-EDBC-400A-8A68-55C45A98B834}"/>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D9D-EDBC-400A-8A68-55C45A98B834}"/>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D9F-EDBC-400A-8A68-55C45A98B834}"/>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DA1-EDBC-400A-8A68-55C45A98B834}"/>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DA3-EDBC-400A-8A68-55C45A98B834}"/>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DA5-EDBC-400A-8A68-55C45A98B834}"/>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DA7-EDBC-400A-8A68-55C45A98B834}"/>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DA9-EDBC-400A-8A68-55C45A98B834}"/>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DAB-EDBC-400A-8A68-55C45A98B83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P!$B$48:$B$72</c:f>
              <c:strCache>
                <c:ptCount val="25"/>
                <c:pt idx="0">
                  <c:v>Account Management</c:v>
                </c:pt>
                <c:pt idx="1">
                  <c:v>Client Meeting</c:v>
                </c:pt>
                <c:pt idx="2">
                  <c:v>Team Meeting</c:v>
                </c:pt>
                <c:pt idx="3">
                  <c:v>All Markets</c:v>
                </c:pt>
                <c:pt idx="4">
                  <c:v>All Market</c:v>
                </c:pt>
                <c:pt idx="5">
                  <c:v>AHS</c:v>
                </c:pt>
                <c:pt idx="6">
                  <c:v>Meeting</c:v>
                </c:pt>
                <c:pt idx="7">
                  <c:v>Amazon Seller Flex (AE)</c:v>
                </c:pt>
                <c:pt idx="8">
                  <c:v>Amazon.USA (SC)</c:v>
                </c:pt>
                <c:pt idx="9">
                  <c:v>MACY’S</c:v>
                </c:pt>
                <c:pt idx="10">
                  <c:v>Amazon.CA (SC)</c:v>
                </c:pt>
                <c:pt idx="11">
                  <c:v>Canadiantire.CA</c:v>
                </c:pt>
                <c:pt idx="12">
                  <c:v>Kroger</c:v>
                </c:pt>
                <c:pt idx="13">
                  <c:v>Canada Store</c:v>
                </c:pt>
                <c:pt idx="14">
                  <c:v>Amazon.USA (VC)</c:v>
                </c:pt>
                <c:pt idx="15">
                  <c:v>Amazon.CA (VC)</c:v>
                </c:pt>
                <c:pt idx="16">
                  <c:v>Macy's</c:v>
                </c:pt>
                <c:pt idx="17">
                  <c:v>Newegg.CA</c:v>
                </c:pt>
                <c:pt idx="18">
                  <c:v>Lowe’s</c:v>
                </c:pt>
                <c:pt idx="19">
                  <c:v>Wayfair.USA</c:v>
                </c:pt>
                <c:pt idx="20">
                  <c:v>BestBuy.CA</c:v>
                </c:pt>
                <c:pt idx="21">
                  <c:v>Amazon Wayfair(USA)</c:v>
                </c:pt>
                <c:pt idx="22">
                  <c:v>Wayfair Meeting</c:v>
                </c:pt>
                <c:pt idx="23">
                  <c:v>BestBuy.CA Meeting</c:v>
                </c:pt>
                <c:pt idx="24">
                  <c:v>Target.USA</c:v>
                </c:pt>
              </c:strCache>
            </c:strRef>
          </c:cat>
          <c:val>
            <c:numRef>
              <c:f>P!$BT$48:$BT$72</c:f>
              <c:numCache>
                <c:formatCode>0.00</c:formatCode>
                <c:ptCount val="25"/>
                <c:pt idx="0">
                  <c:v>0.5</c:v>
                </c:pt>
                <c:pt idx="2">
                  <c:v>0.66666666666666663</c:v>
                </c:pt>
                <c:pt idx="5">
                  <c:v>1</c:v>
                </c:pt>
                <c:pt idx="8">
                  <c:v>1.8333333333333333</c:v>
                </c:pt>
                <c:pt idx="9">
                  <c:v>3.833333333333333</c:v>
                </c:pt>
                <c:pt idx="10">
                  <c:v>7.1666666666666661</c:v>
                </c:pt>
                <c:pt idx="12">
                  <c:v>0.33333333333333331</c:v>
                </c:pt>
                <c:pt idx="13">
                  <c:v>0.41666666666666669</c:v>
                </c:pt>
                <c:pt idx="18">
                  <c:v>0.33333333333333331</c:v>
                </c:pt>
                <c:pt idx="19">
                  <c:v>0.33333333333333331</c:v>
                </c:pt>
                <c:pt idx="24">
                  <c:v>0.33333333333333331</c:v>
                </c:pt>
              </c:numCache>
            </c:numRef>
          </c:val>
          <c:extLst>
            <c:ext xmlns:c16="http://schemas.microsoft.com/office/drawing/2014/chart" uri="{C3380CC4-5D6E-409C-BE32-E72D297353CC}">
              <c16:uniqueId val="{0000006C-7A17-4F8A-85C3-B3EF688A0E3B}"/>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2700" cap="flat" cmpd="sng" algn="ctr">
      <a:solidFill>
        <a:schemeClr val="dk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135356</xdr:colOff>
      <xdr:row>0</xdr:row>
      <xdr:rowOff>104775</xdr:rowOff>
    </xdr:from>
    <xdr:to>
      <xdr:col>24</xdr:col>
      <xdr:colOff>1038225</xdr:colOff>
      <xdr:row>40</xdr:row>
      <xdr:rowOff>219075</xdr:rowOff>
    </xdr:to>
    <xdr:grpSp>
      <xdr:nvGrpSpPr>
        <xdr:cNvPr id="24" name="Group 23">
          <a:extLst>
            <a:ext uri="{FF2B5EF4-FFF2-40B4-BE49-F238E27FC236}">
              <a16:creationId xmlns:a16="http://schemas.microsoft.com/office/drawing/2014/main" id="{00000000-0008-0000-0000-000018000000}"/>
            </a:ext>
          </a:extLst>
        </xdr:cNvPr>
        <xdr:cNvGrpSpPr/>
      </xdr:nvGrpSpPr>
      <xdr:grpSpPr>
        <a:xfrm>
          <a:off x="135356" y="104775"/>
          <a:ext cx="15628519" cy="6591300"/>
          <a:chOff x="135030" y="428625"/>
          <a:chExt cx="15628845" cy="6591300"/>
        </a:xfrm>
      </xdr:grpSpPr>
      <xdr:grpSp>
        <xdr:nvGrpSpPr>
          <xdr:cNvPr id="11" name="Group 10">
            <a:extLst>
              <a:ext uri="{FF2B5EF4-FFF2-40B4-BE49-F238E27FC236}">
                <a16:creationId xmlns:a16="http://schemas.microsoft.com/office/drawing/2014/main" id="{00000000-0008-0000-0000-00000B000000}"/>
              </a:ext>
            </a:extLst>
          </xdr:cNvPr>
          <xdr:cNvGrpSpPr/>
        </xdr:nvGrpSpPr>
        <xdr:grpSpPr>
          <a:xfrm>
            <a:off x="135030" y="752475"/>
            <a:ext cx="15628845" cy="6267450"/>
            <a:chOff x="133397" y="180976"/>
            <a:chExt cx="17097329" cy="6438900"/>
          </a:xfrm>
        </xdr:grpSpPr>
        <mc:AlternateContent xmlns:mc="http://schemas.openxmlformats.org/markup-compatibility/2006" xmlns:a14="http://schemas.microsoft.com/office/drawing/2010/main">
          <mc:Choice Requires="a14">
            <xdr:graphicFrame macro="">
              <xdr:nvGraphicFramePr>
                <xdr:cNvPr id="12" name="Date">
                  <a:extLst>
                    <a:ext uri="{FF2B5EF4-FFF2-40B4-BE49-F238E27FC236}">
                      <a16:creationId xmlns:a16="http://schemas.microsoft.com/office/drawing/2014/main" id="{00000000-0008-0000-0000-00000C000000}"/>
                    </a:ext>
                  </a:extLst>
                </xdr:cNvPr>
                <xdr:cNvGraphicFramePr/>
              </xdr:nvGraphicFramePr>
              <xdr:xfrm>
                <a:off x="133397" y="2539297"/>
                <a:ext cx="1219153" cy="4080577"/>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135356" y="2724150"/>
                  <a:ext cx="1114417" cy="397192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nvGrpSpPr>
            <xdr:cNvPr id="5" name="Group 4">
              <a:extLst>
                <a:ext uri="{FF2B5EF4-FFF2-40B4-BE49-F238E27FC236}">
                  <a16:creationId xmlns:a16="http://schemas.microsoft.com/office/drawing/2014/main" id="{00000000-0008-0000-0000-000005000000}"/>
                </a:ext>
              </a:extLst>
            </xdr:cNvPr>
            <xdr:cNvGrpSpPr/>
          </xdr:nvGrpSpPr>
          <xdr:grpSpPr>
            <a:xfrm>
              <a:off x="1365458" y="192699"/>
              <a:ext cx="2368343" cy="783248"/>
              <a:chOff x="1227058" y="542925"/>
              <a:chExt cx="2637911" cy="783713"/>
            </a:xfrm>
            <a:solidFill>
              <a:schemeClr val="accent6">
                <a:lumMod val="40000"/>
                <a:lumOff val="60000"/>
              </a:schemeClr>
            </a:solidFill>
          </xdr:grpSpPr>
          <mc:AlternateContent xmlns:mc="http://schemas.openxmlformats.org/markup-compatibility/2006" xmlns:a14="http://schemas.microsoft.com/office/drawing/2010/main">
            <mc:Choice Requires="a14">
              <xdr:graphicFrame macro="">
                <xdr:nvGraphicFramePr>
                  <xdr:cNvPr id="2" name="Person">
                    <a:extLst>
                      <a:ext uri="{FF2B5EF4-FFF2-40B4-BE49-F238E27FC236}">
                        <a16:creationId xmlns:a16="http://schemas.microsoft.com/office/drawing/2014/main" id="{00000000-0008-0000-0000-000002000000}"/>
                      </a:ext>
                    </a:extLst>
                  </xdr:cNvPr>
                  <xdr:cNvGraphicFramePr/>
                </xdr:nvGraphicFramePr>
                <xdr:xfrm>
                  <a:off x="1237697" y="890587"/>
                  <a:ext cx="2627272" cy="436051"/>
                </xdr:xfrm>
                <a:graphic>
                  <a:graphicData uri="http://schemas.microsoft.com/office/drawing/2010/slicer">
                    <sle:slicer xmlns:sle="http://schemas.microsoft.com/office/drawing/2010/slicer" name="Person"/>
                  </a:graphicData>
                </a:graphic>
              </xdr:graphicFrame>
            </mc:Choice>
            <mc:Fallback xmlns="">
              <xdr:sp macro="" textlink="">
                <xdr:nvSpPr>
                  <xdr:cNvPr id="0" name=""/>
                  <xdr:cNvSpPr>
                    <a:spLocks noTextEdit="1"/>
                  </xdr:cNvSpPr>
                </xdr:nvSpPr>
                <xdr:spPr>
                  <a:xfrm>
                    <a:off x="1270000" y="778240"/>
                    <a:ext cx="2156196" cy="42418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4" name="Rectangle: Top Corners One Rounded and One Snipped 3">
                <a:extLst>
                  <a:ext uri="{FF2B5EF4-FFF2-40B4-BE49-F238E27FC236}">
                    <a16:creationId xmlns:a16="http://schemas.microsoft.com/office/drawing/2014/main" id="{00000000-0008-0000-0000-000004000000}"/>
                  </a:ext>
                </a:extLst>
              </xdr:cNvPr>
              <xdr:cNvSpPr/>
            </xdr:nvSpPr>
            <xdr:spPr>
              <a:xfrm>
                <a:off x="1227058" y="542925"/>
                <a:ext cx="2634239" cy="333375"/>
              </a:xfrm>
              <a:prstGeom prst="snipRoundRect">
                <a:avLst/>
              </a:prstGeom>
              <a:ln>
                <a:solidFill>
                  <a:schemeClr val="tx1"/>
                </a:solidFill>
              </a:ln>
            </xdr:spPr>
            <xdr:style>
              <a:lnRef idx="2">
                <a:schemeClr val="dk1"/>
              </a:lnRef>
              <a:fillRef idx="1002">
                <a:schemeClr val="lt2"/>
              </a:fillRef>
              <a:effectRef idx="0">
                <a:schemeClr val="dk1"/>
              </a:effectRef>
              <a:fontRef idx="minor">
                <a:schemeClr val="dk1"/>
              </a:fontRef>
            </xdr:style>
            <xdr:txBody>
              <a:bodyPr vertOverflow="clip" horzOverflow="clip" rtlCol="0" anchor="t"/>
              <a:lstStyle/>
              <a:p>
                <a:pPr marL="0" indent="0" algn="ctr"/>
                <a:r>
                  <a:rPr lang="en-US" sz="1500" b="1">
                    <a:solidFill>
                      <a:schemeClr val="tx1"/>
                    </a:solidFill>
                    <a:latin typeface="+mn-lt"/>
                    <a:ea typeface="+mn-ea"/>
                    <a:cs typeface="+mn-cs"/>
                  </a:rPr>
                  <a:t>Resources</a:t>
                </a:r>
              </a:p>
            </xdr:txBody>
          </xdr:sp>
        </xdr:grpSp>
        <xdr:grpSp>
          <xdr:nvGrpSpPr>
            <xdr:cNvPr id="7" name="Group 6">
              <a:extLst>
                <a:ext uri="{FF2B5EF4-FFF2-40B4-BE49-F238E27FC236}">
                  <a16:creationId xmlns:a16="http://schemas.microsoft.com/office/drawing/2014/main" id="{00000000-0008-0000-0000-000007000000}"/>
                </a:ext>
              </a:extLst>
            </xdr:cNvPr>
            <xdr:cNvGrpSpPr/>
          </xdr:nvGrpSpPr>
          <xdr:grpSpPr>
            <a:xfrm>
              <a:off x="11645507" y="180976"/>
              <a:ext cx="2709245" cy="2522659"/>
              <a:chOff x="575753" y="1903257"/>
              <a:chExt cx="2055139" cy="2592884"/>
            </a:xfrm>
          </xdr:grpSpPr>
          <mc:AlternateContent xmlns:mc="http://schemas.openxmlformats.org/markup-compatibility/2006" xmlns:a14="http://schemas.microsoft.com/office/drawing/2010/main">
            <mc:Choice Requires="a14">
              <xdr:graphicFrame macro="">
                <xdr:nvGraphicFramePr>
                  <xdr:cNvPr id="3" name="Marketplace">
                    <a:extLst>
                      <a:ext uri="{FF2B5EF4-FFF2-40B4-BE49-F238E27FC236}">
                        <a16:creationId xmlns:a16="http://schemas.microsoft.com/office/drawing/2014/main" id="{00000000-0008-0000-0000-000003000000}"/>
                      </a:ext>
                    </a:extLst>
                  </xdr:cNvPr>
                  <xdr:cNvGraphicFramePr/>
                </xdr:nvGraphicFramePr>
                <xdr:xfrm>
                  <a:off x="591561" y="2285072"/>
                  <a:ext cx="2039331" cy="2211069"/>
                </xdr:xfrm>
                <a:graphic>
                  <a:graphicData uri="http://schemas.microsoft.com/office/drawing/2010/slicer">
                    <sle:slicer xmlns:sle="http://schemas.microsoft.com/office/drawing/2010/slicer" name="Marketplace"/>
                  </a:graphicData>
                </a:graphic>
              </xdr:graphicFrame>
            </mc:Choice>
            <mc:Fallback xmlns="">
              <xdr:sp macro="" textlink="">
                <xdr:nvSpPr>
                  <xdr:cNvPr id="0" name=""/>
                  <xdr:cNvSpPr>
                    <a:spLocks noTextEdit="1"/>
                  </xdr:cNvSpPr>
                </xdr:nvSpPr>
                <xdr:spPr>
                  <a:xfrm>
                    <a:off x="10594976" y="790208"/>
                    <a:ext cx="2252088" cy="20939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6" name="Rectangle: Top Corners One Rounded and One Snipped 5">
                <a:extLst>
                  <a:ext uri="{FF2B5EF4-FFF2-40B4-BE49-F238E27FC236}">
                    <a16:creationId xmlns:a16="http://schemas.microsoft.com/office/drawing/2014/main" id="{00000000-0008-0000-0000-000006000000}"/>
                  </a:ext>
                </a:extLst>
              </xdr:cNvPr>
              <xdr:cNvSpPr/>
            </xdr:nvSpPr>
            <xdr:spPr>
              <a:xfrm>
                <a:off x="575753" y="1903257"/>
                <a:ext cx="2047235" cy="372025"/>
              </a:xfrm>
              <a:prstGeom prst="snipRoundRect">
                <a:avLst/>
              </a:prstGeom>
            </xdr:spPr>
            <xdr:style>
              <a:lnRef idx="2">
                <a:schemeClr val="dk1"/>
              </a:lnRef>
              <a:fillRef idx="1002">
                <a:schemeClr val="lt2"/>
              </a:fillRef>
              <a:effectRef idx="0">
                <a:schemeClr val="dk1"/>
              </a:effectRef>
              <a:fontRef idx="minor">
                <a:schemeClr val="dk1"/>
              </a:fontRef>
            </xdr:style>
            <xdr:txBody>
              <a:bodyPr vertOverflow="clip" horzOverflow="clip" rtlCol="0" anchor="t"/>
              <a:lstStyle/>
              <a:p>
                <a:pPr marL="0" indent="0" algn="ctr"/>
                <a:r>
                  <a:rPr lang="en-US" sz="1500" b="1">
                    <a:solidFill>
                      <a:schemeClr val="tx1"/>
                    </a:solidFill>
                    <a:latin typeface="+mn-lt"/>
                    <a:ea typeface="+mn-ea"/>
                    <a:cs typeface="+mn-cs"/>
                  </a:rPr>
                  <a:t>Market Place</a:t>
                </a:r>
              </a:p>
            </xdr:txBody>
          </xdr:sp>
        </xdr:grpSp>
        <xdr:grpSp>
          <xdr:nvGrpSpPr>
            <xdr:cNvPr id="15" name="Group 14">
              <a:extLst>
                <a:ext uri="{FF2B5EF4-FFF2-40B4-BE49-F238E27FC236}">
                  <a16:creationId xmlns:a16="http://schemas.microsoft.com/office/drawing/2014/main" id="{00000000-0008-0000-0000-00000F000000}"/>
                </a:ext>
              </a:extLst>
            </xdr:cNvPr>
            <xdr:cNvGrpSpPr/>
          </xdr:nvGrpSpPr>
          <xdr:grpSpPr>
            <a:xfrm>
              <a:off x="1371600" y="1028700"/>
              <a:ext cx="7649329" cy="2762249"/>
              <a:chOff x="2085974" y="868147"/>
              <a:chExt cx="6953251" cy="2693498"/>
            </a:xfrm>
          </xdr:grpSpPr>
          <xdr:graphicFrame macro="">
            <xdr:nvGraphicFramePr>
              <xdr:cNvPr id="13" name="Chart 12">
                <a:extLst>
                  <a:ext uri="{FF2B5EF4-FFF2-40B4-BE49-F238E27FC236}">
                    <a16:creationId xmlns:a16="http://schemas.microsoft.com/office/drawing/2014/main" id="{00000000-0008-0000-0000-00000D000000}"/>
                  </a:ext>
                </a:extLst>
              </xdr:cNvPr>
              <xdr:cNvGraphicFramePr>
                <a:graphicFrameLocks/>
              </xdr:cNvGraphicFramePr>
            </xdr:nvGraphicFramePr>
            <xdr:xfrm>
              <a:off x="2085974" y="1238250"/>
              <a:ext cx="6953251" cy="2323395"/>
            </xdr:xfrm>
            <a:graphic>
              <a:graphicData uri="http://schemas.openxmlformats.org/drawingml/2006/chart">
                <c:chart xmlns:c="http://schemas.openxmlformats.org/drawingml/2006/chart" xmlns:r="http://schemas.openxmlformats.org/officeDocument/2006/relationships" r:id="rId1"/>
              </a:graphicData>
            </a:graphic>
          </xdr:graphicFrame>
          <xdr:sp macro="" textlink="">
            <xdr:nvSpPr>
              <xdr:cNvPr id="14" name="Rectangle: Single Corner Snipped 13">
                <a:extLst>
                  <a:ext uri="{FF2B5EF4-FFF2-40B4-BE49-F238E27FC236}">
                    <a16:creationId xmlns:a16="http://schemas.microsoft.com/office/drawing/2014/main" id="{00000000-0008-0000-0000-00000E000000}"/>
                  </a:ext>
                </a:extLst>
              </xdr:cNvPr>
              <xdr:cNvSpPr/>
            </xdr:nvSpPr>
            <xdr:spPr>
              <a:xfrm>
                <a:off x="2091302" y="868147"/>
                <a:ext cx="6945905" cy="351645"/>
              </a:xfrm>
              <a:prstGeom prst="snip1Rect">
                <a:avLst/>
              </a:prstGeom>
            </xdr:spPr>
            <xdr:style>
              <a:lnRef idx="2">
                <a:schemeClr val="dk1"/>
              </a:lnRef>
              <a:fillRef idx="1002">
                <a:schemeClr val="lt2"/>
              </a:fillRef>
              <a:effectRef idx="0">
                <a:schemeClr val="dk1"/>
              </a:effectRef>
              <a:fontRef idx="minor">
                <a:schemeClr val="dk1"/>
              </a:fontRef>
            </xdr:style>
            <xdr:txBody>
              <a:bodyPr vertOverflow="clip" horzOverflow="clip" rtlCol="0" anchor="t"/>
              <a:lstStyle/>
              <a:p>
                <a:pPr marL="0" indent="0" algn="ctr"/>
                <a:r>
                  <a:rPr lang="en-US" sz="1800" b="1">
                    <a:solidFill>
                      <a:schemeClr val="tx1"/>
                    </a:solidFill>
                    <a:latin typeface="+mn-lt"/>
                    <a:ea typeface="+mn-ea"/>
                    <a:cs typeface="+mn-cs"/>
                  </a:rPr>
                  <a:t>Per Head Time </a:t>
                </a:r>
                <a:r>
                  <a:rPr lang="en-US" sz="1500" b="1">
                    <a:solidFill>
                      <a:schemeClr val="tx1"/>
                    </a:solidFill>
                    <a:latin typeface="+mn-lt"/>
                    <a:ea typeface="+mn-ea"/>
                    <a:cs typeface="+mn-cs"/>
                  </a:rPr>
                  <a:t>Devoted</a:t>
                </a:r>
                <a:r>
                  <a:rPr lang="en-US" sz="1800" b="1">
                    <a:solidFill>
                      <a:schemeClr val="tx1"/>
                    </a:solidFill>
                    <a:latin typeface="+mn-lt"/>
                    <a:ea typeface="+mn-ea"/>
                    <a:cs typeface="+mn-cs"/>
                  </a:rPr>
                  <a:t> by Resources on Activity</a:t>
                </a:r>
              </a:p>
            </xdr:txBody>
          </xdr:sp>
        </xdr:grpSp>
        <xdr:graphicFrame macro="">
          <xdr:nvGraphicFramePr>
            <xdr:cNvPr id="25" name="Chart 24">
              <a:extLst>
                <a:ext uri="{FF2B5EF4-FFF2-40B4-BE49-F238E27FC236}">
                  <a16:creationId xmlns:a16="http://schemas.microsoft.com/office/drawing/2014/main" id="{00000000-0008-0000-0000-000019000000}"/>
                </a:ext>
              </a:extLst>
            </xdr:cNvPr>
            <xdr:cNvGraphicFramePr>
              <a:graphicFrameLocks/>
            </xdr:cNvGraphicFramePr>
          </xdr:nvGraphicFramePr>
          <xdr:xfrm>
            <a:off x="4400551" y="3819525"/>
            <a:ext cx="4629149" cy="2800351"/>
          </xdr:xfrm>
          <a:graphic>
            <a:graphicData uri="http://schemas.openxmlformats.org/drawingml/2006/chart">
              <c:chart xmlns:c="http://schemas.openxmlformats.org/drawingml/2006/chart" xmlns:r="http://schemas.openxmlformats.org/officeDocument/2006/relationships" r:id="rId2"/>
            </a:graphicData>
          </a:graphic>
        </xdr:graphicFrame>
        <xdr:grpSp>
          <xdr:nvGrpSpPr>
            <xdr:cNvPr id="20" name="Group 19">
              <a:extLst>
                <a:ext uri="{FF2B5EF4-FFF2-40B4-BE49-F238E27FC236}">
                  <a16:creationId xmlns:a16="http://schemas.microsoft.com/office/drawing/2014/main" id="{00000000-0008-0000-0000-000014000000}"/>
                </a:ext>
              </a:extLst>
            </xdr:cNvPr>
            <xdr:cNvGrpSpPr/>
          </xdr:nvGrpSpPr>
          <xdr:grpSpPr>
            <a:xfrm>
              <a:off x="9064073" y="200026"/>
              <a:ext cx="2560593" cy="2520719"/>
              <a:chOff x="9087938" y="164372"/>
              <a:chExt cx="2174976" cy="1320908"/>
            </a:xfrm>
          </xdr:grpSpPr>
          <xdr:sp macro="" textlink="">
            <xdr:nvSpPr>
              <xdr:cNvPr id="18" name="Rectangle: Top Corners One Rounded and One Snipped 17">
                <a:extLst>
                  <a:ext uri="{FF2B5EF4-FFF2-40B4-BE49-F238E27FC236}">
                    <a16:creationId xmlns:a16="http://schemas.microsoft.com/office/drawing/2014/main" id="{00000000-0008-0000-0000-000012000000}"/>
                  </a:ext>
                </a:extLst>
              </xdr:cNvPr>
              <xdr:cNvSpPr/>
            </xdr:nvSpPr>
            <xdr:spPr>
              <a:xfrm>
                <a:off x="9087938" y="164372"/>
                <a:ext cx="2157274" cy="180571"/>
              </a:xfrm>
              <a:prstGeom prst="snipRoundRect">
                <a:avLst/>
              </a:prstGeom>
            </xdr:spPr>
            <xdr:style>
              <a:lnRef idx="2">
                <a:schemeClr val="dk1"/>
              </a:lnRef>
              <a:fillRef idx="1002">
                <a:schemeClr val="lt2"/>
              </a:fillRef>
              <a:effectRef idx="0">
                <a:schemeClr val="dk1"/>
              </a:effectRef>
              <a:fontRef idx="minor">
                <a:schemeClr val="dk1"/>
              </a:fontRef>
            </xdr:style>
            <xdr:txBody>
              <a:bodyPr vertOverflow="clip" horzOverflow="clip" rtlCol="0" anchor="t"/>
              <a:lstStyle/>
              <a:p>
                <a:pPr marL="0" indent="0" algn="ctr"/>
                <a:r>
                  <a:rPr lang="en-US" sz="1500" b="1">
                    <a:solidFill>
                      <a:schemeClr val="tx1"/>
                    </a:solidFill>
                    <a:latin typeface="+mn-lt"/>
                    <a:ea typeface="+mn-ea"/>
                    <a:cs typeface="+mn-cs"/>
                  </a:rPr>
                  <a:t>Weekly</a:t>
                </a:r>
              </a:p>
            </xdr:txBody>
          </xdr:sp>
          <mc:AlternateContent xmlns:mc="http://schemas.openxmlformats.org/markup-compatibility/2006" xmlns:a14="http://schemas.microsoft.com/office/drawing/2010/main">
            <mc:Choice Requires="a14">
              <xdr:graphicFrame macro="">
                <xdr:nvGraphicFramePr>
                  <xdr:cNvPr id="19" name="Wk Start Date">
                    <a:extLst>
                      <a:ext uri="{FF2B5EF4-FFF2-40B4-BE49-F238E27FC236}">
                        <a16:creationId xmlns:a16="http://schemas.microsoft.com/office/drawing/2014/main" id="{00000000-0008-0000-0000-000013000000}"/>
                      </a:ext>
                    </a:extLst>
                  </xdr:cNvPr>
                  <xdr:cNvGraphicFramePr/>
                </xdr:nvGraphicFramePr>
                <xdr:xfrm>
                  <a:off x="9087939" y="353995"/>
                  <a:ext cx="2174975" cy="1131285"/>
                </xdr:xfrm>
                <a:graphic>
                  <a:graphicData uri="http://schemas.microsoft.com/office/drawing/2010/slicer">
                    <sle:slicer xmlns:sle="http://schemas.microsoft.com/office/drawing/2010/slicer" name="Wk Start Date"/>
                  </a:graphicData>
                </a:graphic>
              </xdr:graphicFrame>
            </mc:Choice>
            <mc:Fallback xmlns="">
              <xdr:sp macro="" textlink="">
                <xdr:nvSpPr>
                  <xdr:cNvPr id="0" name=""/>
                  <xdr:cNvSpPr>
                    <a:spLocks noTextEdit="1"/>
                  </xdr:cNvSpPr>
                </xdr:nvSpPr>
                <xdr:spPr>
                  <a:xfrm>
                    <a:off x="8298655" y="799395"/>
                    <a:ext cx="2275908" cy="2101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graphicFrame macro="">
          <xdr:nvGraphicFramePr>
            <xdr:cNvPr id="21" name="Chart 20">
              <a:extLst>
                <a:ext uri="{FF2B5EF4-FFF2-40B4-BE49-F238E27FC236}">
                  <a16:creationId xmlns:a16="http://schemas.microsoft.com/office/drawing/2014/main" id="{00000000-0008-0000-0000-000015000000}"/>
                </a:ext>
              </a:extLst>
            </xdr:cNvPr>
            <xdr:cNvGraphicFramePr>
              <a:graphicFrameLocks/>
            </xdr:cNvGraphicFramePr>
          </xdr:nvGraphicFramePr>
          <xdr:xfrm>
            <a:off x="1381126" y="3829050"/>
            <a:ext cx="2972359" cy="2781300"/>
          </xdr:xfrm>
          <a:graphic>
            <a:graphicData uri="http://schemas.openxmlformats.org/drawingml/2006/chart">
              <c:chart xmlns:c="http://schemas.openxmlformats.org/drawingml/2006/chart" xmlns:r="http://schemas.openxmlformats.org/officeDocument/2006/relationships" r:id="rId3"/>
            </a:graphicData>
          </a:graphic>
        </xdr:graphicFrame>
        <xdr:grpSp>
          <xdr:nvGrpSpPr>
            <xdr:cNvPr id="9" name="Group 8">
              <a:extLst>
                <a:ext uri="{FF2B5EF4-FFF2-40B4-BE49-F238E27FC236}">
                  <a16:creationId xmlns:a16="http://schemas.microsoft.com/office/drawing/2014/main" id="{00000000-0008-0000-0000-000009000000}"/>
                </a:ext>
              </a:extLst>
            </xdr:cNvPr>
            <xdr:cNvGrpSpPr/>
          </xdr:nvGrpSpPr>
          <xdr:grpSpPr>
            <a:xfrm>
              <a:off x="9064078" y="2743200"/>
              <a:ext cx="5280257" cy="3876675"/>
              <a:chOff x="9064078" y="2743200"/>
              <a:chExt cx="5280257" cy="3543300"/>
            </a:xfrm>
          </xdr:grpSpPr>
          <xdr:graphicFrame macro="">
            <xdr:nvGraphicFramePr>
              <xdr:cNvPr id="17" name="Chart 16">
                <a:extLst>
                  <a:ext uri="{FF2B5EF4-FFF2-40B4-BE49-F238E27FC236}">
                    <a16:creationId xmlns:a16="http://schemas.microsoft.com/office/drawing/2014/main" id="{00000000-0008-0000-0000-000011000000}"/>
                  </a:ext>
                </a:extLst>
              </xdr:cNvPr>
              <xdr:cNvGraphicFramePr>
                <a:graphicFrameLocks/>
              </xdr:cNvGraphicFramePr>
            </xdr:nvGraphicFramePr>
            <xdr:xfrm>
              <a:off x="9067799" y="3171825"/>
              <a:ext cx="5276535" cy="3114675"/>
            </xdr:xfrm>
            <a:graphic>
              <a:graphicData uri="http://schemas.openxmlformats.org/drawingml/2006/chart">
                <c:chart xmlns:c="http://schemas.openxmlformats.org/drawingml/2006/chart" xmlns:r="http://schemas.openxmlformats.org/officeDocument/2006/relationships" r:id="rId4"/>
              </a:graphicData>
            </a:graphic>
          </xdr:graphicFrame>
          <xdr:sp macro="" textlink="">
            <xdr:nvSpPr>
              <xdr:cNvPr id="22" name="Rectangle: Top Corners One Rounded and One Snipped 21">
                <a:extLst>
                  <a:ext uri="{FF2B5EF4-FFF2-40B4-BE49-F238E27FC236}">
                    <a16:creationId xmlns:a16="http://schemas.microsoft.com/office/drawing/2014/main" id="{00000000-0008-0000-0000-000016000000}"/>
                  </a:ext>
                </a:extLst>
              </xdr:cNvPr>
              <xdr:cNvSpPr/>
            </xdr:nvSpPr>
            <xdr:spPr>
              <a:xfrm>
                <a:off x="9064078" y="2743200"/>
                <a:ext cx="5280257" cy="409575"/>
              </a:xfrm>
              <a:prstGeom prst="snipRoundRect">
                <a:avLst/>
              </a:prstGeom>
            </xdr:spPr>
            <xdr:style>
              <a:lnRef idx="2">
                <a:schemeClr val="dk1"/>
              </a:lnRef>
              <a:fillRef idx="1002">
                <a:schemeClr val="lt2"/>
              </a:fillRef>
              <a:effectRef idx="0">
                <a:schemeClr val="dk1"/>
              </a:effectRef>
              <a:fontRef idx="minor">
                <a:schemeClr val="dk1"/>
              </a:fontRef>
            </xdr:style>
            <xdr:txBody>
              <a:bodyPr vertOverflow="clip" horzOverflow="clip" rtlCol="0" anchor="t"/>
              <a:lstStyle/>
              <a:p>
                <a:pPr algn="ctr"/>
                <a:r>
                  <a:rPr lang="en-US" sz="1500" b="1">
                    <a:solidFill>
                      <a:schemeClr val="tx1"/>
                    </a:solidFill>
                    <a:latin typeface="+mn-lt"/>
                    <a:ea typeface="+mn-ea"/>
                    <a:cs typeface="+mn-cs"/>
                  </a:rPr>
                  <a:t>Market-Place</a:t>
                </a:r>
                <a:r>
                  <a:rPr lang="en-US" sz="1800" b="1" baseline="0">
                    <a:solidFill>
                      <a:schemeClr val="tx1"/>
                    </a:solidFill>
                  </a:rPr>
                  <a:t> </a:t>
                </a:r>
                <a:r>
                  <a:rPr lang="en-US" sz="1500" b="1">
                    <a:solidFill>
                      <a:schemeClr val="tx1"/>
                    </a:solidFill>
                    <a:latin typeface="+mn-lt"/>
                    <a:ea typeface="+mn-ea"/>
                    <a:cs typeface="+mn-cs"/>
                  </a:rPr>
                  <a:t>Distribution</a:t>
                </a:r>
              </a:p>
              <a:p>
                <a:pPr algn="ctr"/>
                <a:endParaRPr lang="en-US" sz="1100" b="1">
                  <a:solidFill>
                    <a:schemeClr val="tx1"/>
                  </a:solidFill>
                </a:endParaRPr>
              </a:p>
            </xdr:txBody>
          </xdr:sp>
        </xdr:grpSp>
        <mc:AlternateContent xmlns:mc="http://schemas.openxmlformats.org/markup-compatibility/2006" xmlns:a14="http://schemas.microsoft.com/office/drawing/2010/main">
          <mc:Choice Requires="a14">
            <xdr:graphicFrame macro="">
              <xdr:nvGraphicFramePr>
                <xdr:cNvPr id="28" name="Task Type">
                  <a:extLst>
                    <a:ext uri="{FF2B5EF4-FFF2-40B4-BE49-F238E27FC236}">
                      <a16:creationId xmlns:a16="http://schemas.microsoft.com/office/drawing/2014/main" id="{00000000-0008-0000-0000-00001C000000}"/>
                    </a:ext>
                  </a:extLst>
                </xdr:cNvPr>
                <xdr:cNvGraphicFramePr/>
              </xdr:nvGraphicFramePr>
              <xdr:xfrm>
                <a:off x="14386016" y="180976"/>
                <a:ext cx="2844710" cy="6429374"/>
              </xdr:xfrm>
              <a:graphic>
                <a:graphicData uri="http://schemas.microsoft.com/office/drawing/2010/slicer">
                  <sle:slicer xmlns:sle="http://schemas.microsoft.com/office/drawing/2010/slicer" name="Task Type"/>
                </a:graphicData>
              </a:graphic>
            </xdr:graphicFrame>
          </mc:Choice>
          <mc:Fallback xmlns="">
            <xdr:sp macro="" textlink="">
              <xdr:nvSpPr>
                <xdr:cNvPr id="0" name=""/>
                <xdr:cNvSpPr>
                  <a:spLocks noTextEdit="1"/>
                </xdr:cNvSpPr>
              </xdr:nvSpPr>
              <xdr:spPr>
                <a:xfrm>
                  <a:off x="12890598" y="428625"/>
                  <a:ext cx="2873277" cy="625817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152399" y="200025"/>
                  <a:ext cx="1184403" cy="463159"/>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2200" b="1" i="0" u="none" strike="noStrike" baseline="0">
                      <a:solidFill>
                        <a:srgbClr val="000000"/>
                      </a:solidFill>
                      <a:latin typeface="Calibri"/>
                      <a:cs typeface="Calibri"/>
                    </a:rPr>
                    <a:t>Reset</a:t>
                  </a:r>
                  <a:endParaRPr lang="en-US" sz="1000" b="0" i="0" u="none" strike="noStrike" baseline="0">
                    <a:solidFill>
                      <a:srgbClr val="000000"/>
                    </a:solidFill>
                    <a:latin typeface="Calibri"/>
                    <a:cs typeface="Calibri"/>
                  </a:endParaRPr>
                </a:p>
                <a:p>
                  <a:pPr algn="ctr" rtl="0">
                    <a:defRPr sz="1000"/>
                  </a:pPr>
                  <a:endParaRPr lang="en-US" sz="1000" b="0" i="0" u="none" strike="noStrike" baseline="0">
                    <a:solidFill>
                      <a:srgbClr val="000000"/>
                    </a:solidFill>
                    <a:latin typeface="Calibri"/>
                    <a:cs typeface="Calibri"/>
                  </a:endParaRPr>
                </a:p>
              </xdr:txBody>
            </xdr:sp>
          </mc:Choice>
          <mc:Fallback/>
        </mc:AlternateContent>
        <xdr:grpSp>
          <xdr:nvGrpSpPr>
            <xdr:cNvPr id="10" name="Group 9">
              <a:extLst>
                <a:ext uri="{FF2B5EF4-FFF2-40B4-BE49-F238E27FC236}">
                  <a16:creationId xmlns:a16="http://schemas.microsoft.com/office/drawing/2014/main" id="{00000000-0008-0000-0000-00000A000000}"/>
                </a:ext>
              </a:extLst>
            </xdr:cNvPr>
            <xdr:cNvGrpSpPr/>
          </xdr:nvGrpSpPr>
          <xdr:grpSpPr>
            <a:xfrm>
              <a:off x="3762917" y="200025"/>
              <a:ext cx="5247733" cy="771525"/>
              <a:chOff x="3762917" y="190500"/>
              <a:chExt cx="5247733" cy="781291"/>
            </a:xfrm>
          </xdr:grpSpPr>
          <mc:AlternateContent xmlns:mc="http://schemas.openxmlformats.org/markup-compatibility/2006" xmlns:a14="http://schemas.microsoft.com/office/drawing/2010/main">
            <mc:Choice Requires="a14">
              <xdr:graphicFrame macro="">
                <xdr:nvGraphicFramePr>
                  <xdr:cNvPr id="8" name="Tasks Frequency">
                    <a:extLst>
                      <a:ext uri="{FF2B5EF4-FFF2-40B4-BE49-F238E27FC236}">
                        <a16:creationId xmlns:a16="http://schemas.microsoft.com/office/drawing/2014/main" id="{00000000-0008-0000-0000-000008000000}"/>
                      </a:ext>
                    </a:extLst>
                  </xdr:cNvPr>
                  <xdr:cNvGraphicFramePr/>
                </xdr:nvGraphicFramePr>
                <xdr:xfrm>
                  <a:off x="3771899" y="533401"/>
                  <a:ext cx="5238751" cy="438390"/>
                </xdr:xfrm>
                <a:graphic>
                  <a:graphicData uri="http://schemas.microsoft.com/office/drawing/2010/slicer">
                    <sle:slicer xmlns:sle="http://schemas.microsoft.com/office/drawing/2010/slicer" name="Tasks Frequency"/>
                  </a:graphicData>
                </a:graphic>
              </xdr:graphicFrame>
            </mc:Choice>
            <mc:Fallback xmlns="">
              <xdr:sp macro="" textlink="">
                <xdr:nvSpPr>
                  <xdr:cNvPr id="0" name=""/>
                  <xdr:cNvSpPr>
                    <a:spLocks noTextEdit="1"/>
                  </xdr:cNvSpPr>
                </xdr:nvSpPr>
                <xdr:spPr>
                  <a:xfrm>
                    <a:off x="3461022" y="776765"/>
                    <a:ext cx="4788796" cy="42138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23" name="Rectangle: Top Corners One Rounded and One Snipped 22">
                <a:extLst>
                  <a:ext uri="{FF2B5EF4-FFF2-40B4-BE49-F238E27FC236}">
                    <a16:creationId xmlns:a16="http://schemas.microsoft.com/office/drawing/2014/main" id="{00000000-0008-0000-0000-000017000000}"/>
                  </a:ext>
                </a:extLst>
              </xdr:cNvPr>
              <xdr:cNvSpPr/>
            </xdr:nvSpPr>
            <xdr:spPr>
              <a:xfrm>
                <a:off x="3762917" y="190500"/>
                <a:ext cx="5243848" cy="325400"/>
              </a:xfrm>
              <a:prstGeom prst="snipRoundRect">
                <a:avLst/>
              </a:prstGeom>
              <a:ln>
                <a:solidFill>
                  <a:schemeClr val="tx1"/>
                </a:solidFill>
              </a:ln>
            </xdr:spPr>
            <xdr:style>
              <a:lnRef idx="2">
                <a:schemeClr val="dk1"/>
              </a:lnRef>
              <a:fillRef idx="1002">
                <a:schemeClr val="lt2"/>
              </a:fillRef>
              <a:effectRef idx="0">
                <a:schemeClr val="dk1"/>
              </a:effectRef>
              <a:fontRef idx="minor">
                <a:schemeClr val="dk1"/>
              </a:fontRef>
            </xdr:style>
            <xdr:txBody>
              <a:bodyPr vertOverflow="clip" horzOverflow="clip" rtlCol="0" anchor="t"/>
              <a:lstStyle/>
              <a:p>
                <a:pPr marL="0" indent="0" algn="ctr"/>
                <a:r>
                  <a:rPr lang="en-US" sz="1500" b="1">
                    <a:solidFill>
                      <a:schemeClr val="tx1"/>
                    </a:solidFill>
                    <a:latin typeface="+mn-lt"/>
                    <a:ea typeface="+mn-ea"/>
                    <a:cs typeface="+mn-cs"/>
                  </a:rPr>
                  <a:t>Task</a:t>
                </a:r>
                <a:r>
                  <a:rPr lang="en-US" sz="1500" b="1" baseline="0">
                    <a:solidFill>
                      <a:schemeClr val="tx1"/>
                    </a:solidFill>
                    <a:latin typeface="+mn-lt"/>
                    <a:ea typeface="+mn-ea"/>
                    <a:cs typeface="+mn-cs"/>
                  </a:rPr>
                  <a:t> Frequency</a:t>
                </a:r>
                <a:endParaRPr lang="en-US" sz="1500" b="1">
                  <a:solidFill>
                    <a:schemeClr val="tx1"/>
                  </a:solidFill>
                  <a:latin typeface="+mn-lt"/>
                  <a:ea typeface="+mn-ea"/>
                  <a:cs typeface="+mn-cs"/>
                </a:endParaRPr>
              </a:p>
            </xdr:txBody>
          </xdr:sp>
        </xdr:grpSp>
      </xdr:grpSp>
      <xdr:sp macro="" textlink="">
        <xdr:nvSpPr>
          <xdr:cNvPr id="16" name="Rectangle: Rounded Corners 15">
            <a:extLst>
              <a:ext uri="{FF2B5EF4-FFF2-40B4-BE49-F238E27FC236}">
                <a16:creationId xmlns:a16="http://schemas.microsoft.com/office/drawing/2014/main" id="{00000000-0008-0000-0000-000010000000}"/>
              </a:ext>
            </a:extLst>
          </xdr:cNvPr>
          <xdr:cNvSpPr/>
        </xdr:nvSpPr>
        <xdr:spPr>
          <a:xfrm>
            <a:off x="142875" y="428625"/>
            <a:ext cx="15621000" cy="314325"/>
          </a:xfrm>
          <a:prstGeom prst="round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US" sz="2400" b="1"/>
              <a:t>UTILIZATION REPORT </a:t>
            </a:r>
          </a:p>
        </xdr:txBody>
      </xdr:sp>
    </xdr:grpSp>
    <xdr:clientData/>
  </xdr:twoCellAnchor>
  <xdr:twoCellAnchor editAs="oneCell">
    <xdr:from>
      <xdr:col>0</xdr:col>
      <xdr:colOff>142875</xdr:colOff>
      <xdr:row>5</xdr:row>
      <xdr:rowOff>133349</xdr:rowOff>
    </xdr:from>
    <xdr:to>
      <xdr:col>2</xdr:col>
      <xdr:colOff>38100</xdr:colOff>
      <xdr:row>16</xdr:row>
      <xdr:rowOff>104775</xdr:rowOff>
    </xdr:to>
    <mc:AlternateContent xmlns:mc="http://schemas.openxmlformats.org/markup-compatibility/2006" xmlns:a14="http://schemas.microsoft.com/office/drawing/2010/main">
      <mc:Choice Requires="a14">
        <xdr:graphicFrame macro="">
          <xdr:nvGraphicFramePr>
            <xdr:cNvPr id="29" name="Month  1">
              <a:extLst>
                <a:ext uri="{FF2B5EF4-FFF2-40B4-BE49-F238E27FC236}">
                  <a16:creationId xmlns:a16="http://schemas.microsoft.com/office/drawing/2014/main" id="{00000000-0008-0000-0000-00001D000000}"/>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142875" y="942974"/>
              <a:ext cx="1114425" cy="17526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inder\Downloads\Mahmayi%20Daily%20Tasks%20Detail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ining"/>
      <sheetName val="Task"/>
      <sheetName val="Daily Status(2023)"/>
      <sheetName val="DDL Values(2023)"/>
      <sheetName val="Utilization report (2023)"/>
      <sheetName val="Utilization Report"/>
      <sheetName val="Daily Status"/>
      <sheetName val="March 2023"/>
      <sheetName val="February 2023"/>
      <sheetName val="Januray 2023"/>
      <sheetName val="DDL Values"/>
      <sheetName val="Sheet46"/>
      <sheetName val="December 2022"/>
      <sheetName val="November 2022"/>
      <sheetName val="Headers"/>
      <sheetName val="Sheet45"/>
      <sheetName val="October 2022"/>
      <sheetName val="September 2022"/>
      <sheetName val="July 2022"/>
      <sheetName val="August 2022"/>
      <sheetName val="June 2022"/>
      <sheetName val="May 2022"/>
      <sheetName val="April 2022"/>
      <sheetName val="March 2022"/>
      <sheetName val="February 2022"/>
      <sheetName val="January 2022"/>
      <sheetName val="Sheet39"/>
      <sheetName val="December 2021"/>
      <sheetName val="Glow 3"/>
      <sheetName val="November 2021"/>
      <sheetName val="October 2021"/>
      <sheetName val="September 2021"/>
      <sheetName val="August 2021"/>
      <sheetName val="July 2021"/>
      <sheetName val="June 2021"/>
      <sheetName val="April 2021"/>
      <sheetName val="May 2021"/>
      <sheetName val="March 2021"/>
      <sheetName val="Feb 2021"/>
      <sheetName val="JAN 2021"/>
      <sheetName val="Dec 2020"/>
      <sheetName val="Nov 2020"/>
      <sheetName val="Oct 202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inderjeet suryavanshi" refreshedDate="45016.930022916669" createdVersion="7" refreshedVersion="7" minRefreshableVersion="3" recordCount="1286" xr:uid="{5B019968-D82B-4E2E-8F16-A7C4BD15DDC1}">
  <cacheSource type="worksheet">
    <worksheetSource name="Table1"/>
  </cacheSource>
  <cacheFields count="10">
    <cacheField name="Person" numFmtId="0">
      <sharedItems containsBlank="1" count="7">
        <s v="David"/>
        <s v="Jennifer"/>
        <m u="1"/>
        <s v="Shashi" u="1"/>
        <s v="Amar" u="1"/>
        <s v="Pankaj Lohani" u="1"/>
        <s v="Sundeep" u="1"/>
      </sharedItems>
    </cacheField>
    <cacheField name="Marketplace" numFmtId="0">
      <sharedItems containsBlank="1" count="46">
        <s v="Amazon.USA (SC)"/>
        <s v="MACY’S"/>
        <s v="All Markets"/>
        <s v="Amazon.CA (SC)"/>
        <s v="All Market"/>
        <s v="Canadiantire.CA"/>
        <s v="AHS"/>
        <s v="Team Meeting"/>
        <s v="Kroger"/>
        <s v="Canada Store"/>
        <s v="Amazon.USA (VC)"/>
        <s v="Amazon.CA (VC)"/>
        <s v="Account Management"/>
        <s v="Macy's"/>
        <s v="Client Meeting"/>
        <s v="Newegg.CA"/>
        <s v="Lowe’s"/>
        <s v="Wayfair.USA"/>
        <s v="Meeting"/>
        <s v="BestBuy.CA"/>
        <s v="Amazon Wayfair(USA)"/>
        <s v="Amazon Seller Flex (AE)"/>
        <s v="Wayfair Meeting"/>
        <s v="BestBuy.CA Meeting"/>
        <s v="Target.USA"/>
        <s v="Sharf / Noon" u="1"/>
        <m u="1"/>
        <s v="Dubai Store" u="1"/>
        <s v="Carrefour UAE" u="1"/>
        <s v="Amazon.AE (SC)" u="1"/>
        <s v="SharafDG" u="1"/>
        <s v="Amazon.AE (SC) / Magento" u="1"/>
        <s v="Amazon.AE (VC SA)" u="1"/>
        <s v="Microless" u="1"/>
        <s v="Amazon.AE (SA)" u="1"/>
        <s v="Noon Meeting" u="1"/>
        <s v="Ace" u="1"/>
        <s v="Amazon.SA (VC)" u="1"/>
        <s v="Magento" u="1"/>
        <s v="Noon" u="1"/>
        <s v="Sharaf DG" u="1"/>
        <s v="Other Marketplace" u="1"/>
        <s v="Sharjah Coop" u="1"/>
        <s v="Getflow Update" u="1"/>
        <s v="Amazon.AE (VC)" u="1"/>
        <s v="Stock" u="1"/>
      </sharedItems>
    </cacheField>
    <cacheField name=" Flow Task Name" numFmtId="0">
      <sharedItems/>
    </cacheField>
    <cacheField name="Tasks Frequency" numFmtId="0">
      <sharedItems containsBlank="1" count="17">
        <s v="Daily"/>
        <s v="One - Time"/>
        <s v="Weekly"/>
        <s v="Urgent"/>
        <s v="Bi-Weekly"/>
        <s v="Monthly"/>
        <m u="1"/>
        <s v="On- request" u="1"/>
        <s v="One-Time" u="1"/>
        <s v="On-Request" u="1"/>
        <s v="One Time" u="1"/>
        <s v="On - Time" u="1"/>
        <s v="On -Request" u="1"/>
        <s v="One- Time" u="1"/>
        <s v="One-Request" u="1"/>
        <s v="On - Request" u="1"/>
        <s v="One=Time" u="1"/>
      </sharedItems>
    </cacheField>
    <cacheField name="Task Type" numFmtId="0">
      <sharedItems containsBlank="1" count="121">
        <s v="Account Management"/>
        <s v="New Listing"/>
        <s v="Internal Meeting"/>
        <s v="Stock"/>
        <s v="Price Monitoring"/>
        <s v="Listing Optimization"/>
        <s v="Listing Synchronization"/>
        <s v="AHS"/>
        <s v="QC"/>
        <s v="Team Meeting"/>
        <s v="Account Health"/>
        <s v="MFN Reconciliation update"/>
        <s v="Canada Remap"/>
        <s v="FBA Canada Amount Dispute"/>
        <s v="FBA Reconciliation Sheet"/>
        <s v="Internal Price Match"/>
        <s v="FBA Seller Flex Accounts Reconciliation"/>
        <s v="Client Meeting"/>
        <s v="Case Raise"/>
        <s v="FBA Orders - Returns Process- Mail Priority"/>
        <s v="Competitor Analysis"/>
        <s v="Category Sorting Sheet"/>
        <s v="Weekly Feedback on SC &amp; AHS"/>
        <s v="Compatitor Analysis"/>
        <s v="Weekly Confirmation"/>
        <s v="Task Priority Sheet"/>
        <s v="Coupon List Fall Sales"/>
        <s v="Canada Inbounding - 500 Items should be on offer"/>
        <s v="BestBuy.CA  Stock update sheet and report on No. of active SKUs"/>
        <s v="Catalog Sheet"/>
        <s v="Report creation"/>
        <s v="ABC Report"/>
        <s v="Weekly Feedback on AHS &amp; SC"/>
        <s v="Ecommerce Price List Mapping - Compare Special Price with Retail Marked Price"/>
        <s v="Weekly Confirmation Sheet"/>
        <s v="CostAnalysis"/>
        <s v="MFN Reconciliation Sheet weekly Update"/>
        <s v="Merchandising SOP &amp; Automation Opportunity"/>
        <s v="Campaign Optimization"/>
        <s v="Kroger Price Review"/>
        <s v="Listing Synchronization - Check Seller Central Price with Retail Marked Price"/>
        <s v="Meeting"/>
        <s v="Listing Synchronization - Compare Unit Costs with Wholesale Last Prices"/>
        <s v="AHS Sheet"/>
        <s v="Weekly Confirmation Report"/>
        <s v="External Price Match"/>
        <s v="CA Open, Confirmed But not yet Invoice"/>
        <s v="Weekly Feedback on SC and AHS"/>
        <s v="Coupon"/>
        <s v="Wayfair Meeting"/>
        <s v="BestBuy.CA Meeting"/>
        <s v="FBA reconciliation Update"/>
        <s v="ALL OTHER MARKETPLACE SYNCHING STATUS"/>
        <s v="Customer Product Reviews Policy Violations"/>
        <s v="Fall 'n' Autumn Sale Sheet Update"/>
        <s v="Report" u="1"/>
        <s v="Client's instruction Sheet" u="1"/>
        <s v="Contact Seller Support for listing Issues or concern" u="1"/>
        <m u="1"/>
        <s v="Getflow Review" u="1"/>
        <s v="FBA Order - Return Process - Grading Sheet" u="1"/>
        <s v="AE &amp; SA Remapp" u="1"/>
        <s v="Free Assembly/Paid Assembly" u="1"/>
        <s v="Update UPC/EAN" u="1"/>
        <s v="Master E-commerce Price Structure" u="1"/>
        <s v="Free Assembly / Paid Assembly Sheet" u="1"/>
        <s v="Compititor Analysis" u="1"/>
        <s v="MFN Reconciliation Sheet" u="1"/>
        <s v="Account Management Updates" u="1"/>
        <s v="AE &amp; SA Remapping" u="1"/>
        <s v="AE &amp; SA Remap Urgent" u="1"/>
        <s v="Brand Violation - Other Marketplace" u="1"/>
        <s v="FBA Reconciliation Sheet - Open Invoice" u="1"/>
        <s v="Daily Stock Sheet" u="1"/>
        <s v="AE &amp; SA Remap - Urgent" u="1"/>
        <s v="FBA Order - Return Process" u="1"/>
        <s v="FBA Orders -Return Process" u="1"/>
        <s v="FBA Orders- Return Process" u="1"/>
        <s v="FBA Seller Flex amount disputes" u="1"/>
        <s v="Noon Price Review" u="1"/>
        <s v="Raised Ticket" u="1"/>
        <s v="Update Stock" u="1"/>
        <s v="Listing Optimisation" u="1"/>
        <s v="AE &amp; SA Remap- Urgent" u="1"/>
        <s v="FBA Seller Flex Amount Dispute" u="1"/>
        <s v="Daily Price Monitoring" u="1"/>
        <s v="Ecommerce Stock Sheet and ERP Sheet Updated" u="1"/>
        <s v="Image Update" u="1"/>
        <s v="Lisitng Optimisation" u="1"/>
        <s v="Weekly" u="1"/>
        <s v="Noon Meeting" u="1"/>
        <s v="Seller Flex Stock update sheet and report on No. of active SKUs" u="1"/>
        <s v="Creation EBC/A+" u="1"/>
        <s v="A+ Content" u="1"/>
        <s v="AE Open, Confirmed But not yet Invoice" u="1"/>
        <s v="Account Health Review" u="1"/>
        <s v="Seller Flex 500 SKUs should be on the Offer" u="1"/>
        <s v="Client Interaction" u="1"/>
        <s v="Free Assembly &amp; Paid Assembly" u="1"/>
        <s v="AE &amp; SA Remap" u="1"/>
        <s v="Content Preparation" u="1"/>
        <s v="AE-VC Master Sheet" u="1"/>
        <s v="Update Listing attributes" u="1"/>
        <s v="Seller Flex 500 SKUs should be on Offer" u="1"/>
        <s v="Stock updation" u="1"/>
        <s v="Removed Parent Child Variation" u="1"/>
        <s v="FBA Orders - Return Process" u="1"/>
        <s v="eCommerce and Amazon Seller Central Mapping Code with Wholesale and Retail Price _13-10-2022" u="1"/>
        <s v="Contact Seller Support for any listing concern" u="1"/>
        <s v="Brand Violation- Other Market Place" u="1"/>
        <s v="Getflow Update" u="1"/>
        <s v="Contact Seller Support for Raised Ticket" u="1"/>
        <s v="T2G High ASP Automatic Campaign" u="1"/>
        <s v="Template Preparation" u="1"/>
        <s v="LT Configuration - DF Selection" u="1"/>
        <s v="Mapped Listing buy box and Automated pricing" u="1"/>
        <s v="Title Update" u="1"/>
        <s v="Category Sorting" u="1"/>
        <s v="AE &amp; SA Remap " u="1"/>
        <s v="Create Sponsored Manual Campaign" u="1"/>
        <s v="SellerFlex Inbounding - 500 Items should be on offer" u="1"/>
      </sharedItems>
    </cacheField>
    <cacheField name="Time in Min" numFmtId="0">
      <sharedItems containsSemiMixedTypes="0" containsString="0" containsNumber="1" containsInteger="1" minValue="10" maxValue="450"/>
    </cacheField>
    <cacheField name="Date" numFmtId="164">
      <sharedItems containsSemiMixedTypes="0" containsNonDate="0" containsDate="1" containsString="0" minDate="2022-01-09T00:00:00" maxDate="2023-03-24T00:00:00" count="78">
        <d v="2022-01-09T00:00:00"/>
        <d v="2022-01-10T00:00:00"/>
        <d v="2022-01-11T00:00:00"/>
        <d v="2022-02-09T00:00:00"/>
        <d v="2022-02-11T00:00:00"/>
        <d v="2022-03-09T00:00:00"/>
        <d v="2022-03-10T00:00:00"/>
        <d v="2022-03-11T00:00:00"/>
        <d v="2022-04-10T00:00:00"/>
        <d v="2022-04-11T00:00:00"/>
        <d v="2022-05-09T00:00:00"/>
        <d v="2022-05-11T00:00:00"/>
        <d v="2022-06-09T00:00:00"/>
        <d v="2022-06-10T00:00:00"/>
        <d v="2022-07-09T00:00:00"/>
        <d v="2022-07-10T00:00:00"/>
        <d v="2022-07-11T00:00:00"/>
        <d v="2022-08-09T00:00:00"/>
        <d v="2022-08-10T00:00:00"/>
        <d v="2022-08-11T00:00:00"/>
        <d v="2022-09-09T00:00:00"/>
        <d v="2022-09-11T00:00:00"/>
        <d v="2022-10-08T00:00:00"/>
        <d v="2022-10-09T00:00:00"/>
        <d v="2022-10-10T00:00:00"/>
        <d v="2022-10-11T00:00:00"/>
        <d v="2022-11-10T00:00:00"/>
        <d v="2022-11-11T00:00:00"/>
        <d v="2022-12-09T00:00:00"/>
        <d v="2022-12-10T00:00:00"/>
        <d v="2022-12-11T00:00:00"/>
        <d v="2022-09-13T00:00:00"/>
        <d v="2022-10-13T00:00:00"/>
        <d v="2022-09-14T00:00:00"/>
        <d v="2022-10-14T00:00:00"/>
        <d v="2022-11-14T00:00:00"/>
        <d v="2022-09-15T00:00:00"/>
        <d v="2022-10-15T00:00:00"/>
        <d v="2022-11-15T00:00:00"/>
        <d v="2022-09-16T00:00:00"/>
        <d v="2022-11-16T00:00:00"/>
        <d v="2022-09-17T00:00:00"/>
        <d v="2022-10-17T00:00:00"/>
        <d v="2022-11-17T00:00:00"/>
        <d v="2022-10-18T00:00:00"/>
        <d v="2022-11-18T00:00:00"/>
        <d v="2022-09-19T00:00:00"/>
        <d v="2022-10-19T00:00:00"/>
        <d v="2022-11-19T00:00:00"/>
        <d v="2022-09-20T00:00:00"/>
        <d v="2022-10-20T00:00:00"/>
        <d v="2022-09-21T00:00:00"/>
        <d v="2022-10-21T00:00:00"/>
        <d v="2022-11-21T00:00:00"/>
        <d v="2022-09-22T00:00:00"/>
        <d v="2022-10-22T00:00:00"/>
        <d v="2022-11-22T00:00:00"/>
        <d v="2022-09-23T00:00:00"/>
        <d v="2022-09-24T00:00:00"/>
        <d v="2022-10-25T00:00:00"/>
        <d v="2022-09-26T00:00:00"/>
        <d v="2022-10-26T00:00:00"/>
        <d v="2022-09-27T00:00:00"/>
        <d v="2022-10-27T00:00:00"/>
        <d v="2022-09-28T00:00:00"/>
        <d v="2022-10-28T00:00:00"/>
        <d v="2022-09-29T00:00:00"/>
        <d v="2022-10-29T00:00:00"/>
        <d v="2022-09-30T00:00:00"/>
        <d v="2022-10-31T00:00:00"/>
        <d v="2023-03-21T00:00:00" u="1"/>
        <d v="2023-03-17T00:00:00" u="1"/>
        <d v="2023-03-22T00:00:00" u="1"/>
        <d v="2023-03-15T00:00:00" u="1"/>
        <d v="2023-03-20T00:00:00" u="1"/>
        <d v="2023-03-18T00:00:00" u="1"/>
        <d v="2023-03-23T00:00:00" u="1"/>
        <d v="2023-03-16T00:00:00" u="1"/>
      </sharedItems>
    </cacheField>
    <cacheField name="Hours_x000a_" numFmtId="2">
      <sharedItems containsSemiMixedTypes="0" containsString="0" containsNumber="1" minValue="0.16666666666666666" maxValue="7.5"/>
    </cacheField>
    <cacheField name="Wk Start Date" numFmtId="164">
      <sharedItems containsDate="1" containsBlank="1" containsMixedTypes="1" minDate="2023-03-12T00:00:00" maxDate="2023-03-20T00:00:00" count="29">
        <s v="09-Jan-22 - to - 15-Jan-22"/>
        <s v="06-Feb-22 - to - 12-Feb-22"/>
        <s v="06-Mar-22 - to - 12-Mar-22"/>
        <s v="10-Apr-22 - to - 16-Apr-22"/>
        <s v="08-May-22 - to - 14-May-22"/>
        <s v="05-Jun-22 - to - 11-Jun-22"/>
        <s v="03-Jul-22 - to - 09-Jul-22"/>
        <s v="10-Jul-22 - to - 16-Jul-22"/>
        <s v="07-Aug-22 - to - 13-Aug-22"/>
        <s v="04-Sep-22 - to - 10-Sep-22"/>
        <s v="11-Sep-22 - to - 17-Sep-22"/>
        <s v="02-Oct-22 - to - 08-Oct-22"/>
        <s v="09-Oct-22 - to - 15-Oct-22"/>
        <s v="06-Nov-22 - to - 12-Nov-22"/>
        <s v="04-Dec-22 - to - 10-Dec-22"/>
        <s v="11-Dec-22 - to - 17-Dec-22"/>
        <s v="13-Nov-22 - to - 19-Nov-22"/>
        <s v="16-Oct-22 - to - 22-Oct-22"/>
        <s v="18-Sep-22 - to - 24-Sep-22"/>
        <s v="20-Nov-22 - to - 26-Nov-22"/>
        <s v="23-Oct-22 - to - 29-Oct-22"/>
        <s v="25-Sep-22 - to - 01-Oct-22"/>
        <s v="30-Oct-22 - to - 05-Nov-22"/>
        <m u="1"/>
        <s v=" to- " u="1"/>
        <d v="2023-03-19T00:00:00" u="1"/>
        <d v="2023-03-12T00:00:00" u="1"/>
        <s v="12-Mar-23 - to - 18-Mar-23" u="1"/>
        <s v="19-Mar-23 - to - 25-Mar-23" u="1"/>
      </sharedItems>
    </cacheField>
    <cacheField name="Month " numFmtId="165">
      <sharedItems count="12">
        <s v="Jan"/>
        <s v="Feb"/>
        <s v="Mar"/>
        <s v="Apr"/>
        <s v="May"/>
        <s v="Jun"/>
        <s v="Jul"/>
        <s v="Aug"/>
        <s v="Sep"/>
        <s v="Oct"/>
        <s v="Nov"/>
        <s v="Dec"/>
      </sharedItems>
    </cacheField>
  </cacheFields>
  <extLst>
    <ext xmlns:x14="http://schemas.microsoft.com/office/spreadsheetml/2009/9/main" uri="{725AE2AE-9491-48be-B2B4-4EB974FC3084}">
      <x14:pivotCacheDefinition pivotCacheId="152245842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86">
  <r>
    <x v="0"/>
    <x v="0"/>
    <s v="Mapped Listing buy box and Automated pricing"/>
    <x v="0"/>
    <x v="0"/>
    <n v="15"/>
    <x v="0"/>
    <n v="0.25"/>
    <x v="0"/>
    <x v="0"/>
  </r>
  <r>
    <x v="0"/>
    <x v="1"/>
    <s v="New Listing"/>
    <x v="1"/>
    <x v="1"/>
    <n v="50"/>
    <x v="0"/>
    <n v="0.83333333333333337"/>
    <x v="0"/>
    <x v="0"/>
  </r>
  <r>
    <x v="0"/>
    <x v="2"/>
    <s v="Internal Meeting"/>
    <x v="0"/>
    <x v="2"/>
    <n v="20"/>
    <x v="0"/>
    <n v="0.33333333333333331"/>
    <x v="0"/>
    <x v="0"/>
  </r>
  <r>
    <x v="0"/>
    <x v="0"/>
    <s v="Daily Stock Update"/>
    <x v="0"/>
    <x v="3"/>
    <n v="90"/>
    <x v="0"/>
    <n v="1.5"/>
    <x v="0"/>
    <x v="0"/>
  </r>
  <r>
    <x v="0"/>
    <x v="1"/>
    <s v="Invoice Price Monitor"/>
    <x v="1"/>
    <x v="4"/>
    <n v="60"/>
    <x v="0"/>
    <n v="1"/>
    <x v="0"/>
    <x v="0"/>
  </r>
  <r>
    <x v="0"/>
    <x v="1"/>
    <s v="Listing Optimization"/>
    <x v="1"/>
    <x v="5"/>
    <n v="60"/>
    <x v="0"/>
    <n v="1"/>
    <x v="0"/>
    <x v="0"/>
  </r>
  <r>
    <x v="1"/>
    <x v="3"/>
    <s v="FBA Seller Flex Accounts Reconciliation"/>
    <x v="2"/>
    <x v="0"/>
    <n v="150"/>
    <x v="0"/>
    <n v="2.5"/>
    <x v="0"/>
    <x v="0"/>
  </r>
  <r>
    <x v="1"/>
    <x v="4"/>
    <s v="Getflow Task Update"/>
    <x v="0"/>
    <x v="0"/>
    <n v="45"/>
    <x v="0"/>
    <n v="0.75"/>
    <x v="0"/>
    <x v="0"/>
  </r>
  <r>
    <x v="1"/>
    <x v="5"/>
    <s v="Listing Optimization"/>
    <x v="1"/>
    <x v="5"/>
    <n v="55"/>
    <x v="0"/>
    <n v="0.91666666666666663"/>
    <x v="0"/>
    <x v="0"/>
  </r>
  <r>
    <x v="1"/>
    <x v="3"/>
    <s v="Daily Stock Update"/>
    <x v="0"/>
    <x v="3"/>
    <n v="120"/>
    <x v="0"/>
    <n v="2"/>
    <x v="0"/>
    <x v="0"/>
  </r>
  <r>
    <x v="1"/>
    <x v="5"/>
    <s v="Listing Synchronization"/>
    <x v="3"/>
    <x v="6"/>
    <n v="45"/>
    <x v="0"/>
    <n v="0.75"/>
    <x v="0"/>
    <x v="0"/>
  </r>
  <r>
    <x v="1"/>
    <x v="4"/>
    <s v="Team Meeting"/>
    <x v="1"/>
    <x v="0"/>
    <n v="20"/>
    <x v="0"/>
    <n v="0.33333333333333331"/>
    <x v="0"/>
    <x v="0"/>
  </r>
  <r>
    <x v="1"/>
    <x v="4"/>
    <s v="Amazon Chime Meeting"/>
    <x v="1"/>
    <x v="0"/>
    <n v="40"/>
    <x v="0"/>
    <n v="0.66666666666666663"/>
    <x v="0"/>
    <x v="0"/>
  </r>
  <r>
    <x v="1"/>
    <x v="3"/>
    <s v="Amazon MFN Accounts Reconciliation"/>
    <x v="2"/>
    <x v="0"/>
    <n v="25"/>
    <x v="0"/>
    <n v="0.41666666666666669"/>
    <x v="0"/>
    <x v="0"/>
  </r>
  <r>
    <x v="0"/>
    <x v="6"/>
    <s v="AHS Sheet Update"/>
    <x v="0"/>
    <x v="7"/>
    <n v="45"/>
    <x v="1"/>
    <n v="0.75"/>
    <x v="0"/>
    <x v="0"/>
  </r>
  <r>
    <x v="0"/>
    <x v="0"/>
    <s v="Mapped Listing buy box and Automated pricing"/>
    <x v="0"/>
    <x v="8"/>
    <n v="30"/>
    <x v="1"/>
    <n v="0.5"/>
    <x v="0"/>
    <x v="0"/>
  </r>
  <r>
    <x v="0"/>
    <x v="7"/>
    <s v="Team Meeting"/>
    <x v="0"/>
    <x v="9"/>
    <n v="20"/>
    <x v="1"/>
    <n v="0.33333333333333331"/>
    <x v="0"/>
    <x v="0"/>
  </r>
  <r>
    <x v="0"/>
    <x v="0"/>
    <s v="Daily Stock Update"/>
    <x v="0"/>
    <x v="3"/>
    <n v="80"/>
    <x v="1"/>
    <n v="1.3333333333333333"/>
    <x v="0"/>
    <x v="0"/>
  </r>
  <r>
    <x v="0"/>
    <x v="1"/>
    <s v="Listing Optimization"/>
    <x v="1"/>
    <x v="5"/>
    <n v="120"/>
    <x v="1"/>
    <n v="2"/>
    <x v="0"/>
    <x v="0"/>
  </r>
  <r>
    <x v="0"/>
    <x v="1"/>
    <s v="Listing Optimization"/>
    <x v="1"/>
    <x v="5"/>
    <n v="90"/>
    <x v="1"/>
    <n v="1.5"/>
    <x v="0"/>
    <x v="0"/>
  </r>
  <r>
    <x v="0"/>
    <x v="1"/>
    <s v="Invoice Price Monitor"/>
    <x v="0"/>
    <x v="4"/>
    <n v="120"/>
    <x v="1"/>
    <n v="2"/>
    <x v="0"/>
    <x v="0"/>
  </r>
  <r>
    <x v="1"/>
    <x v="3"/>
    <s v="Getflow"/>
    <x v="0"/>
    <x v="8"/>
    <n v="30"/>
    <x v="1"/>
    <n v="0.5"/>
    <x v="0"/>
    <x v="0"/>
  </r>
  <r>
    <x v="1"/>
    <x v="7"/>
    <s v="Team Meeting"/>
    <x v="0"/>
    <x v="9"/>
    <n v="25"/>
    <x v="1"/>
    <n v="0.41666666666666669"/>
    <x v="0"/>
    <x v="0"/>
  </r>
  <r>
    <x v="1"/>
    <x v="3"/>
    <s v="Account Health Review"/>
    <x v="1"/>
    <x v="10"/>
    <n v="35"/>
    <x v="1"/>
    <n v="0.58333333333333337"/>
    <x v="0"/>
    <x v="0"/>
  </r>
  <r>
    <x v="1"/>
    <x v="3"/>
    <s v="MFN Reconciliation Sheet"/>
    <x v="2"/>
    <x v="11"/>
    <n v="25"/>
    <x v="1"/>
    <n v="0.41666666666666669"/>
    <x v="0"/>
    <x v="0"/>
  </r>
  <r>
    <x v="1"/>
    <x v="3"/>
    <s v=" CA Remap"/>
    <x v="0"/>
    <x v="12"/>
    <n v="30"/>
    <x v="1"/>
    <n v="0.5"/>
    <x v="0"/>
    <x v="0"/>
  </r>
  <r>
    <x v="1"/>
    <x v="3"/>
    <s v=" CA Remap"/>
    <x v="0"/>
    <x v="8"/>
    <n v="25"/>
    <x v="1"/>
    <n v="0.41666666666666669"/>
    <x v="0"/>
    <x v="0"/>
  </r>
  <r>
    <x v="1"/>
    <x v="3"/>
    <s v="Listing Optimization"/>
    <x v="1"/>
    <x v="5"/>
    <n v="35"/>
    <x v="1"/>
    <n v="0.58333333333333337"/>
    <x v="0"/>
    <x v="0"/>
  </r>
  <r>
    <x v="1"/>
    <x v="3"/>
    <s v="Daily Stock Update"/>
    <x v="0"/>
    <x v="3"/>
    <n v="85"/>
    <x v="1"/>
    <n v="1.4166666666666667"/>
    <x v="0"/>
    <x v="0"/>
  </r>
  <r>
    <x v="1"/>
    <x v="3"/>
    <s v="FBA Canada Amount Dispute"/>
    <x v="2"/>
    <x v="13"/>
    <n v="35"/>
    <x v="1"/>
    <n v="0.58333333333333337"/>
    <x v="0"/>
    <x v="0"/>
  </r>
  <r>
    <x v="1"/>
    <x v="5"/>
    <s v="Listing Optimization"/>
    <x v="1"/>
    <x v="8"/>
    <n v="30"/>
    <x v="1"/>
    <n v="0.5"/>
    <x v="0"/>
    <x v="0"/>
  </r>
  <r>
    <x v="1"/>
    <x v="3"/>
    <s v="FBA Reconciliation Sheet"/>
    <x v="2"/>
    <x v="14"/>
    <n v="120"/>
    <x v="1"/>
    <n v="2"/>
    <x v="0"/>
    <x v="0"/>
  </r>
  <r>
    <x v="1"/>
    <x v="8"/>
    <s v="Price Review"/>
    <x v="1"/>
    <x v="8"/>
    <n v="30"/>
    <x v="1"/>
    <n v="0.5"/>
    <x v="0"/>
    <x v="0"/>
  </r>
  <r>
    <x v="1"/>
    <x v="9"/>
    <s v="Stock Update"/>
    <x v="1"/>
    <x v="3"/>
    <n v="35"/>
    <x v="1"/>
    <n v="0.58333333333333337"/>
    <x v="0"/>
    <x v="0"/>
  </r>
  <r>
    <x v="1"/>
    <x v="3"/>
    <s v="Account Health Review"/>
    <x v="1"/>
    <x v="10"/>
    <n v="20"/>
    <x v="2"/>
    <n v="0.33333333333333331"/>
    <x v="0"/>
    <x v="0"/>
  </r>
  <r>
    <x v="1"/>
    <x v="7"/>
    <s v="Team Meeting"/>
    <x v="0"/>
    <x v="9"/>
    <n v="20"/>
    <x v="2"/>
    <n v="0.33333333333333331"/>
    <x v="0"/>
    <x v="0"/>
  </r>
  <r>
    <x v="1"/>
    <x v="3"/>
    <s v="Weekly Feedback on SC &amp; AHS"/>
    <x v="0"/>
    <x v="8"/>
    <n v="20"/>
    <x v="2"/>
    <n v="0.33333333333333331"/>
    <x v="0"/>
    <x v="0"/>
  </r>
  <r>
    <x v="1"/>
    <x v="3"/>
    <s v="Internal Price Match"/>
    <x v="3"/>
    <x v="15"/>
    <n v="90"/>
    <x v="2"/>
    <n v="1.5"/>
    <x v="0"/>
    <x v="0"/>
  </r>
  <r>
    <x v="1"/>
    <x v="9"/>
    <s v="Canada Store Stock Sheet"/>
    <x v="0"/>
    <x v="3"/>
    <n v="25"/>
    <x v="2"/>
    <n v="0.41666666666666669"/>
    <x v="0"/>
    <x v="0"/>
  </r>
  <r>
    <x v="1"/>
    <x v="3"/>
    <s v="Daily Stock Update"/>
    <x v="0"/>
    <x v="3"/>
    <n v="110"/>
    <x v="2"/>
    <n v="1.8333333333333333"/>
    <x v="0"/>
    <x v="0"/>
  </r>
  <r>
    <x v="1"/>
    <x v="3"/>
    <s v=" CA Remap"/>
    <x v="0"/>
    <x v="12"/>
    <n v="45"/>
    <x v="2"/>
    <n v="0.75"/>
    <x v="0"/>
    <x v="0"/>
  </r>
  <r>
    <x v="1"/>
    <x v="8"/>
    <s v="Price Review"/>
    <x v="1"/>
    <x v="8"/>
    <n v="30"/>
    <x v="2"/>
    <n v="0.5"/>
    <x v="0"/>
    <x v="0"/>
  </r>
  <r>
    <x v="1"/>
    <x v="3"/>
    <s v="Stock Review"/>
    <x v="3"/>
    <x v="8"/>
    <n v="25"/>
    <x v="2"/>
    <n v="0.41666666666666669"/>
    <x v="0"/>
    <x v="0"/>
  </r>
  <r>
    <x v="1"/>
    <x v="3"/>
    <s v="FBA Reconciliation update- Mail Priority"/>
    <x v="2"/>
    <x v="16"/>
    <n v="55"/>
    <x v="2"/>
    <n v="0.91666666666666663"/>
    <x v="0"/>
    <x v="0"/>
  </r>
  <r>
    <x v="1"/>
    <x v="3"/>
    <s v="FBA Orders -Return Process"/>
    <x v="2"/>
    <x v="8"/>
    <n v="20"/>
    <x v="2"/>
    <n v="0.33333333333333331"/>
    <x v="0"/>
    <x v="0"/>
  </r>
  <r>
    <x v="1"/>
    <x v="5"/>
    <s v="Listing Synchronization"/>
    <x v="3"/>
    <x v="8"/>
    <n v="35"/>
    <x v="2"/>
    <n v="0.58333333333333337"/>
    <x v="0"/>
    <x v="0"/>
  </r>
  <r>
    <x v="0"/>
    <x v="7"/>
    <s v="Team Meeting"/>
    <x v="0"/>
    <x v="9"/>
    <n v="20"/>
    <x v="2"/>
    <n v="0.33333333333333331"/>
    <x v="0"/>
    <x v="0"/>
  </r>
  <r>
    <x v="0"/>
    <x v="6"/>
    <s v="AHS Sheet Update"/>
    <x v="0"/>
    <x v="7"/>
    <n v="60"/>
    <x v="2"/>
    <n v="1"/>
    <x v="0"/>
    <x v="0"/>
  </r>
  <r>
    <x v="0"/>
    <x v="0"/>
    <s v="Campaign Optimization"/>
    <x v="1"/>
    <x v="0"/>
    <n v="40"/>
    <x v="2"/>
    <n v="0.66666666666666663"/>
    <x v="0"/>
    <x v="0"/>
  </r>
  <r>
    <x v="0"/>
    <x v="10"/>
    <s v="Campaign Optimization"/>
    <x v="1"/>
    <x v="0"/>
    <n v="40"/>
    <x v="2"/>
    <n v="0.66666666666666663"/>
    <x v="0"/>
    <x v="0"/>
  </r>
  <r>
    <x v="0"/>
    <x v="11"/>
    <s v="Campaign Optimization"/>
    <x v="1"/>
    <x v="0"/>
    <n v="40"/>
    <x v="2"/>
    <n v="0.66666666666666663"/>
    <x v="0"/>
    <x v="0"/>
  </r>
  <r>
    <x v="0"/>
    <x v="0"/>
    <s v="Account Management"/>
    <x v="1"/>
    <x v="0"/>
    <n v="60"/>
    <x v="2"/>
    <n v="1"/>
    <x v="0"/>
    <x v="0"/>
  </r>
  <r>
    <x v="0"/>
    <x v="0"/>
    <s v="USA-Reviews not meeting Amazon guidelines"/>
    <x v="2"/>
    <x v="8"/>
    <n v="30"/>
    <x v="2"/>
    <n v="0.5"/>
    <x v="0"/>
    <x v="0"/>
  </r>
  <r>
    <x v="0"/>
    <x v="1"/>
    <s v="Invoice Price Monitor"/>
    <x v="0"/>
    <x v="4"/>
    <n v="200"/>
    <x v="2"/>
    <n v="3.3333333333333335"/>
    <x v="0"/>
    <x v="0"/>
  </r>
  <r>
    <x v="1"/>
    <x v="12"/>
    <s v="Getflow"/>
    <x v="0"/>
    <x v="8"/>
    <n v="20"/>
    <x v="2"/>
    <n v="0.33333333333333331"/>
    <x v="0"/>
    <x v="0"/>
  </r>
  <r>
    <x v="0"/>
    <x v="1"/>
    <s v="Invoice Price Monitor"/>
    <x v="0"/>
    <x v="4"/>
    <n v="125"/>
    <x v="3"/>
    <n v="2.0833333333333335"/>
    <x v="1"/>
    <x v="1"/>
  </r>
  <r>
    <x v="0"/>
    <x v="6"/>
    <s v="AHS Sheet Update"/>
    <x v="0"/>
    <x v="0"/>
    <n v="40"/>
    <x v="3"/>
    <n v="0.66666666666666663"/>
    <x v="1"/>
    <x v="1"/>
  </r>
  <r>
    <x v="0"/>
    <x v="0"/>
    <s v="Mapped Listing buy box and Automated pricing"/>
    <x v="0"/>
    <x v="0"/>
    <n v="15"/>
    <x v="3"/>
    <n v="0.25"/>
    <x v="1"/>
    <x v="1"/>
  </r>
  <r>
    <x v="0"/>
    <x v="2"/>
    <s v="Internal Meeting"/>
    <x v="0"/>
    <x v="2"/>
    <n v="20"/>
    <x v="3"/>
    <n v="0.33333333333333331"/>
    <x v="1"/>
    <x v="1"/>
  </r>
  <r>
    <x v="0"/>
    <x v="2"/>
    <s v="Client Meeting"/>
    <x v="3"/>
    <x v="17"/>
    <n v="120"/>
    <x v="3"/>
    <n v="2"/>
    <x v="1"/>
    <x v="1"/>
  </r>
  <r>
    <x v="0"/>
    <x v="0"/>
    <s v="Stock Update"/>
    <x v="0"/>
    <x v="3"/>
    <n v="90"/>
    <x v="3"/>
    <n v="1.5"/>
    <x v="1"/>
    <x v="1"/>
  </r>
  <r>
    <x v="0"/>
    <x v="1"/>
    <s v="Invoice Price Monitor"/>
    <x v="1"/>
    <x v="4"/>
    <n v="10"/>
    <x v="3"/>
    <n v="0.16666666666666666"/>
    <x v="1"/>
    <x v="1"/>
  </r>
  <r>
    <x v="0"/>
    <x v="1"/>
    <s v="Listing Optimization"/>
    <x v="1"/>
    <x v="5"/>
    <n v="60"/>
    <x v="3"/>
    <n v="1"/>
    <x v="1"/>
    <x v="1"/>
  </r>
  <r>
    <x v="1"/>
    <x v="5"/>
    <s v="Listing Optimization"/>
    <x v="2"/>
    <x v="0"/>
    <n v="60"/>
    <x v="3"/>
    <n v="1"/>
    <x v="1"/>
    <x v="1"/>
  </r>
  <r>
    <x v="1"/>
    <x v="4"/>
    <s v="Getflow Task Update"/>
    <x v="0"/>
    <x v="0"/>
    <n v="45"/>
    <x v="3"/>
    <n v="0.75"/>
    <x v="1"/>
    <x v="1"/>
  </r>
  <r>
    <x v="1"/>
    <x v="3"/>
    <s v="Listing Optimization"/>
    <x v="1"/>
    <x v="5"/>
    <n v="65"/>
    <x v="3"/>
    <n v="1.0833333333333333"/>
    <x v="1"/>
    <x v="1"/>
  </r>
  <r>
    <x v="1"/>
    <x v="3"/>
    <s v="Daily Stock Update"/>
    <x v="0"/>
    <x v="3"/>
    <n v="120"/>
    <x v="3"/>
    <n v="2"/>
    <x v="1"/>
    <x v="1"/>
  </r>
  <r>
    <x v="1"/>
    <x v="5"/>
    <s v="Listing Synchronization"/>
    <x v="3"/>
    <x v="6"/>
    <n v="55"/>
    <x v="3"/>
    <n v="0.91666666666666663"/>
    <x v="1"/>
    <x v="1"/>
  </r>
  <r>
    <x v="1"/>
    <x v="4"/>
    <s v="Team Meeting"/>
    <x v="1"/>
    <x v="0"/>
    <n v="20"/>
    <x v="3"/>
    <n v="0.33333333333333331"/>
    <x v="1"/>
    <x v="1"/>
  </r>
  <r>
    <x v="1"/>
    <x v="4"/>
    <s v="Client Meeting"/>
    <x v="1"/>
    <x v="0"/>
    <n v="115"/>
    <x v="3"/>
    <n v="1.9166666666666667"/>
    <x v="1"/>
    <x v="1"/>
  </r>
  <r>
    <x v="1"/>
    <x v="3"/>
    <s v="Task Priority Sheet"/>
    <x v="1"/>
    <x v="0"/>
    <n v="45"/>
    <x v="3"/>
    <n v="0.75"/>
    <x v="1"/>
    <x v="1"/>
  </r>
  <r>
    <x v="0"/>
    <x v="7"/>
    <s v="Team Meeting"/>
    <x v="0"/>
    <x v="9"/>
    <n v="60"/>
    <x v="4"/>
    <n v="1"/>
    <x v="1"/>
    <x v="1"/>
  </r>
  <r>
    <x v="0"/>
    <x v="6"/>
    <s v="AHS Sheet Update"/>
    <x v="0"/>
    <x v="7"/>
    <n v="60"/>
    <x v="4"/>
    <n v="1"/>
    <x v="1"/>
    <x v="1"/>
  </r>
  <r>
    <x v="0"/>
    <x v="6"/>
    <s v="Weekly Feedback on SC and AHS"/>
    <x v="2"/>
    <x v="18"/>
    <n v="70"/>
    <x v="4"/>
    <n v="1.1666666666666667"/>
    <x v="1"/>
    <x v="1"/>
  </r>
  <r>
    <x v="0"/>
    <x v="0"/>
    <s v="Mapped Listing buy box and Automated pricing"/>
    <x v="0"/>
    <x v="8"/>
    <n v="30"/>
    <x v="4"/>
    <n v="0.5"/>
    <x v="1"/>
    <x v="1"/>
  </r>
  <r>
    <x v="0"/>
    <x v="0"/>
    <s v="USA-Reviews not meeting Amazon guidelines"/>
    <x v="2"/>
    <x v="8"/>
    <n v="60"/>
    <x v="4"/>
    <n v="1"/>
    <x v="1"/>
    <x v="1"/>
  </r>
  <r>
    <x v="0"/>
    <x v="1"/>
    <s v="Invoice Price Monitor"/>
    <x v="0"/>
    <x v="4"/>
    <n v="200"/>
    <x v="4"/>
    <n v="3.3333333333333335"/>
    <x v="1"/>
    <x v="1"/>
  </r>
  <r>
    <x v="1"/>
    <x v="3"/>
    <s v="Account Health Review"/>
    <x v="1"/>
    <x v="10"/>
    <n v="20"/>
    <x v="4"/>
    <n v="0.33333333333333331"/>
    <x v="1"/>
    <x v="1"/>
  </r>
  <r>
    <x v="1"/>
    <x v="7"/>
    <s v="Team Meeting"/>
    <x v="0"/>
    <x v="9"/>
    <n v="60"/>
    <x v="4"/>
    <n v="1"/>
    <x v="1"/>
    <x v="1"/>
  </r>
  <r>
    <x v="1"/>
    <x v="3"/>
    <s v="Weekly Feedback on SC &amp; AHS"/>
    <x v="0"/>
    <x v="8"/>
    <n v="20"/>
    <x v="4"/>
    <n v="0.33333333333333331"/>
    <x v="1"/>
    <x v="1"/>
  </r>
  <r>
    <x v="1"/>
    <x v="3"/>
    <s v="Internal Price Match"/>
    <x v="3"/>
    <x v="15"/>
    <n v="65"/>
    <x v="4"/>
    <n v="1.0833333333333333"/>
    <x v="1"/>
    <x v="1"/>
  </r>
  <r>
    <x v="1"/>
    <x v="9"/>
    <s v="Canada Store Stock Sheet"/>
    <x v="0"/>
    <x v="3"/>
    <n v="25"/>
    <x v="4"/>
    <n v="0.41666666666666669"/>
    <x v="1"/>
    <x v="1"/>
  </r>
  <r>
    <x v="1"/>
    <x v="3"/>
    <s v="Daily Stock Update"/>
    <x v="0"/>
    <x v="3"/>
    <n v="110"/>
    <x v="4"/>
    <n v="1.8333333333333333"/>
    <x v="1"/>
    <x v="1"/>
  </r>
  <r>
    <x v="1"/>
    <x v="3"/>
    <s v=" CA Remap"/>
    <x v="0"/>
    <x v="12"/>
    <n v="25"/>
    <x v="4"/>
    <n v="0.41666666666666669"/>
    <x v="1"/>
    <x v="1"/>
  </r>
  <r>
    <x v="1"/>
    <x v="8"/>
    <s v="Price Review"/>
    <x v="1"/>
    <x v="8"/>
    <n v="30"/>
    <x v="4"/>
    <n v="0.5"/>
    <x v="1"/>
    <x v="1"/>
  </r>
  <r>
    <x v="1"/>
    <x v="3"/>
    <s v="Listing Optimization"/>
    <x v="1"/>
    <x v="5"/>
    <n v="20"/>
    <x v="4"/>
    <n v="0.33333333333333331"/>
    <x v="1"/>
    <x v="1"/>
  </r>
  <r>
    <x v="1"/>
    <x v="3"/>
    <s v="FBA Reconciliation update- Mail Priority"/>
    <x v="2"/>
    <x v="16"/>
    <n v="75"/>
    <x v="4"/>
    <n v="1.25"/>
    <x v="1"/>
    <x v="1"/>
  </r>
  <r>
    <x v="1"/>
    <x v="3"/>
    <s v="FBA Orders -Return Process"/>
    <x v="2"/>
    <x v="19"/>
    <n v="20"/>
    <x v="4"/>
    <n v="0.33333333333333331"/>
    <x v="1"/>
    <x v="1"/>
  </r>
  <r>
    <x v="1"/>
    <x v="3"/>
    <s v="Competitor Analysis"/>
    <x v="3"/>
    <x v="20"/>
    <n v="35"/>
    <x v="4"/>
    <n v="0.58333333333333337"/>
    <x v="1"/>
    <x v="1"/>
  </r>
  <r>
    <x v="1"/>
    <x v="3"/>
    <s v="Account Health Review"/>
    <x v="1"/>
    <x v="10"/>
    <n v="20"/>
    <x v="4"/>
    <n v="0.33333333333333331"/>
    <x v="1"/>
    <x v="1"/>
  </r>
  <r>
    <x v="1"/>
    <x v="7"/>
    <s v="Team Meeting"/>
    <x v="0"/>
    <x v="9"/>
    <n v="60"/>
    <x v="4"/>
    <n v="1"/>
    <x v="1"/>
    <x v="1"/>
  </r>
  <r>
    <x v="1"/>
    <x v="3"/>
    <s v="Weekly Feedback on SC &amp; AHS"/>
    <x v="0"/>
    <x v="8"/>
    <n v="20"/>
    <x v="4"/>
    <n v="0.33333333333333331"/>
    <x v="1"/>
    <x v="1"/>
  </r>
  <r>
    <x v="1"/>
    <x v="3"/>
    <s v="Internal Price Match"/>
    <x v="3"/>
    <x v="15"/>
    <n v="65"/>
    <x v="4"/>
    <n v="1.0833333333333333"/>
    <x v="1"/>
    <x v="1"/>
  </r>
  <r>
    <x v="1"/>
    <x v="9"/>
    <s v="Canada Store Stock Sheet"/>
    <x v="0"/>
    <x v="3"/>
    <n v="25"/>
    <x v="4"/>
    <n v="0.41666666666666669"/>
    <x v="1"/>
    <x v="1"/>
  </r>
  <r>
    <x v="1"/>
    <x v="3"/>
    <s v="Daily Stock Update"/>
    <x v="0"/>
    <x v="3"/>
    <n v="110"/>
    <x v="4"/>
    <n v="1.8333333333333333"/>
    <x v="1"/>
    <x v="1"/>
  </r>
  <r>
    <x v="1"/>
    <x v="3"/>
    <s v=" CA Remap"/>
    <x v="0"/>
    <x v="12"/>
    <n v="25"/>
    <x v="4"/>
    <n v="0.41666666666666669"/>
    <x v="1"/>
    <x v="1"/>
  </r>
  <r>
    <x v="1"/>
    <x v="3"/>
    <s v="Listing Optimization"/>
    <x v="1"/>
    <x v="5"/>
    <n v="20"/>
    <x v="4"/>
    <n v="0.33333333333333331"/>
    <x v="1"/>
    <x v="1"/>
  </r>
  <r>
    <x v="1"/>
    <x v="3"/>
    <s v="FBA Reconciliation update- Mail Priority"/>
    <x v="2"/>
    <x v="16"/>
    <n v="90"/>
    <x v="4"/>
    <n v="1.5"/>
    <x v="1"/>
    <x v="1"/>
  </r>
  <r>
    <x v="1"/>
    <x v="3"/>
    <s v="FBA Orders -Return Process"/>
    <x v="2"/>
    <x v="19"/>
    <n v="30"/>
    <x v="4"/>
    <n v="0.5"/>
    <x v="1"/>
    <x v="1"/>
  </r>
  <r>
    <x v="1"/>
    <x v="3"/>
    <s v="Competitor Analysis"/>
    <x v="3"/>
    <x v="20"/>
    <n v="35"/>
    <x v="4"/>
    <n v="0.58333333333333337"/>
    <x v="1"/>
    <x v="1"/>
  </r>
  <r>
    <x v="1"/>
    <x v="12"/>
    <s v="Getflow"/>
    <x v="0"/>
    <x v="8"/>
    <n v="20"/>
    <x v="4"/>
    <n v="0.33333333333333331"/>
    <x v="1"/>
    <x v="1"/>
  </r>
  <r>
    <x v="1"/>
    <x v="12"/>
    <s v="Getflow"/>
    <x v="0"/>
    <x v="8"/>
    <n v="20"/>
    <x v="4"/>
    <n v="0.33333333333333331"/>
    <x v="1"/>
    <x v="1"/>
  </r>
  <r>
    <x v="0"/>
    <x v="1"/>
    <s v="Invoice Price Monitor"/>
    <x v="0"/>
    <x v="4"/>
    <n v="150"/>
    <x v="5"/>
    <n v="2.5"/>
    <x v="2"/>
    <x v="2"/>
  </r>
  <r>
    <x v="0"/>
    <x v="6"/>
    <s v="AHS Sheet Update"/>
    <x v="0"/>
    <x v="0"/>
    <n v="40"/>
    <x v="5"/>
    <n v="0.66666666666666663"/>
    <x v="2"/>
    <x v="2"/>
  </r>
  <r>
    <x v="0"/>
    <x v="0"/>
    <s v="Mapped Listing buy box and Automated pricing"/>
    <x v="0"/>
    <x v="0"/>
    <n v="15"/>
    <x v="5"/>
    <n v="0.25"/>
    <x v="2"/>
    <x v="2"/>
  </r>
  <r>
    <x v="0"/>
    <x v="2"/>
    <s v="Internal Meeting"/>
    <x v="0"/>
    <x v="2"/>
    <n v="20"/>
    <x v="5"/>
    <n v="0.33333333333333331"/>
    <x v="2"/>
    <x v="2"/>
  </r>
  <r>
    <x v="0"/>
    <x v="1"/>
    <s v="Invoice Price Monitor"/>
    <x v="1"/>
    <x v="4"/>
    <n v="35"/>
    <x v="5"/>
    <n v="0.58333333333333337"/>
    <x v="2"/>
    <x v="2"/>
  </r>
  <r>
    <x v="0"/>
    <x v="0"/>
    <s v="Daily Stock Update"/>
    <x v="0"/>
    <x v="3"/>
    <n v="200"/>
    <x v="5"/>
    <n v="3.3333333333333335"/>
    <x v="2"/>
    <x v="2"/>
  </r>
  <r>
    <x v="0"/>
    <x v="10"/>
    <s v="New Listing"/>
    <x v="1"/>
    <x v="5"/>
    <n v="20"/>
    <x v="5"/>
    <n v="0.33333333333333331"/>
    <x v="2"/>
    <x v="2"/>
  </r>
  <r>
    <x v="1"/>
    <x v="5"/>
    <s v="Listing Optimization"/>
    <x v="1"/>
    <x v="5"/>
    <n v="60"/>
    <x v="5"/>
    <n v="1"/>
    <x v="2"/>
    <x v="2"/>
  </r>
  <r>
    <x v="1"/>
    <x v="4"/>
    <s v="Getflow Task Update"/>
    <x v="0"/>
    <x v="0"/>
    <n v="45"/>
    <x v="5"/>
    <n v="0.75"/>
    <x v="2"/>
    <x v="2"/>
  </r>
  <r>
    <x v="1"/>
    <x v="3"/>
    <s v="Listing Optimization"/>
    <x v="1"/>
    <x v="5"/>
    <n v="65"/>
    <x v="5"/>
    <n v="1.0833333333333333"/>
    <x v="2"/>
    <x v="2"/>
  </r>
  <r>
    <x v="1"/>
    <x v="5"/>
    <s v="Category Sorting"/>
    <x v="1"/>
    <x v="21"/>
    <n v="180"/>
    <x v="5"/>
    <n v="3"/>
    <x v="2"/>
    <x v="2"/>
  </r>
  <r>
    <x v="1"/>
    <x v="4"/>
    <s v="Team Meeting"/>
    <x v="1"/>
    <x v="0"/>
    <n v="20"/>
    <x v="5"/>
    <n v="0.33333333333333331"/>
    <x v="2"/>
    <x v="2"/>
  </r>
  <r>
    <x v="1"/>
    <x v="3"/>
    <s v="Stock Sheet Update"/>
    <x v="1"/>
    <x v="0"/>
    <n v="90"/>
    <x v="5"/>
    <n v="1.5"/>
    <x v="2"/>
    <x v="2"/>
  </r>
  <r>
    <x v="0"/>
    <x v="6"/>
    <s v="AHS Sheet Update"/>
    <x v="0"/>
    <x v="7"/>
    <n v="40"/>
    <x v="6"/>
    <n v="0.66666666666666663"/>
    <x v="2"/>
    <x v="2"/>
  </r>
  <r>
    <x v="0"/>
    <x v="0"/>
    <s v="Mapped Listing buy box and Automated pricing"/>
    <x v="0"/>
    <x v="8"/>
    <n v="20"/>
    <x v="6"/>
    <n v="0.33333333333333331"/>
    <x v="2"/>
    <x v="2"/>
  </r>
  <r>
    <x v="0"/>
    <x v="7"/>
    <s v="Team Meeting"/>
    <x v="0"/>
    <x v="9"/>
    <n v="20"/>
    <x v="6"/>
    <n v="0.33333333333333331"/>
    <x v="2"/>
    <x v="2"/>
  </r>
  <r>
    <x v="0"/>
    <x v="0"/>
    <s v="Daily Stock Update"/>
    <x v="0"/>
    <x v="3"/>
    <n v="90"/>
    <x v="6"/>
    <n v="1.5"/>
    <x v="2"/>
    <x v="2"/>
  </r>
  <r>
    <x v="0"/>
    <x v="1"/>
    <s v="Listing Optimization"/>
    <x v="1"/>
    <x v="5"/>
    <n v="90"/>
    <x v="6"/>
    <n v="1.5"/>
    <x v="2"/>
    <x v="2"/>
  </r>
  <r>
    <x v="0"/>
    <x v="1"/>
    <s v="Listing Optimization"/>
    <x v="1"/>
    <x v="5"/>
    <n v="60"/>
    <x v="6"/>
    <n v="1"/>
    <x v="2"/>
    <x v="2"/>
  </r>
  <r>
    <x v="0"/>
    <x v="1"/>
    <s v="Flash deal Sale"/>
    <x v="2"/>
    <x v="8"/>
    <n v="90"/>
    <x v="6"/>
    <n v="1.5"/>
    <x v="2"/>
    <x v="2"/>
  </r>
  <r>
    <x v="0"/>
    <x v="1"/>
    <s v="Invoice Price Monitor"/>
    <x v="0"/>
    <x v="4"/>
    <n v="100"/>
    <x v="6"/>
    <n v="1.6666666666666667"/>
    <x v="2"/>
    <x v="2"/>
  </r>
  <r>
    <x v="0"/>
    <x v="7"/>
    <s v="Team Meeting"/>
    <x v="0"/>
    <x v="9"/>
    <n v="60"/>
    <x v="7"/>
    <n v="1"/>
    <x v="2"/>
    <x v="2"/>
  </r>
  <r>
    <x v="0"/>
    <x v="6"/>
    <s v="AHS Sheet Update"/>
    <x v="0"/>
    <x v="7"/>
    <n v="60"/>
    <x v="7"/>
    <n v="1"/>
    <x v="2"/>
    <x v="2"/>
  </r>
  <r>
    <x v="0"/>
    <x v="0"/>
    <s v="Mapped Listing buy box and Automated pricing"/>
    <x v="0"/>
    <x v="8"/>
    <n v="30"/>
    <x v="7"/>
    <n v="0.5"/>
    <x v="2"/>
    <x v="2"/>
  </r>
  <r>
    <x v="0"/>
    <x v="0"/>
    <s v="USA-Reviews not meeting Amazon guidelines"/>
    <x v="2"/>
    <x v="8"/>
    <n v="200"/>
    <x v="7"/>
    <n v="3.3333333333333335"/>
    <x v="2"/>
    <x v="2"/>
  </r>
  <r>
    <x v="0"/>
    <x v="1"/>
    <s v="Invoice Price Monitor"/>
    <x v="0"/>
    <x v="4"/>
    <n v="150"/>
    <x v="7"/>
    <n v="2.5"/>
    <x v="2"/>
    <x v="2"/>
  </r>
  <r>
    <x v="1"/>
    <x v="3"/>
    <s v="Account Health Review"/>
    <x v="1"/>
    <x v="10"/>
    <n v="20"/>
    <x v="7"/>
    <n v="0.33333333333333331"/>
    <x v="2"/>
    <x v="2"/>
  </r>
  <r>
    <x v="1"/>
    <x v="7"/>
    <s v="Team Meeting"/>
    <x v="0"/>
    <x v="9"/>
    <n v="20"/>
    <x v="7"/>
    <n v="0.33333333333333331"/>
    <x v="2"/>
    <x v="2"/>
  </r>
  <r>
    <x v="1"/>
    <x v="3"/>
    <s v="Weekly Feedback on SC &amp; AHS"/>
    <x v="0"/>
    <x v="22"/>
    <n v="20"/>
    <x v="7"/>
    <n v="0.33333333333333331"/>
    <x v="2"/>
    <x v="2"/>
  </r>
  <r>
    <x v="1"/>
    <x v="3"/>
    <s v="Internal Price Match"/>
    <x v="3"/>
    <x v="8"/>
    <n v="40"/>
    <x v="7"/>
    <n v="0.66666666666666663"/>
    <x v="2"/>
    <x v="2"/>
  </r>
  <r>
    <x v="1"/>
    <x v="9"/>
    <s v="Canada Store Stock Sheet"/>
    <x v="0"/>
    <x v="3"/>
    <n v="25"/>
    <x v="7"/>
    <n v="0.41666666666666669"/>
    <x v="2"/>
    <x v="2"/>
  </r>
  <r>
    <x v="1"/>
    <x v="3"/>
    <s v="Daily Stock Update"/>
    <x v="0"/>
    <x v="3"/>
    <n v="110"/>
    <x v="7"/>
    <n v="1.8333333333333333"/>
    <x v="2"/>
    <x v="2"/>
  </r>
  <r>
    <x v="1"/>
    <x v="3"/>
    <s v=" CA Remap"/>
    <x v="0"/>
    <x v="8"/>
    <n v="25"/>
    <x v="7"/>
    <n v="0.41666666666666669"/>
    <x v="2"/>
    <x v="2"/>
  </r>
  <r>
    <x v="1"/>
    <x v="5"/>
    <s v="Listing Optimization"/>
    <x v="1"/>
    <x v="5"/>
    <n v="20"/>
    <x v="7"/>
    <n v="0.33333333333333331"/>
    <x v="2"/>
    <x v="2"/>
  </r>
  <r>
    <x v="1"/>
    <x v="3"/>
    <s v="FBA Reconciliation update- Mail Priority"/>
    <x v="2"/>
    <x v="8"/>
    <n v="75"/>
    <x v="7"/>
    <n v="1.25"/>
    <x v="2"/>
    <x v="2"/>
  </r>
  <r>
    <x v="1"/>
    <x v="3"/>
    <s v="Tool Orientation - Helium 10"/>
    <x v="1"/>
    <x v="23"/>
    <n v="120"/>
    <x v="7"/>
    <n v="2"/>
    <x v="2"/>
    <x v="2"/>
  </r>
  <r>
    <x v="1"/>
    <x v="3"/>
    <s v="Competitor Analysis"/>
    <x v="1"/>
    <x v="20"/>
    <n v="30"/>
    <x v="7"/>
    <n v="0.5"/>
    <x v="2"/>
    <x v="2"/>
  </r>
  <r>
    <x v="1"/>
    <x v="12"/>
    <s v="Getflow Update"/>
    <x v="0"/>
    <x v="8"/>
    <n v="20"/>
    <x v="7"/>
    <n v="0.33333333333333331"/>
    <x v="2"/>
    <x v="2"/>
  </r>
  <r>
    <x v="0"/>
    <x v="6"/>
    <s v="AHS Sheet Update"/>
    <x v="0"/>
    <x v="7"/>
    <n v="50"/>
    <x v="8"/>
    <n v="0.83333333333333337"/>
    <x v="3"/>
    <x v="3"/>
  </r>
  <r>
    <x v="0"/>
    <x v="0"/>
    <s v="Mapped Listing buy box and Automated pricing"/>
    <x v="0"/>
    <x v="8"/>
    <n v="30"/>
    <x v="8"/>
    <n v="0.5"/>
    <x v="3"/>
    <x v="3"/>
  </r>
  <r>
    <x v="0"/>
    <x v="7"/>
    <s v="Team Meeting"/>
    <x v="0"/>
    <x v="9"/>
    <n v="20"/>
    <x v="8"/>
    <n v="0.33333333333333331"/>
    <x v="3"/>
    <x v="3"/>
  </r>
  <r>
    <x v="0"/>
    <x v="0"/>
    <s v="Daily Stock Update"/>
    <x v="0"/>
    <x v="3"/>
    <n v="90"/>
    <x v="8"/>
    <n v="1.5"/>
    <x v="3"/>
    <x v="3"/>
  </r>
  <r>
    <x v="0"/>
    <x v="1"/>
    <s v="Listing Optimization"/>
    <x v="1"/>
    <x v="5"/>
    <n v="190"/>
    <x v="8"/>
    <n v="3.1666666666666665"/>
    <x v="3"/>
    <x v="3"/>
  </r>
  <r>
    <x v="0"/>
    <x v="1"/>
    <s v="Invoice Price Monitor"/>
    <x v="0"/>
    <x v="4"/>
    <n v="120"/>
    <x v="8"/>
    <n v="2"/>
    <x v="3"/>
    <x v="3"/>
  </r>
  <r>
    <x v="1"/>
    <x v="3"/>
    <s v="Getflow"/>
    <x v="0"/>
    <x v="8"/>
    <n v="30"/>
    <x v="8"/>
    <n v="0.5"/>
    <x v="3"/>
    <x v="3"/>
  </r>
  <r>
    <x v="1"/>
    <x v="7"/>
    <s v="Team Meeting"/>
    <x v="0"/>
    <x v="9"/>
    <n v="25"/>
    <x v="8"/>
    <n v="0.41666666666666669"/>
    <x v="3"/>
    <x v="3"/>
  </r>
  <r>
    <x v="1"/>
    <x v="9"/>
    <s v="Canada Store Stock Sheet"/>
    <x v="0"/>
    <x v="3"/>
    <n v="45"/>
    <x v="8"/>
    <n v="0.75"/>
    <x v="3"/>
    <x v="3"/>
  </r>
  <r>
    <x v="1"/>
    <x v="5"/>
    <s v="Weekly Confirmation"/>
    <x v="2"/>
    <x v="24"/>
    <n v="30"/>
    <x v="8"/>
    <n v="0.5"/>
    <x v="3"/>
    <x v="3"/>
  </r>
  <r>
    <x v="1"/>
    <x v="3"/>
    <s v="Listing Optimization"/>
    <x v="1"/>
    <x v="5"/>
    <n v="35"/>
    <x v="8"/>
    <n v="0.58333333333333337"/>
    <x v="3"/>
    <x v="3"/>
  </r>
  <r>
    <x v="1"/>
    <x v="3"/>
    <s v="FBA Reconciliation Sheet"/>
    <x v="3"/>
    <x v="8"/>
    <n v="25"/>
    <x v="8"/>
    <n v="0.41666666666666669"/>
    <x v="3"/>
    <x v="3"/>
  </r>
  <r>
    <x v="1"/>
    <x v="3"/>
    <s v="Task Priority Sheet"/>
    <x v="1"/>
    <x v="25"/>
    <n v="35"/>
    <x v="8"/>
    <n v="0.58333333333333337"/>
    <x v="3"/>
    <x v="3"/>
  </r>
  <r>
    <x v="1"/>
    <x v="3"/>
    <s v="Daily Stock Update"/>
    <x v="0"/>
    <x v="3"/>
    <n v="80"/>
    <x v="8"/>
    <n v="1.3333333333333333"/>
    <x v="3"/>
    <x v="3"/>
  </r>
  <r>
    <x v="1"/>
    <x v="3"/>
    <s v="FBA Orders -Return Process"/>
    <x v="3"/>
    <x v="19"/>
    <n v="25"/>
    <x v="8"/>
    <n v="0.41666666666666669"/>
    <x v="3"/>
    <x v="3"/>
  </r>
  <r>
    <x v="1"/>
    <x v="5"/>
    <s v="Coupon List Fall Sales"/>
    <x v="3"/>
    <x v="26"/>
    <n v="40"/>
    <x v="8"/>
    <n v="0.66666666666666663"/>
    <x v="3"/>
    <x v="3"/>
  </r>
  <r>
    <x v="1"/>
    <x v="3"/>
    <s v="Listing Optimization"/>
    <x v="2"/>
    <x v="8"/>
    <n v="45"/>
    <x v="8"/>
    <n v="0.75"/>
    <x v="3"/>
    <x v="3"/>
  </r>
  <r>
    <x v="1"/>
    <x v="8"/>
    <s v="Price Review"/>
    <x v="1"/>
    <x v="8"/>
    <n v="25"/>
    <x v="8"/>
    <n v="0.41666666666666669"/>
    <x v="3"/>
    <x v="3"/>
  </r>
  <r>
    <x v="1"/>
    <x v="3"/>
    <s v="Canada Inbounding - 500 Items should be on offer"/>
    <x v="4"/>
    <x v="27"/>
    <n v="35"/>
    <x v="8"/>
    <n v="0.58333333333333337"/>
    <x v="3"/>
    <x v="3"/>
  </r>
  <r>
    <x v="1"/>
    <x v="3"/>
    <s v="Canada Inbounding - 500 Items should be on offer"/>
    <x v="4"/>
    <x v="28"/>
    <n v="25"/>
    <x v="8"/>
    <n v="0.41666666666666669"/>
    <x v="3"/>
    <x v="3"/>
  </r>
  <r>
    <x v="1"/>
    <x v="5"/>
    <s v="Catalog Sheet"/>
    <x v="1"/>
    <x v="29"/>
    <n v="35"/>
    <x v="8"/>
    <n v="0.58333333333333337"/>
    <x v="3"/>
    <x v="3"/>
  </r>
  <r>
    <x v="1"/>
    <x v="8"/>
    <s v="Price Review"/>
    <x v="1"/>
    <x v="8"/>
    <n v="25"/>
    <x v="8"/>
    <n v="0.41666666666666669"/>
    <x v="3"/>
    <x v="3"/>
  </r>
  <r>
    <x v="0"/>
    <x v="7"/>
    <s v="Team Meeting"/>
    <x v="0"/>
    <x v="9"/>
    <n v="20"/>
    <x v="9"/>
    <n v="0.33333333333333331"/>
    <x v="3"/>
    <x v="3"/>
  </r>
  <r>
    <x v="0"/>
    <x v="6"/>
    <s v="AHS Sheet Update"/>
    <x v="0"/>
    <x v="7"/>
    <n v="60"/>
    <x v="9"/>
    <n v="1"/>
    <x v="3"/>
    <x v="3"/>
  </r>
  <r>
    <x v="0"/>
    <x v="0"/>
    <s v="Mapped Listing buy box and Automated pricing"/>
    <x v="0"/>
    <x v="8"/>
    <n v="30"/>
    <x v="9"/>
    <n v="0.5"/>
    <x v="3"/>
    <x v="3"/>
  </r>
  <r>
    <x v="0"/>
    <x v="0"/>
    <s v="USA-Reviews not meeting Amazon guidelines"/>
    <x v="2"/>
    <x v="8"/>
    <n v="60"/>
    <x v="9"/>
    <n v="1"/>
    <x v="3"/>
    <x v="3"/>
  </r>
  <r>
    <x v="0"/>
    <x v="0"/>
    <s v="Client Meeting"/>
    <x v="3"/>
    <x v="17"/>
    <n v="80"/>
    <x v="9"/>
    <n v="1.3333333333333333"/>
    <x v="3"/>
    <x v="3"/>
  </r>
  <r>
    <x v="0"/>
    <x v="1"/>
    <s v="Invoice Price Monitor"/>
    <x v="0"/>
    <x v="4"/>
    <n v="120"/>
    <x v="9"/>
    <n v="2"/>
    <x v="3"/>
    <x v="3"/>
  </r>
  <r>
    <x v="0"/>
    <x v="0"/>
    <s v="Daily Stock Update"/>
    <x v="0"/>
    <x v="3"/>
    <n v="90"/>
    <x v="9"/>
    <n v="1.5"/>
    <x v="3"/>
    <x v="3"/>
  </r>
  <r>
    <x v="0"/>
    <x v="11"/>
    <s v="VC CA Shortage Claim"/>
    <x v="2"/>
    <x v="30"/>
    <n v="60"/>
    <x v="9"/>
    <n v="1"/>
    <x v="3"/>
    <x v="3"/>
  </r>
  <r>
    <x v="1"/>
    <x v="3"/>
    <s v="Account Health Review"/>
    <x v="1"/>
    <x v="10"/>
    <n v="20"/>
    <x v="9"/>
    <n v="0.33333333333333331"/>
    <x v="3"/>
    <x v="3"/>
  </r>
  <r>
    <x v="1"/>
    <x v="7"/>
    <s v="Team Meeting"/>
    <x v="0"/>
    <x v="9"/>
    <n v="20"/>
    <x v="9"/>
    <n v="0.33333333333333331"/>
    <x v="3"/>
    <x v="3"/>
  </r>
  <r>
    <x v="1"/>
    <x v="3"/>
    <s v="Weekly Feedback on SC &amp; AHS"/>
    <x v="0"/>
    <x v="8"/>
    <n v="20"/>
    <x v="9"/>
    <n v="0.33333333333333331"/>
    <x v="3"/>
    <x v="3"/>
  </r>
  <r>
    <x v="1"/>
    <x v="3"/>
    <s v="Internal Price Match"/>
    <x v="3"/>
    <x v="8"/>
    <n v="55"/>
    <x v="9"/>
    <n v="0.91666666666666663"/>
    <x v="3"/>
    <x v="3"/>
  </r>
  <r>
    <x v="1"/>
    <x v="9"/>
    <s v="Canada Store Stock Sheet"/>
    <x v="0"/>
    <x v="3"/>
    <n v="25"/>
    <x v="9"/>
    <n v="0.41666666666666669"/>
    <x v="3"/>
    <x v="3"/>
  </r>
  <r>
    <x v="1"/>
    <x v="3"/>
    <s v="Daily Stock Update"/>
    <x v="0"/>
    <x v="3"/>
    <n v="110"/>
    <x v="9"/>
    <n v="1.8333333333333333"/>
    <x v="3"/>
    <x v="3"/>
  </r>
  <r>
    <x v="1"/>
    <x v="5"/>
    <s v="Category and Sub-category Sorting"/>
    <x v="1"/>
    <x v="5"/>
    <n v="55"/>
    <x v="9"/>
    <n v="0.91666666666666663"/>
    <x v="3"/>
    <x v="3"/>
  </r>
  <r>
    <x v="1"/>
    <x v="5"/>
    <s v="Listing Optimization"/>
    <x v="1"/>
    <x v="5"/>
    <n v="35"/>
    <x v="9"/>
    <n v="0.58333333333333337"/>
    <x v="3"/>
    <x v="3"/>
  </r>
  <r>
    <x v="1"/>
    <x v="3"/>
    <s v="Competitor Analysis"/>
    <x v="1"/>
    <x v="20"/>
    <n v="60"/>
    <x v="9"/>
    <n v="1"/>
    <x v="3"/>
    <x v="3"/>
  </r>
  <r>
    <x v="1"/>
    <x v="3"/>
    <s v="Client Meeting"/>
    <x v="1"/>
    <x v="17"/>
    <n v="80"/>
    <x v="9"/>
    <n v="1.3333333333333333"/>
    <x v="3"/>
    <x v="3"/>
  </r>
  <r>
    <x v="1"/>
    <x v="12"/>
    <s v="Getflow Update"/>
    <x v="0"/>
    <x v="8"/>
    <n v="20"/>
    <x v="9"/>
    <n v="0.33333333333333331"/>
    <x v="3"/>
    <x v="3"/>
  </r>
  <r>
    <x v="0"/>
    <x v="1"/>
    <s v="Invoice Price Monitor"/>
    <x v="0"/>
    <x v="4"/>
    <n v="150"/>
    <x v="10"/>
    <n v="2.5"/>
    <x v="4"/>
    <x v="4"/>
  </r>
  <r>
    <x v="0"/>
    <x v="6"/>
    <s v="AHS Sheet Update"/>
    <x v="0"/>
    <x v="0"/>
    <n v="30"/>
    <x v="10"/>
    <n v="0.5"/>
    <x v="4"/>
    <x v="4"/>
  </r>
  <r>
    <x v="0"/>
    <x v="0"/>
    <s v="Mapped Listing buy box and Automated pricing"/>
    <x v="0"/>
    <x v="0"/>
    <n v="10"/>
    <x v="10"/>
    <n v="0.16666666666666666"/>
    <x v="4"/>
    <x v="4"/>
  </r>
  <r>
    <x v="0"/>
    <x v="0"/>
    <s v="Daily Stock Update"/>
    <x v="0"/>
    <x v="3"/>
    <n v="60"/>
    <x v="10"/>
    <n v="1"/>
    <x v="4"/>
    <x v="4"/>
  </r>
  <r>
    <x v="0"/>
    <x v="13"/>
    <s v="New Listing"/>
    <x v="1"/>
    <x v="1"/>
    <n v="50"/>
    <x v="10"/>
    <n v="0.83333333333333337"/>
    <x v="4"/>
    <x v="4"/>
  </r>
  <r>
    <x v="1"/>
    <x v="5"/>
    <s v="Listing Optimization"/>
    <x v="1"/>
    <x v="5"/>
    <n v="45"/>
    <x v="10"/>
    <n v="0.75"/>
    <x v="4"/>
    <x v="4"/>
  </r>
  <r>
    <x v="1"/>
    <x v="4"/>
    <s v="Getflow Task Update"/>
    <x v="0"/>
    <x v="0"/>
    <n v="35"/>
    <x v="10"/>
    <n v="0.58333333333333337"/>
    <x v="4"/>
    <x v="4"/>
  </r>
  <r>
    <x v="1"/>
    <x v="3"/>
    <s v="Weekly Confirmation Sheet"/>
    <x v="1"/>
    <x v="5"/>
    <n v="40"/>
    <x v="10"/>
    <n v="0.66666666666666663"/>
    <x v="4"/>
    <x v="4"/>
  </r>
  <r>
    <x v="1"/>
    <x v="3"/>
    <s v="FBA Return Process"/>
    <x v="2"/>
    <x v="0"/>
    <n v="50"/>
    <x v="10"/>
    <n v="0.83333333333333337"/>
    <x v="4"/>
    <x v="4"/>
  </r>
  <r>
    <x v="1"/>
    <x v="5"/>
    <s v="Category Sorting"/>
    <x v="1"/>
    <x v="21"/>
    <n v="45"/>
    <x v="10"/>
    <n v="0.75"/>
    <x v="4"/>
    <x v="4"/>
  </r>
  <r>
    <x v="1"/>
    <x v="4"/>
    <s v="Team Meeting"/>
    <x v="0"/>
    <x v="0"/>
    <n v="20"/>
    <x v="10"/>
    <n v="0.33333333333333331"/>
    <x v="4"/>
    <x v="4"/>
  </r>
  <r>
    <x v="1"/>
    <x v="3"/>
    <s v="Daily Stock Update"/>
    <x v="0"/>
    <x v="3"/>
    <n v="90"/>
    <x v="10"/>
    <n v="1.5"/>
    <x v="4"/>
    <x v="4"/>
  </r>
  <r>
    <x v="1"/>
    <x v="3"/>
    <s v="Ecommerce Stock Sheet and ERP Sheet"/>
    <x v="5"/>
    <x v="0"/>
    <n v="45"/>
    <x v="10"/>
    <n v="0.75"/>
    <x v="4"/>
    <x v="4"/>
  </r>
  <r>
    <x v="1"/>
    <x v="3"/>
    <s v="Canada Inbounding - 500 Items should be on offer"/>
    <x v="5"/>
    <x v="0"/>
    <n v="25"/>
    <x v="10"/>
    <n v="0.41666666666666669"/>
    <x v="4"/>
    <x v="4"/>
  </r>
  <r>
    <x v="1"/>
    <x v="8"/>
    <s v="Listing Optimization"/>
    <x v="1"/>
    <x v="0"/>
    <n v="45"/>
    <x v="10"/>
    <n v="0.75"/>
    <x v="4"/>
    <x v="4"/>
  </r>
  <r>
    <x v="1"/>
    <x v="3"/>
    <s v="Ecommerce Price List Mapping - Compare Special Price with Retail Marked Price"/>
    <x v="5"/>
    <x v="0"/>
    <n v="90"/>
    <x v="10"/>
    <n v="1.5"/>
    <x v="4"/>
    <x v="4"/>
  </r>
  <r>
    <x v="0"/>
    <x v="7"/>
    <s v="Team Meeting"/>
    <x v="0"/>
    <x v="9"/>
    <n v="20"/>
    <x v="11"/>
    <n v="0.33333333333333331"/>
    <x v="4"/>
    <x v="4"/>
  </r>
  <r>
    <x v="0"/>
    <x v="6"/>
    <s v="AHS Sheet Update"/>
    <x v="0"/>
    <x v="7"/>
    <n v="45"/>
    <x v="11"/>
    <n v="0.75"/>
    <x v="4"/>
    <x v="4"/>
  </r>
  <r>
    <x v="0"/>
    <x v="0"/>
    <s v="Mapped Listing buy box and Automated pricing"/>
    <x v="0"/>
    <x v="8"/>
    <n v="20"/>
    <x v="11"/>
    <n v="0.33333333333333331"/>
    <x v="4"/>
    <x v="4"/>
  </r>
  <r>
    <x v="0"/>
    <x v="0"/>
    <s v="Listing Optimization"/>
    <x v="1"/>
    <x v="5"/>
    <n v="240"/>
    <x v="11"/>
    <n v="4"/>
    <x v="4"/>
    <x v="4"/>
  </r>
  <r>
    <x v="0"/>
    <x v="1"/>
    <s v="Invoice Price Monitor"/>
    <x v="0"/>
    <x v="4"/>
    <n v="90"/>
    <x v="11"/>
    <n v="1.5"/>
    <x v="4"/>
    <x v="4"/>
  </r>
  <r>
    <x v="0"/>
    <x v="0"/>
    <s v="Daily Stock Update"/>
    <x v="0"/>
    <x v="3"/>
    <n v="90"/>
    <x v="11"/>
    <n v="1.5"/>
    <x v="4"/>
    <x v="4"/>
  </r>
  <r>
    <x v="1"/>
    <x v="3"/>
    <s v="Account Health Review"/>
    <x v="1"/>
    <x v="10"/>
    <n v="20"/>
    <x v="11"/>
    <n v="0.33333333333333331"/>
    <x v="4"/>
    <x v="4"/>
  </r>
  <r>
    <x v="1"/>
    <x v="7"/>
    <s v="Team Meeting"/>
    <x v="0"/>
    <x v="9"/>
    <n v="90"/>
    <x v="11"/>
    <n v="1.5"/>
    <x v="4"/>
    <x v="4"/>
  </r>
  <r>
    <x v="1"/>
    <x v="3"/>
    <s v="Weekly Feedback on SC &amp; AHS"/>
    <x v="0"/>
    <x v="8"/>
    <n v="20"/>
    <x v="11"/>
    <n v="0.33333333333333331"/>
    <x v="4"/>
    <x v="4"/>
  </r>
  <r>
    <x v="1"/>
    <x v="3"/>
    <s v="Internal Price Match"/>
    <x v="3"/>
    <x v="8"/>
    <n v="65"/>
    <x v="11"/>
    <n v="1.0833333333333333"/>
    <x v="4"/>
    <x v="4"/>
  </r>
  <r>
    <x v="1"/>
    <x v="9"/>
    <s v="Canada Store Stock Sheet"/>
    <x v="0"/>
    <x v="3"/>
    <n v="25"/>
    <x v="11"/>
    <n v="0.41666666666666669"/>
    <x v="4"/>
    <x v="4"/>
  </r>
  <r>
    <x v="1"/>
    <x v="3"/>
    <s v="Daily Stock Update"/>
    <x v="0"/>
    <x v="3"/>
    <n v="110"/>
    <x v="11"/>
    <n v="1.8333333333333333"/>
    <x v="4"/>
    <x v="4"/>
  </r>
  <r>
    <x v="1"/>
    <x v="5"/>
    <s v="CA-Reviews not meeting Amazon guidelines"/>
    <x v="2"/>
    <x v="8"/>
    <n v="35"/>
    <x v="11"/>
    <n v="0.58333333333333337"/>
    <x v="4"/>
    <x v="4"/>
  </r>
  <r>
    <x v="1"/>
    <x v="3"/>
    <s v="Competitor Analysis"/>
    <x v="1"/>
    <x v="20"/>
    <n v="50"/>
    <x v="11"/>
    <n v="0.83333333333333337"/>
    <x v="4"/>
    <x v="4"/>
  </r>
  <r>
    <x v="1"/>
    <x v="3"/>
    <s v="FBA Orders -Return Process"/>
    <x v="3"/>
    <x v="19"/>
    <n v="25"/>
    <x v="11"/>
    <n v="0.41666666666666669"/>
    <x v="4"/>
    <x v="4"/>
  </r>
  <r>
    <x v="1"/>
    <x v="3"/>
    <s v="Automation Merchandising"/>
    <x v="1"/>
    <x v="8"/>
    <n v="25"/>
    <x v="11"/>
    <n v="0.41666666666666669"/>
    <x v="4"/>
    <x v="4"/>
  </r>
  <r>
    <x v="1"/>
    <x v="12"/>
    <s v="Getflow Update"/>
    <x v="0"/>
    <x v="8"/>
    <n v="20"/>
    <x v="11"/>
    <n v="0.33333333333333331"/>
    <x v="4"/>
    <x v="4"/>
  </r>
  <r>
    <x v="1"/>
    <x v="12"/>
    <s v="Task Priority Sheet Update"/>
    <x v="2"/>
    <x v="8"/>
    <n v="25"/>
    <x v="11"/>
    <n v="0.41666666666666669"/>
    <x v="4"/>
    <x v="4"/>
  </r>
  <r>
    <x v="0"/>
    <x v="1"/>
    <s v="Invoice Price Monitor"/>
    <x v="0"/>
    <x v="4"/>
    <n v="150"/>
    <x v="12"/>
    <n v="2.5"/>
    <x v="5"/>
    <x v="5"/>
  </r>
  <r>
    <x v="0"/>
    <x v="6"/>
    <s v="AHS Sheet Update"/>
    <x v="0"/>
    <x v="0"/>
    <n v="30"/>
    <x v="12"/>
    <n v="0.5"/>
    <x v="5"/>
    <x v="5"/>
  </r>
  <r>
    <x v="0"/>
    <x v="0"/>
    <s v="Mapped Listing buy box and Automated pricing"/>
    <x v="0"/>
    <x v="0"/>
    <n v="10"/>
    <x v="12"/>
    <n v="0.16666666666666666"/>
    <x v="5"/>
    <x v="5"/>
  </r>
  <r>
    <x v="0"/>
    <x v="0"/>
    <s v="Daily Stock Update"/>
    <x v="0"/>
    <x v="3"/>
    <n v="60"/>
    <x v="12"/>
    <n v="1"/>
    <x v="5"/>
    <x v="5"/>
  </r>
  <r>
    <x v="0"/>
    <x v="8"/>
    <s v="New Listing"/>
    <x v="1"/>
    <x v="1"/>
    <n v="210"/>
    <x v="12"/>
    <n v="3.5"/>
    <x v="5"/>
    <x v="5"/>
  </r>
  <r>
    <x v="1"/>
    <x v="4"/>
    <s v="Getflow Task Update"/>
    <x v="0"/>
    <x v="0"/>
    <n v="45"/>
    <x v="12"/>
    <n v="0.75"/>
    <x v="5"/>
    <x v="5"/>
  </r>
  <r>
    <x v="1"/>
    <x v="8"/>
    <s v="Listing Optimization"/>
    <x v="1"/>
    <x v="5"/>
    <n v="120"/>
    <x v="12"/>
    <n v="2"/>
    <x v="5"/>
    <x v="5"/>
  </r>
  <r>
    <x v="1"/>
    <x v="3"/>
    <s v="Listing Synchronization"/>
    <x v="1"/>
    <x v="6"/>
    <n v="50"/>
    <x v="12"/>
    <n v="0.83333333333333337"/>
    <x v="5"/>
    <x v="5"/>
  </r>
  <r>
    <x v="1"/>
    <x v="3"/>
    <s v="Listing Optimization"/>
    <x v="3"/>
    <x v="5"/>
    <n v="45"/>
    <x v="12"/>
    <n v="0.75"/>
    <x v="5"/>
    <x v="5"/>
  </r>
  <r>
    <x v="1"/>
    <x v="4"/>
    <s v="Team Meeting"/>
    <x v="0"/>
    <x v="0"/>
    <n v="20"/>
    <x v="12"/>
    <n v="0.33333333333333331"/>
    <x v="5"/>
    <x v="5"/>
  </r>
  <r>
    <x v="1"/>
    <x v="3"/>
    <s v="Daily Stock Update"/>
    <x v="0"/>
    <x v="3"/>
    <n v="140"/>
    <x v="12"/>
    <n v="2.3333333333333335"/>
    <x v="5"/>
    <x v="5"/>
  </r>
  <r>
    <x v="1"/>
    <x v="11"/>
    <s v="Listing Synchronization"/>
    <x v="1"/>
    <x v="6"/>
    <n v="35"/>
    <x v="12"/>
    <n v="0.58333333333333337"/>
    <x v="5"/>
    <x v="5"/>
  </r>
  <r>
    <x v="1"/>
    <x v="5"/>
    <s v="Listing Optimization"/>
    <x v="1"/>
    <x v="5"/>
    <n v="45"/>
    <x v="12"/>
    <n v="0.75"/>
    <x v="5"/>
    <x v="5"/>
  </r>
  <r>
    <x v="0"/>
    <x v="6"/>
    <s v="AHS Sheet Update"/>
    <x v="0"/>
    <x v="7"/>
    <n v="60"/>
    <x v="13"/>
    <n v="1"/>
    <x v="5"/>
    <x v="5"/>
  </r>
  <r>
    <x v="0"/>
    <x v="0"/>
    <s v="Mapped Listing buy box and Automated pricing"/>
    <x v="0"/>
    <x v="8"/>
    <n v="60"/>
    <x v="13"/>
    <n v="1"/>
    <x v="5"/>
    <x v="5"/>
  </r>
  <r>
    <x v="0"/>
    <x v="7"/>
    <s v="Team Meeting"/>
    <x v="0"/>
    <x v="9"/>
    <n v="20"/>
    <x v="13"/>
    <n v="0.33333333333333331"/>
    <x v="5"/>
    <x v="5"/>
  </r>
  <r>
    <x v="0"/>
    <x v="1"/>
    <s v="ABC Report"/>
    <x v="5"/>
    <x v="31"/>
    <n v="130"/>
    <x v="13"/>
    <n v="2.1666666666666665"/>
    <x v="5"/>
    <x v="5"/>
  </r>
  <r>
    <x v="0"/>
    <x v="1"/>
    <s v="Invoice Price Monitor"/>
    <x v="0"/>
    <x v="4"/>
    <n v="210"/>
    <x v="13"/>
    <n v="3.5"/>
    <x v="5"/>
    <x v="5"/>
  </r>
  <r>
    <x v="1"/>
    <x v="3"/>
    <s v="Getflow"/>
    <x v="0"/>
    <x v="8"/>
    <n v="30"/>
    <x v="13"/>
    <n v="0.5"/>
    <x v="5"/>
    <x v="5"/>
  </r>
  <r>
    <x v="1"/>
    <x v="7"/>
    <s v="Team Meeting"/>
    <x v="0"/>
    <x v="9"/>
    <n v="25"/>
    <x v="13"/>
    <n v="0.41666666666666669"/>
    <x v="5"/>
    <x v="5"/>
  </r>
  <r>
    <x v="1"/>
    <x v="9"/>
    <s v="Canada Store Stock Sheet"/>
    <x v="0"/>
    <x v="3"/>
    <n v="45"/>
    <x v="13"/>
    <n v="0.75"/>
    <x v="5"/>
    <x v="5"/>
  </r>
  <r>
    <x v="1"/>
    <x v="3"/>
    <s v="Listing Optimization"/>
    <x v="1"/>
    <x v="8"/>
    <n v="35"/>
    <x v="13"/>
    <n v="0.58333333333333337"/>
    <x v="5"/>
    <x v="5"/>
  </r>
  <r>
    <x v="1"/>
    <x v="3"/>
    <s v="Listing Optimization"/>
    <x v="1"/>
    <x v="8"/>
    <n v="35"/>
    <x v="13"/>
    <n v="0.58333333333333337"/>
    <x v="5"/>
    <x v="5"/>
  </r>
  <r>
    <x v="1"/>
    <x v="5"/>
    <s v="Listing Optimization"/>
    <x v="1"/>
    <x v="5"/>
    <n v="65"/>
    <x v="13"/>
    <n v="1.0833333333333333"/>
    <x v="5"/>
    <x v="5"/>
  </r>
  <r>
    <x v="1"/>
    <x v="3"/>
    <s v="FBA Canada Amount Dispute"/>
    <x v="1"/>
    <x v="13"/>
    <n v="35"/>
    <x v="13"/>
    <n v="0.58333333333333337"/>
    <x v="5"/>
    <x v="5"/>
  </r>
  <r>
    <x v="1"/>
    <x v="3"/>
    <s v="Daily Stock Update"/>
    <x v="0"/>
    <x v="3"/>
    <n v="110"/>
    <x v="13"/>
    <n v="1.8333333333333333"/>
    <x v="5"/>
    <x v="5"/>
  </r>
  <r>
    <x v="1"/>
    <x v="3"/>
    <s v=" CA Remap"/>
    <x v="0"/>
    <x v="12"/>
    <n v="25"/>
    <x v="13"/>
    <n v="0.41666666666666669"/>
    <x v="5"/>
    <x v="5"/>
  </r>
  <r>
    <x v="1"/>
    <x v="5"/>
    <s v="Listing Optimization"/>
    <x v="3"/>
    <x v="8"/>
    <n v="40"/>
    <x v="13"/>
    <n v="0.66666666666666663"/>
    <x v="5"/>
    <x v="5"/>
  </r>
  <r>
    <x v="1"/>
    <x v="3"/>
    <s v="Weekly Feedback on AHS &amp; SC"/>
    <x v="0"/>
    <x v="8"/>
    <n v="25"/>
    <x v="13"/>
    <n v="0.41666666666666669"/>
    <x v="5"/>
    <x v="5"/>
  </r>
  <r>
    <x v="1"/>
    <x v="3"/>
    <s v="FBA Stock Update"/>
    <x v="0"/>
    <x v="3"/>
    <n v="35"/>
    <x v="13"/>
    <n v="0.58333333333333337"/>
    <x v="5"/>
    <x v="5"/>
  </r>
  <r>
    <x v="0"/>
    <x v="6"/>
    <s v="AHS Sheet Update"/>
    <x v="0"/>
    <x v="0"/>
    <n v="45"/>
    <x v="14"/>
    <n v="0.75"/>
    <x v="6"/>
    <x v="6"/>
  </r>
  <r>
    <x v="0"/>
    <x v="0"/>
    <s v="Mapped Listing buy box and Automated pricing"/>
    <x v="0"/>
    <x v="0"/>
    <n v="15"/>
    <x v="14"/>
    <n v="0.25"/>
    <x v="6"/>
    <x v="6"/>
  </r>
  <r>
    <x v="0"/>
    <x v="2"/>
    <s v="Internal Meeting"/>
    <x v="0"/>
    <x v="2"/>
    <n v="20"/>
    <x v="14"/>
    <n v="0.33333333333333331"/>
    <x v="6"/>
    <x v="6"/>
  </r>
  <r>
    <x v="0"/>
    <x v="0"/>
    <s v="Daily Stock Update"/>
    <x v="0"/>
    <x v="3"/>
    <n v="50"/>
    <x v="14"/>
    <n v="0.83333333333333337"/>
    <x v="6"/>
    <x v="6"/>
  </r>
  <r>
    <x v="0"/>
    <x v="8"/>
    <s v="New Listing"/>
    <x v="1"/>
    <x v="1"/>
    <n v="350"/>
    <x v="14"/>
    <n v="5.833333333333333"/>
    <x v="6"/>
    <x v="6"/>
  </r>
  <r>
    <x v="1"/>
    <x v="4"/>
    <s v="Getflow Task Update"/>
    <x v="0"/>
    <x v="0"/>
    <n v="35"/>
    <x v="14"/>
    <n v="0.58333333333333337"/>
    <x v="6"/>
    <x v="6"/>
  </r>
  <r>
    <x v="1"/>
    <x v="8"/>
    <s v=" Kroger Listing"/>
    <x v="1"/>
    <x v="1"/>
    <n v="180"/>
    <x v="14"/>
    <n v="3"/>
    <x v="6"/>
    <x v="6"/>
  </r>
  <r>
    <x v="1"/>
    <x v="3"/>
    <s v=" CA Remap"/>
    <x v="1"/>
    <x v="0"/>
    <n v="45"/>
    <x v="14"/>
    <n v="0.75"/>
    <x v="6"/>
    <x v="6"/>
  </r>
  <r>
    <x v="1"/>
    <x v="3"/>
    <s v="Listing Optimization"/>
    <x v="3"/>
    <x v="5"/>
    <n v="35"/>
    <x v="14"/>
    <n v="0.58333333333333337"/>
    <x v="6"/>
    <x v="6"/>
  </r>
  <r>
    <x v="1"/>
    <x v="4"/>
    <s v="Team Meeting"/>
    <x v="0"/>
    <x v="0"/>
    <n v="20"/>
    <x v="14"/>
    <n v="0.33333333333333331"/>
    <x v="6"/>
    <x v="6"/>
  </r>
  <r>
    <x v="1"/>
    <x v="3"/>
    <s v="Daily Stock Update"/>
    <x v="0"/>
    <x v="3"/>
    <n v="110"/>
    <x v="14"/>
    <n v="1.8333333333333333"/>
    <x v="6"/>
    <x v="6"/>
  </r>
  <r>
    <x v="1"/>
    <x v="3"/>
    <s v="A+ Content"/>
    <x v="1"/>
    <x v="0"/>
    <n v="35"/>
    <x v="14"/>
    <n v="0.58333333333333337"/>
    <x v="6"/>
    <x v="6"/>
  </r>
  <r>
    <x v="1"/>
    <x v="5"/>
    <s v="Category Sorting"/>
    <x v="1"/>
    <x v="21"/>
    <n v="45"/>
    <x v="14"/>
    <n v="0.75"/>
    <x v="6"/>
    <x v="6"/>
  </r>
  <r>
    <x v="0"/>
    <x v="7"/>
    <s v="Team Meeting"/>
    <x v="0"/>
    <x v="9"/>
    <n v="25"/>
    <x v="15"/>
    <n v="0.41666666666666669"/>
    <x v="7"/>
    <x v="6"/>
  </r>
  <r>
    <x v="0"/>
    <x v="1"/>
    <s v="Invoice Price Monitor"/>
    <x v="0"/>
    <x v="4"/>
    <n v="120"/>
    <x v="15"/>
    <n v="2"/>
    <x v="7"/>
    <x v="6"/>
  </r>
  <r>
    <x v="0"/>
    <x v="6"/>
    <s v="AHS Sheet Update"/>
    <x v="0"/>
    <x v="7"/>
    <n v="45"/>
    <x v="15"/>
    <n v="0.75"/>
    <x v="7"/>
    <x v="6"/>
  </r>
  <r>
    <x v="0"/>
    <x v="0"/>
    <s v="Mapped Listing buy box and Automated pricing"/>
    <x v="0"/>
    <x v="8"/>
    <n v="20"/>
    <x v="15"/>
    <n v="0.33333333333333331"/>
    <x v="7"/>
    <x v="6"/>
  </r>
  <r>
    <x v="0"/>
    <x v="0"/>
    <s v="Daily Stock Update"/>
    <x v="0"/>
    <x v="3"/>
    <n v="90"/>
    <x v="15"/>
    <n v="1.5"/>
    <x v="7"/>
    <x v="6"/>
  </r>
  <r>
    <x v="0"/>
    <x v="1"/>
    <s v="Listing Optimization"/>
    <x v="0"/>
    <x v="5"/>
    <n v="90"/>
    <x v="15"/>
    <n v="1.5"/>
    <x v="7"/>
    <x v="6"/>
  </r>
  <r>
    <x v="0"/>
    <x v="1"/>
    <s v="Listing Optimization"/>
    <x v="0"/>
    <x v="5"/>
    <n v="120"/>
    <x v="15"/>
    <n v="2"/>
    <x v="7"/>
    <x v="6"/>
  </r>
  <r>
    <x v="1"/>
    <x v="3"/>
    <s v="Getflow"/>
    <x v="0"/>
    <x v="8"/>
    <n v="30"/>
    <x v="15"/>
    <n v="0.5"/>
    <x v="7"/>
    <x v="6"/>
  </r>
  <r>
    <x v="1"/>
    <x v="7"/>
    <s v="Team Meeting"/>
    <x v="0"/>
    <x v="9"/>
    <n v="25"/>
    <x v="15"/>
    <n v="0.41666666666666669"/>
    <x v="7"/>
    <x v="6"/>
  </r>
  <r>
    <x v="1"/>
    <x v="9"/>
    <s v="Canada Store Stock Sheet"/>
    <x v="0"/>
    <x v="3"/>
    <n v="45"/>
    <x v="15"/>
    <n v="0.75"/>
    <x v="7"/>
    <x v="6"/>
  </r>
  <r>
    <x v="1"/>
    <x v="3"/>
    <s v="Account Health Review"/>
    <x v="1"/>
    <x v="10"/>
    <n v="35"/>
    <x v="15"/>
    <n v="0.58333333333333337"/>
    <x v="7"/>
    <x v="6"/>
  </r>
  <r>
    <x v="1"/>
    <x v="5"/>
    <s v="Listing Optimization"/>
    <x v="1"/>
    <x v="8"/>
    <n v="35"/>
    <x v="15"/>
    <n v="0.58333333333333337"/>
    <x v="7"/>
    <x v="6"/>
  </r>
  <r>
    <x v="1"/>
    <x v="5"/>
    <s v="Listing Optimization"/>
    <x v="1"/>
    <x v="5"/>
    <n v="45"/>
    <x v="15"/>
    <n v="0.75"/>
    <x v="7"/>
    <x v="6"/>
  </r>
  <r>
    <x v="1"/>
    <x v="3"/>
    <s v="Listing Optimization"/>
    <x v="1"/>
    <x v="5"/>
    <n v="35"/>
    <x v="15"/>
    <n v="0.58333333333333337"/>
    <x v="7"/>
    <x v="6"/>
  </r>
  <r>
    <x v="1"/>
    <x v="3"/>
    <s v="Daily Stock Update"/>
    <x v="0"/>
    <x v="3"/>
    <n v="85"/>
    <x v="15"/>
    <n v="1.4166666666666667"/>
    <x v="7"/>
    <x v="6"/>
  </r>
  <r>
    <x v="1"/>
    <x v="11"/>
    <s v="Listing Optimization"/>
    <x v="0"/>
    <x v="5"/>
    <n v="25"/>
    <x v="15"/>
    <n v="0.41666666666666669"/>
    <x v="7"/>
    <x v="6"/>
  </r>
  <r>
    <x v="1"/>
    <x v="3"/>
    <s v="Weekly Feedback on AHS &amp; SC"/>
    <x v="0"/>
    <x v="32"/>
    <n v="25"/>
    <x v="15"/>
    <n v="0.41666666666666669"/>
    <x v="7"/>
    <x v="6"/>
  </r>
  <r>
    <x v="1"/>
    <x v="3"/>
    <s v="Ecommerce Stock Sheet and ERP Sheet"/>
    <x v="5"/>
    <x v="0"/>
    <n v="25"/>
    <x v="15"/>
    <n v="0.41666666666666669"/>
    <x v="7"/>
    <x v="6"/>
  </r>
  <r>
    <x v="1"/>
    <x v="3"/>
    <s v="Ecommerce Price List Mapping - Compare Special Price with Retail Marked Price"/>
    <x v="5"/>
    <x v="33"/>
    <n v="35"/>
    <x v="15"/>
    <n v="0.58333333333333337"/>
    <x v="7"/>
    <x v="6"/>
  </r>
  <r>
    <x v="1"/>
    <x v="3"/>
    <s v="Competitor Analysis"/>
    <x v="1"/>
    <x v="20"/>
    <n v="25"/>
    <x v="15"/>
    <n v="0.41666666666666669"/>
    <x v="7"/>
    <x v="6"/>
  </r>
  <r>
    <x v="1"/>
    <x v="5"/>
    <s v="Listing Optimization"/>
    <x v="1"/>
    <x v="5"/>
    <n v="35"/>
    <x v="15"/>
    <n v="0.58333333333333337"/>
    <x v="7"/>
    <x v="6"/>
  </r>
  <r>
    <x v="0"/>
    <x v="7"/>
    <s v="Team Meeting"/>
    <x v="0"/>
    <x v="9"/>
    <n v="20"/>
    <x v="16"/>
    <n v="0.33333333333333331"/>
    <x v="7"/>
    <x v="6"/>
  </r>
  <r>
    <x v="0"/>
    <x v="6"/>
    <s v="AHS Sheet Update"/>
    <x v="0"/>
    <x v="7"/>
    <n v="45"/>
    <x v="16"/>
    <n v="0.75"/>
    <x v="7"/>
    <x v="6"/>
  </r>
  <r>
    <x v="0"/>
    <x v="0"/>
    <s v="Mapped Listing buy box and Automated pricing"/>
    <x v="0"/>
    <x v="8"/>
    <n v="20"/>
    <x v="16"/>
    <n v="0.33333333333333331"/>
    <x v="7"/>
    <x v="6"/>
  </r>
  <r>
    <x v="0"/>
    <x v="1"/>
    <s v="ABC Report"/>
    <x v="5"/>
    <x v="31"/>
    <n v="250"/>
    <x v="16"/>
    <n v="4.166666666666667"/>
    <x v="7"/>
    <x v="6"/>
  </r>
  <r>
    <x v="0"/>
    <x v="1"/>
    <s v="Invoice Price Monitor"/>
    <x v="0"/>
    <x v="4"/>
    <n v="90"/>
    <x v="16"/>
    <n v="1.5"/>
    <x v="7"/>
    <x v="6"/>
  </r>
  <r>
    <x v="0"/>
    <x v="0"/>
    <s v="Daily Stock Update"/>
    <x v="0"/>
    <x v="3"/>
    <n v="90"/>
    <x v="16"/>
    <n v="1.5"/>
    <x v="7"/>
    <x v="6"/>
  </r>
  <r>
    <x v="1"/>
    <x v="3"/>
    <s v="Account Health Review"/>
    <x v="1"/>
    <x v="10"/>
    <n v="20"/>
    <x v="16"/>
    <n v="0.33333333333333331"/>
    <x v="7"/>
    <x v="6"/>
  </r>
  <r>
    <x v="1"/>
    <x v="7"/>
    <s v="Team Meeting"/>
    <x v="0"/>
    <x v="9"/>
    <n v="20"/>
    <x v="16"/>
    <n v="0.33333333333333331"/>
    <x v="7"/>
    <x v="6"/>
  </r>
  <r>
    <x v="1"/>
    <x v="14"/>
    <s v="Client Meeting"/>
    <x v="1"/>
    <x v="17"/>
    <n v="35"/>
    <x v="16"/>
    <n v="0.58333333333333337"/>
    <x v="7"/>
    <x v="6"/>
  </r>
  <r>
    <x v="1"/>
    <x v="3"/>
    <s v="Internal Price Match"/>
    <x v="3"/>
    <x v="8"/>
    <n v="45"/>
    <x v="16"/>
    <n v="0.75"/>
    <x v="7"/>
    <x v="6"/>
  </r>
  <r>
    <x v="1"/>
    <x v="3"/>
    <s v="Weekly Confirmation Sheet"/>
    <x v="2"/>
    <x v="34"/>
    <n v="30"/>
    <x v="16"/>
    <n v="0.5"/>
    <x v="7"/>
    <x v="6"/>
  </r>
  <r>
    <x v="1"/>
    <x v="9"/>
    <s v="Canada Store Stock Sheet"/>
    <x v="0"/>
    <x v="3"/>
    <n v="25"/>
    <x v="16"/>
    <n v="0.41666666666666669"/>
    <x v="7"/>
    <x v="6"/>
  </r>
  <r>
    <x v="1"/>
    <x v="3"/>
    <s v="FBA Reconciliation Sheet- Mail/Call"/>
    <x v="0"/>
    <x v="8"/>
    <n v="55"/>
    <x v="16"/>
    <n v="0.91666666666666663"/>
    <x v="7"/>
    <x v="6"/>
  </r>
  <r>
    <x v="1"/>
    <x v="3"/>
    <s v="FBA Reconciliation Sheet weekly Update"/>
    <x v="0"/>
    <x v="14"/>
    <n v="20"/>
    <x v="16"/>
    <n v="0.33333333333333331"/>
    <x v="7"/>
    <x v="6"/>
  </r>
  <r>
    <x v="1"/>
    <x v="3"/>
    <s v="Daily Stock Update"/>
    <x v="0"/>
    <x v="3"/>
    <n v="110"/>
    <x v="16"/>
    <n v="1.8333333333333333"/>
    <x v="7"/>
    <x v="6"/>
  </r>
  <r>
    <x v="1"/>
    <x v="3"/>
    <s v="White Friday/Single Day Deal Sheet- Mail Priority"/>
    <x v="3"/>
    <x v="8"/>
    <n v="45"/>
    <x v="16"/>
    <n v="0.75"/>
    <x v="7"/>
    <x v="6"/>
  </r>
  <r>
    <x v="1"/>
    <x v="3"/>
    <s v="Competitor Analysis"/>
    <x v="1"/>
    <x v="20"/>
    <n v="50"/>
    <x v="16"/>
    <n v="0.83333333333333337"/>
    <x v="7"/>
    <x v="6"/>
  </r>
  <r>
    <x v="1"/>
    <x v="3"/>
    <s v="White Friday/Single Day Deal Sheet- Mail Priority"/>
    <x v="1"/>
    <x v="8"/>
    <n v="20"/>
    <x v="16"/>
    <n v="0.33333333333333331"/>
    <x v="7"/>
    <x v="6"/>
  </r>
  <r>
    <x v="1"/>
    <x v="12"/>
    <s v="Getflow Update"/>
    <x v="0"/>
    <x v="8"/>
    <n v="20"/>
    <x v="16"/>
    <n v="0.33333333333333331"/>
    <x v="7"/>
    <x v="6"/>
  </r>
  <r>
    <x v="0"/>
    <x v="6"/>
    <s v="AHS Sheet Update"/>
    <x v="0"/>
    <x v="0"/>
    <n v="60"/>
    <x v="17"/>
    <n v="1"/>
    <x v="8"/>
    <x v="7"/>
  </r>
  <r>
    <x v="0"/>
    <x v="1"/>
    <s v="Invoice Price Monitor"/>
    <x v="0"/>
    <x v="4"/>
    <n v="180"/>
    <x v="17"/>
    <n v="3"/>
    <x v="8"/>
    <x v="7"/>
  </r>
  <r>
    <x v="0"/>
    <x v="0"/>
    <s v="Mapped Listing buy box and Automated pricing"/>
    <x v="0"/>
    <x v="0"/>
    <n v="30"/>
    <x v="17"/>
    <n v="0.5"/>
    <x v="8"/>
    <x v="7"/>
  </r>
  <r>
    <x v="0"/>
    <x v="2"/>
    <s v="Internal Meeting"/>
    <x v="0"/>
    <x v="2"/>
    <n v="20"/>
    <x v="17"/>
    <n v="0.33333333333333331"/>
    <x v="8"/>
    <x v="7"/>
  </r>
  <r>
    <x v="0"/>
    <x v="0"/>
    <s v="Daily Stock Update"/>
    <x v="0"/>
    <x v="3"/>
    <n v="90"/>
    <x v="17"/>
    <n v="1.5"/>
    <x v="8"/>
    <x v="7"/>
  </r>
  <r>
    <x v="0"/>
    <x v="2"/>
    <s v="Client Meeting"/>
    <x v="3"/>
    <x v="17"/>
    <n v="25"/>
    <x v="17"/>
    <n v="0.41666666666666669"/>
    <x v="8"/>
    <x v="7"/>
  </r>
  <r>
    <x v="0"/>
    <x v="1"/>
    <s v="New Listing"/>
    <x v="1"/>
    <x v="1"/>
    <n v="30"/>
    <x v="17"/>
    <n v="0.5"/>
    <x v="8"/>
    <x v="7"/>
  </r>
  <r>
    <x v="0"/>
    <x v="1"/>
    <s v="New Listing"/>
    <x v="1"/>
    <x v="1"/>
    <n v="45"/>
    <x v="17"/>
    <n v="0.75"/>
    <x v="8"/>
    <x v="7"/>
  </r>
  <r>
    <x v="1"/>
    <x v="4"/>
    <s v="Getflow Task Update"/>
    <x v="0"/>
    <x v="0"/>
    <n v="45"/>
    <x v="17"/>
    <n v="0.75"/>
    <x v="8"/>
    <x v="7"/>
  </r>
  <r>
    <x v="1"/>
    <x v="3"/>
    <s v="A+ Content"/>
    <x v="1"/>
    <x v="0"/>
    <n v="55"/>
    <x v="17"/>
    <n v="0.91666666666666663"/>
    <x v="8"/>
    <x v="7"/>
  </r>
  <r>
    <x v="1"/>
    <x v="3"/>
    <s v="Listing Optimization"/>
    <x v="1"/>
    <x v="5"/>
    <n v="120"/>
    <x v="17"/>
    <n v="2"/>
    <x v="8"/>
    <x v="7"/>
  </r>
  <r>
    <x v="1"/>
    <x v="11"/>
    <s v="New Listing"/>
    <x v="3"/>
    <x v="1"/>
    <n v="35"/>
    <x v="17"/>
    <n v="0.58333333333333337"/>
    <x v="8"/>
    <x v="7"/>
  </r>
  <r>
    <x v="1"/>
    <x v="4"/>
    <s v="Team Meeting"/>
    <x v="0"/>
    <x v="0"/>
    <n v="20"/>
    <x v="17"/>
    <n v="0.33333333333333331"/>
    <x v="8"/>
    <x v="7"/>
  </r>
  <r>
    <x v="1"/>
    <x v="3"/>
    <s v="Daily Stock Update"/>
    <x v="0"/>
    <x v="3"/>
    <n v="140"/>
    <x v="17"/>
    <n v="2.3333333333333335"/>
    <x v="8"/>
    <x v="7"/>
  </r>
  <r>
    <x v="1"/>
    <x v="3"/>
    <s v="Client Meeting"/>
    <x v="1"/>
    <x v="0"/>
    <n v="30"/>
    <x v="17"/>
    <n v="0.5"/>
    <x v="8"/>
    <x v="7"/>
  </r>
  <r>
    <x v="1"/>
    <x v="5"/>
    <s v="Listing Optimization"/>
    <x v="1"/>
    <x v="5"/>
    <n v="45"/>
    <x v="17"/>
    <n v="0.75"/>
    <x v="8"/>
    <x v="7"/>
  </r>
  <r>
    <x v="0"/>
    <x v="7"/>
    <s v="Team Meeting"/>
    <x v="0"/>
    <x v="9"/>
    <n v="20"/>
    <x v="18"/>
    <n v="0.33333333333333331"/>
    <x v="8"/>
    <x v="7"/>
  </r>
  <r>
    <x v="0"/>
    <x v="1"/>
    <s v="Invoice Price Monitor"/>
    <x v="0"/>
    <x v="4"/>
    <n v="120"/>
    <x v="18"/>
    <n v="2"/>
    <x v="8"/>
    <x v="7"/>
  </r>
  <r>
    <x v="0"/>
    <x v="6"/>
    <s v="AHS Sheet Update"/>
    <x v="0"/>
    <x v="7"/>
    <n v="60"/>
    <x v="18"/>
    <n v="1"/>
    <x v="8"/>
    <x v="7"/>
  </r>
  <r>
    <x v="0"/>
    <x v="0"/>
    <s v="Mapped Listing buy box and Automated pricing"/>
    <x v="0"/>
    <x v="8"/>
    <n v="30"/>
    <x v="18"/>
    <n v="0.5"/>
    <x v="8"/>
    <x v="7"/>
  </r>
  <r>
    <x v="0"/>
    <x v="0"/>
    <s v="Daily Stock Update"/>
    <x v="0"/>
    <x v="3"/>
    <n v="90"/>
    <x v="18"/>
    <n v="1.5"/>
    <x v="8"/>
    <x v="7"/>
  </r>
  <r>
    <x v="0"/>
    <x v="1"/>
    <s v="QC"/>
    <x v="0"/>
    <x v="8"/>
    <n v="30"/>
    <x v="18"/>
    <n v="0.5"/>
    <x v="8"/>
    <x v="7"/>
  </r>
  <r>
    <x v="0"/>
    <x v="1"/>
    <s v="Account Management"/>
    <x v="1"/>
    <x v="0"/>
    <n v="30"/>
    <x v="18"/>
    <n v="0.5"/>
    <x v="8"/>
    <x v="7"/>
  </r>
  <r>
    <x v="0"/>
    <x v="1"/>
    <s v="Listing Optimization"/>
    <x v="0"/>
    <x v="5"/>
    <n v="120"/>
    <x v="18"/>
    <n v="2"/>
    <x v="8"/>
    <x v="7"/>
  </r>
  <r>
    <x v="1"/>
    <x v="3"/>
    <s v="Getflow"/>
    <x v="0"/>
    <x v="8"/>
    <n v="30"/>
    <x v="18"/>
    <n v="0.5"/>
    <x v="8"/>
    <x v="7"/>
  </r>
  <r>
    <x v="1"/>
    <x v="7"/>
    <s v="Team Meeting"/>
    <x v="0"/>
    <x v="9"/>
    <n v="25"/>
    <x v="18"/>
    <n v="0.41666666666666669"/>
    <x v="8"/>
    <x v="7"/>
  </r>
  <r>
    <x v="1"/>
    <x v="9"/>
    <s v="Canada Store Stock Sheet"/>
    <x v="0"/>
    <x v="3"/>
    <n v="35"/>
    <x v="18"/>
    <n v="0.58333333333333337"/>
    <x v="8"/>
    <x v="7"/>
  </r>
  <r>
    <x v="1"/>
    <x v="5"/>
    <s v="Listing Optimization"/>
    <x v="1"/>
    <x v="8"/>
    <n v="30"/>
    <x v="18"/>
    <n v="0.5"/>
    <x v="8"/>
    <x v="7"/>
  </r>
  <r>
    <x v="1"/>
    <x v="3"/>
    <s v=" CA Remap"/>
    <x v="0"/>
    <x v="8"/>
    <n v="25"/>
    <x v="18"/>
    <n v="0.41666666666666669"/>
    <x v="8"/>
    <x v="7"/>
  </r>
  <r>
    <x v="1"/>
    <x v="3"/>
    <s v="Daily Stock Update"/>
    <x v="0"/>
    <x v="3"/>
    <n v="85"/>
    <x v="18"/>
    <n v="1.4166666666666667"/>
    <x v="8"/>
    <x v="7"/>
  </r>
  <r>
    <x v="1"/>
    <x v="11"/>
    <s v="Listing Optimization"/>
    <x v="1"/>
    <x v="5"/>
    <n v="25"/>
    <x v="18"/>
    <n v="0.41666666666666669"/>
    <x v="8"/>
    <x v="7"/>
  </r>
  <r>
    <x v="1"/>
    <x v="3"/>
    <s v="FBA Canada Amount Dispute"/>
    <x v="2"/>
    <x v="13"/>
    <n v="35"/>
    <x v="18"/>
    <n v="0.58333333333333337"/>
    <x v="8"/>
    <x v="7"/>
  </r>
  <r>
    <x v="1"/>
    <x v="5"/>
    <s v="Price Review"/>
    <x v="1"/>
    <x v="8"/>
    <n v="60"/>
    <x v="18"/>
    <n v="1"/>
    <x v="8"/>
    <x v="7"/>
  </r>
  <r>
    <x v="1"/>
    <x v="3"/>
    <s v="Ecommerce Price List Mapping - Compare Special Price with Retail Marked Price"/>
    <x v="5"/>
    <x v="33"/>
    <n v="35"/>
    <x v="18"/>
    <n v="0.58333333333333337"/>
    <x v="8"/>
    <x v="7"/>
  </r>
  <r>
    <x v="1"/>
    <x v="3"/>
    <s v="Competitor Analysis"/>
    <x v="1"/>
    <x v="20"/>
    <n v="30"/>
    <x v="18"/>
    <n v="0.5"/>
    <x v="8"/>
    <x v="7"/>
  </r>
  <r>
    <x v="1"/>
    <x v="5"/>
    <s v="Listing Optimization"/>
    <x v="1"/>
    <x v="5"/>
    <n v="45"/>
    <x v="18"/>
    <n v="0.75"/>
    <x v="8"/>
    <x v="7"/>
  </r>
  <r>
    <x v="1"/>
    <x v="8"/>
    <s v="Price Review"/>
    <x v="1"/>
    <x v="8"/>
    <n v="25"/>
    <x v="18"/>
    <n v="0.41666666666666669"/>
    <x v="8"/>
    <x v="7"/>
  </r>
  <r>
    <x v="1"/>
    <x v="3"/>
    <s v="Stock Review"/>
    <x v="1"/>
    <x v="8"/>
    <n v="25"/>
    <x v="18"/>
    <n v="0.41666666666666669"/>
    <x v="8"/>
    <x v="7"/>
  </r>
  <r>
    <x v="1"/>
    <x v="5"/>
    <s v="Stock Review"/>
    <x v="1"/>
    <x v="8"/>
    <n v="25"/>
    <x v="18"/>
    <n v="0.41666666666666669"/>
    <x v="8"/>
    <x v="7"/>
  </r>
  <r>
    <x v="0"/>
    <x v="7"/>
    <s v="Team Meeting"/>
    <x v="0"/>
    <x v="9"/>
    <n v="40"/>
    <x v="19"/>
    <n v="0.66666666666666663"/>
    <x v="8"/>
    <x v="7"/>
  </r>
  <r>
    <x v="0"/>
    <x v="6"/>
    <s v="AHS Sheet Update"/>
    <x v="0"/>
    <x v="7"/>
    <n v="45"/>
    <x v="19"/>
    <n v="0.75"/>
    <x v="8"/>
    <x v="7"/>
  </r>
  <r>
    <x v="0"/>
    <x v="0"/>
    <s v="Mapped Listing buy box and Automated pricing"/>
    <x v="0"/>
    <x v="8"/>
    <n v="15"/>
    <x v="19"/>
    <n v="0.25"/>
    <x v="8"/>
    <x v="7"/>
  </r>
  <r>
    <x v="0"/>
    <x v="1"/>
    <s v="ABC Report"/>
    <x v="5"/>
    <x v="31"/>
    <n v="200"/>
    <x v="19"/>
    <n v="3.3333333333333335"/>
    <x v="8"/>
    <x v="7"/>
  </r>
  <r>
    <x v="0"/>
    <x v="10"/>
    <s v="Client Meeting"/>
    <x v="3"/>
    <x v="17"/>
    <n v="25"/>
    <x v="19"/>
    <n v="0.41666666666666669"/>
    <x v="8"/>
    <x v="7"/>
  </r>
  <r>
    <x v="0"/>
    <x v="1"/>
    <s v="Invoice Price Monitor"/>
    <x v="0"/>
    <x v="4"/>
    <n v="90"/>
    <x v="19"/>
    <n v="1.5"/>
    <x v="8"/>
    <x v="7"/>
  </r>
  <r>
    <x v="0"/>
    <x v="0"/>
    <s v="Daily Stock Update"/>
    <x v="0"/>
    <x v="3"/>
    <n v="90"/>
    <x v="19"/>
    <n v="1.5"/>
    <x v="8"/>
    <x v="7"/>
  </r>
  <r>
    <x v="1"/>
    <x v="3"/>
    <s v="Account Health Review"/>
    <x v="1"/>
    <x v="10"/>
    <n v="20"/>
    <x v="19"/>
    <n v="0.33333333333333331"/>
    <x v="8"/>
    <x v="7"/>
  </r>
  <r>
    <x v="1"/>
    <x v="7"/>
    <s v="Team Meeting"/>
    <x v="0"/>
    <x v="9"/>
    <n v="20"/>
    <x v="19"/>
    <n v="0.33333333333333331"/>
    <x v="8"/>
    <x v="7"/>
  </r>
  <r>
    <x v="1"/>
    <x v="14"/>
    <s v="Client Meeting"/>
    <x v="1"/>
    <x v="17"/>
    <n v="60"/>
    <x v="19"/>
    <n v="1"/>
    <x v="8"/>
    <x v="7"/>
  </r>
  <r>
    <x v="1"/>
    <x v="3"/>
    <s v="Internal Price Match"/>
    <x v="3"/>
    <x v="8"/>
    <n v="45"/>
    <x v="19"/>
    <n v="0.75"/>
    <x v="8"/>
    <x v="7"/>
  </r>
  <r>
    <x v="1"/>
    <x v="3"/>
    <s v="CostAnalysis"/>
    <x v="3"/>
    <x v="35"/>
    <n v="30"/>
    <x v="19"/>
    <n v="0.5"/>
    <x v="8"/>
    <x v="7"/>
  </r>
  <r>
    <x v="1"/>
    <x v="9"/>
    <s v="Canada Store Stock Sheet"/>
    <x v="0"/>
    <x v="3"/>
    <n v="25"/>
    <x v="19"/>
    <n v="0.41666666666666669"/>
    <x v="8"/>
    <x v="7"/>
  </r>
  <r>
    <x v="1"/>
    <x v="3"/>
    <s v="MFN Reconciliation Sheet weekly Update"/>
    <x v="0"/>
    <x v="36"/>
    <n v="20"/>
    <x v="19"/>
    <n v="0.33333333333333331"/>
    <x v="8"/>
    <x v="7"/>
  </r>
  <r>
    <x v="1"/>
    <x v="3"/>
    <s v="FBA Reconciliation Sheet weekly Update"/>
    <x v="0"/>
    <x v="14"/>
    <n v="20"/>
    <x v="19"/>
    <n v="0.33333333333333331"/>
    <x v="8"/>
    <x v="7"/>
  </r>
  <r>
    <x v="1"/>
    <x v="3"/>
    <s v="Daily Stock Update"/>
    <x v="0"/>
    <x v="3"/>
    <n v="110"/>
    <x v="19"/>
    <n v="1.8333333333333333"/>
    <x v="8"/>
    <x v="7"/>
  </r>
  <r>
    <x v="1"/>
    <x v="3"/>
    <s v="White Friday/Single Day Deal Sheet- Mail Priority"/>
    <x v="3"/>
    <x v="8"/>
    <n v="45"/>
    <x v="19"/>
    <n v="0.75"/>
    <x v="8"/>
    <x v="7"/>
  </r>
  <r>
    <x v="1"/>
    <x v="3"/>
    <s v="Competitor Analysis"/>
    <x v="1"/>
    <x v="20"/>
    <n v="30"/>
    <x v="19"/>
    <n v="0.5"/>
    <x v="8"/>
    <x v="7"/>
  </r>
  <r>
    <x v="1"/>
    <x v="5"/>
    <s v="Listing Optimization"/>
    <x v="1"/>
    <x v="8"/>
    <n v="20"/>
    <x v="19"/>
    <n v="0.33333333333333331"/>
    <x v="8"/>
    <x v="7"/>
  </r>
  <r>
    <x v="1"/>
    <x v="3"/>
    <s v="Listing Optimization"/>
    <x v="1"/>
    <x v="8"/>
    <n v="20"/>
    <x v="19"/>
    <n v="0.33333333333333331"/>
    <x v="8"/>
    <x v="7"/>
  </r>
  <r>
    <x v="1"/>
    <x v="3"/>
    <s v="Listing Optimization"/>
    <x v="1"/>
    <x v="8"/>
    <n v="20"/>
    <x v="19"/>
    <n v="0.33333333333333331"/>
    <x v="8"/>
    <x v="7"/>
  </r>
  <r>
    <x v="1"/>
    <x v="12"/>
    <s v="Getflow Update"/>
    <x v="0"/>
    <x v="8"/>
    <n v="20"/>
    <x v="19"/>
    <n v="0.33333333333333331"/>
    <x v="8"/>
    <x v="7"/>
  </r>
  <r>
    <x v="0"/>
    <x v="6"/>
    <s v="AHS Sheet Update"/>
    <x v="0"/>
    <x v="0"/>
    <n v="60"/>
    <x v="20"/>
    <n v="1"/>
    <x v="9"/>
    <x v="8"/>
  </r>
  <r>
    <x v="0"/>
    <x v="1"/>
    <s v="Invoice Price Monitor"/>
    <x v="0"/>
    <x v="4"/>
    <n v="120"/>
    <x v="20"/>
    <n v="2"/>
    <x v="9"/>
    <x v="8"/>
  </r>
  <r>
    <x v="0"/>
    <x v="0"/>
    <s v="Mapped Listing buy box and Automated pricing"/>
    <x v="0"/>
    <x v="0"/>
    <n v="30"/>
    <x v="20"/>
    <n v="0.5"/>
    <x v="9"/>
    <x v="8"/>
  </r>
  <r>
    <x v="0"/>
    <x v="2"/>
    <s v="Internal Meeting"/>
    <x v="0"/>
    <x v="2"/>
    <n v="20"/>
    <x v="20"/>
    <n v="0.33333333333333331"/>
    <x v="9"/>
    <x v="8"/>
  </r>
  <r>
    <x v="0"/>
    <x v="0"/>
    <s v="Daily Stock Update"/>
    <x v="0"/>
    <x v="3"/>
    <n v="90"/>
    <x v="20"/>
    <n v="1.5"/>
    <x v="9"/>
    <x v="8"/>
  </r>
  <r>
    <x v="0"/>
    <x v="1"/>
    <s v="Listing Optimization"/>
    <x v="1"/>
    <x v="5"/>
    <n v="45"/>
    <x v="20"/>
    <n v="0.75"/>
    <x v="9"/>
    <x v="8"/>
  </r>
  <r>
    <x v="0"/>
    <x v="0"/>
    <s v="New Listing"/>
    <x v="1"/>
    <x v="1"/>
    <n v="115"/>
    <x v="20"/>
    <n v="1.9166666666666667"/>
    <x v="9"/>
    <x v="8"/>
  </r>
  <r>
    <x v="1"/>
    <x v="4"/>
    <s v="Getflow Task Update"/>
    <x v="0"/>
    <x v="0"/>
    <n v="35"/>
    <x v="20"/>
    <n v="0.58333333333333337"/>
    <x v="9"/>
    <x v="8"/>
  </r>
  <r>
    <x v="1"/>
    <x v="3"/>
    <s v="A+ Content"/>
    <x v="1"/>
    <x v="0"/>
    <n v="120"/>
    <x v="20"/>
    <n v="2"/>
    <x v="9"/>
    <x v="8"/>
  </r>
  <r>
    <x v="1"/>
    <x v="3"/>
    <s v="Listing Optimization"/>
    <x v="1"/>
    <x v="5"/>
    <n v="65"/>
    <x v="20"/>
    <n v="1.0833333333333333"/>
    <x v="9"/>
    <x v="8"/>
  </r>
  <r>
    <x v="1"/>
    <x v="3"/>
    <s v="New Listing"/>
    <x v="3"/>
    <x v="1"/>
    <n v="70"/>
    <x v="20"/>
    <n v="1.1666666666666667"/>
    <x v="9"/>
    <x v="8"/>
  </r>
  <r>
    <x v="1"/>
    <x v="4"/>
    <s v="Team Meeting"/>
    <x v="0"/>
    <x v="0"/>
    <n v="20"/>
    <x v="20"/>
    <n v="0.33333333333333331"/>
    <x v="9"/>
    <x v="8"/>
  </r>
  <r>
    <x v="1"/>
    <x v="3"/>
    <s v="Daily Stock Update"/>
    <x v="0"/>
    <x v="3"/>
    <n v="110"/>
    <x v="20"/>
    <n v="1.8333333333333333"/>
    <x v="9"/>
    <x v="8"/>
  </r>
  <r>
    <x v="1"/>
    <x v="3"/>
    <s v="FBA Orders -Return Process"/>
    <x v="3"/>
    <x v="19"/>
    <n v="20"/>
    <x v="20"/>
    <n v="0.33333333333333331"/>
    <x v="9"/>
    <x v="8"/>
  </r>
  <r>
    <x v="1"/>
    <x v="5"/>
    <s v="Listing Optimization"/>
    <x v="1"/>
    <x v="5"/>
    <n v="45"/>
    <x v="20"/>
    <n v="0.75"/>
    <x v="9"/>
    <x v="8"/>
  </r>
  <r>
    <x v="1"/>
    <x v="3"/>
    <s v=" CA Remap"/>
    <x v="0"/>
    <x v="0"/>
    <n v="25"/>
    <x v="20"/>
    <n v="0.41666666666666669"/>
    <x v="9"/>
    <x v="8"/>
  </r>
  <r>
    <x v="0"/>
    <x v="7"/>
    <s v="Team Meeting"/>
    <x v="0"/>
    <x v="9"/>
    <n v="20"/>
    <x v="21"/>
    <n v="0.33333333333333331"/>
    <x v="10"/>
    <x v="8"/>
  </r>
  <r>
    <x v="0"/>
    <x v="6"/>
    <s v="AHS Sheet Update"/>
    <x v="0"/>
    <x v="7"/>
    <n v="45"/>
    <x v="21"/>
    <n v="0.75"/>
    <x v="10"/>
    <x v="8"/>
  </r>
  <r>
    <x v="0"/>
    <x v="0"/>
    <s v="Mapped Listing buy box and Automated pricing"/>
    <x v="0"/>
    <x v="8"/>
    <n v="15"/>
    <x v="21"/>
    <n v="0.25"/>
    <x v="10"/>
    <x v="8"/>
  </r>
  <r>
    <x v="0"/>
    <x v="1"/>
    <s v="ABC Report"/>
    <x v="5"/>
    <x v="31"/>
    <n v="220"/>
    <x v="21"/>
    <n v="3.6666666666666665"/>
    <x v="10"/>
    <x v="8"/>
  </r>
  <r>
    <x v="0"/>
    <x v="1"/>
    <s v="Invoice Price Monitor"/>
    <x v="0"/>
    <x v="4"/>
    <n v="90"/>
    <x v="21"/>
    <n v="1.5"/>
    <x v="10"/>
    <x v="8"/>
  </r>
  <r>
    <x v="0"/>
    <x v="0"/>
    <s v="Daily Stock Update"/>
    <x v="0"/>
    <x v="3"/>
    <n v="90"/>
    <x v="21"/>
    <n v="1.5"/>
    <x v="10"/>
    <x v="8"/>
  </r>
  <r>
    <x v="1"/>
    <x v="3"/>
    <s v="Account Health Review"/>
    <x v="1"/>
    <x v="10"/>
    <n v="20"/>
    <x v="21"/>
    <n v="0.33333333333333331"/>
    <x v="10"/>
    <x v="8"/>
  </r>
  <r>
    <x v="1"/>
    <x v="7"/>
    <s v="Team Meeting"/>
    <x v="0"/>
    <x v="9"/>
    <n v="20"/>
    <x v="21"/>
    <n v="0.33333333333333331"/>
    <x v="10"/>
    <x v="8"/>
  </r>
  <r>
    <x v="1"/>
    <x v="14"/>
    <s v="Client Meeting"/>
    <x v="1"/>
    <x v="17"/>
    <n v="25"/>
    <x v="21"/>
    <n v="0.41666666666666669"/>
    <x v="10"/>
    <x v="8"/>
  </r>
  <r>
    <x v="1"/>
    <x v="3"/>
    <s v="Internal Price Match"/>
    <x v="3"/>
    <x v="15"/>
    <n v="45"/>
    <x v="21"/>
    <n v="0.75"/>
    <x v="10"/>
    <x v="8"/>
  </r>
  <r>
    <x v="1"/>
    <x v="3"/>
    <s v="VC Discount Coupons"/>
    <x v="3"/>
    <x v="8"/>
    <n v="25"/>
    <x v="21"/>
    <n v="0.41666666666666669"/>
    <x v="10"/>
    <x v="8"/>
  </r>
  <r>
    <x v="1"/>
    <x v="9"/>
    <s v="Canada Store Stock Sheet"/>
    <x v="0"/>
    <x v="3"/>
    <n v="20"/>
    <x v="21"/>
    <n v="0.33333333333333331"/>
    <x v="10"/>
    <x v="8"/>
  </r>
  <r>
    <x v="1"/>
    <x v="3"/>
    <s v="Daily Stock Update"/>
    <x v="0"/>
    <x v="3"/>
    <n v="65"/>
    <x v="21"/>
    <n v="1.0833333333333333"/>
    <x v="10"/>
    <x v="8"/>
  </r>
  <r>
    <x v="1"/>
    <x v="3"/>
    <s v="White Friday/Single Day Deal Sheet- Mail Priority"/>
    <x v="3"/>
    <x v="8"/>
    <n v="25"/>
    <x v="21"/>
    <n v="0.41666666666666669"/>
    <x v="10"/>
    <x v="8"/>
  </r>
  <r>
    <x v="1"/>
    <x v="3"/>
    <s v="Stock Review"/>
    <x v="1"/>
    <x v="8"/>
    <n v="35"/>
    <x v="21"/>
    <n v="0.58333333333333337"/>
    <x v="10"/>
    <x v="8"/>
  </r>
  <r>
    <x v="1"/>
    <x v="3"/>
    <s v="Listing Optimization"/>
    <x v="1"/>
    <x v="8"/>
    <n v="45"/>
    <x v="21"/>
    <n v="0.75"/>
    <x v="10"/>
    <x v="8"/>
  </r>
  <r>
    <x v="1"/>
    <x v="5"/>
    <s v="Listing Optimization"/>
    <x v="1"/>
    <x v="8"/>
    <n v="20"/>
    <x v="21"/>
    <n v="0.33333333333333331"/>
    <x v="10"/>
    <x v="8"/>
  </r>
  <r>
    <x v="1"/>
    <x v="12"/>
    <s v="Getflow Update"/>
    <x v="0"/>
    <x v="8"/>
    <n v="25"/>
    <x v="21"/>
    <n v="0.41666666666666669"/>
    <x v="10"/>
    <x v="8"/>
  </r>
  <r>
    <x v="1"/>
    <x v="12"/>
    <s v="Merchandising SOP &amp; Automation Opportunity"/>
    <x v="1"/>
    <x v="37"/>
    <n v="110"/>
    <x v="21"/>
    <n v="1.8333333333333333"/>
    <x v="10"/>
    <x v="8"/>
  </r>
  <r>
    <x v="0"/>
    <x v="6"/>
    <s v="AHS Sheet Update"/>
    <x v="0"/>
    <x v="0"/>
    <n v="60"/>
    <x v="22"/>
    <n v="1"/>
    <x v="11"/>
    <x v="9"/>
  </r>
  <r>
    <x v="0"/>
    <x v="1"/>
    <s v="Invoice Price Monitor"/>
    <x v="0"/>
    <x v="4"/>
    <n v="150"/>
    <x v="22"/>
    <n v="2.5"/>
    <x v="11"/>
    <x v="9"/>
  </r>
  <r>
    <x v="0"/>
    <x v="0"/>
    <s v="Mapped Listing buy box and Automated pricing"/>
    <x v="0"/>
    <x v="0"/>
    <n v="30"/>
    <x v="22"/>
    <n v="0.5"/>
    <x v="11"/>
    <x v="9"/>
  </r>
  <r>
    <x v="0"/>
    <x v="2"/>
    <s v="Internal Meeting"/>
    <x v="0"/>
    <x v="2"/>
    <n v="20"/>
    <x v="22"/>
    <n v="0.33333333333333331"/>
    <x v="11"/>
    <x v="9"/>
  </r>
  <r>
    <x v="0"/>
    <x v="2"/>
    <s v="Client Meeting"/>
    <x v="3"/>
    <x v="17"/>
    <n v="50"/>
    <x v="22"/>
    <n v="0.83333333333333337"/>
    <x v="11"/>
    <x v="9"/>
  </r>
  <r>
    <x v="0"/>
    <x v="0"/>
    <s v="Daily Stock Update"/>
    <x v="0"/>
    <x v="3"/>
    <n v="90"/>
    <x v="22"/>
    <n v="1.5"/>
    <x v="11"/>
    <x v="9"/>
  </r>
  <r>
    <x v="0"/>
    <x v="2"/>
    <s v="New Listing"/>
    <x v="1"/>
    <x v="1"/>
    <n v="150"/>
    <x v="22"/>
    <n v="2.5"/>
    <x v="11"/>
    <x v="9"/>
  </r>
  <r>
    <x v="0"/>
    <x v="2"/>
    <s v="New Listing"/>
    <x v="1"/>
    <x v="1"/>
    <n v="30"/>
    <x v="22"/>
    <n v="0.5"/>
    <x v="11"/>
    <x v="9"/>
  </r>
  <r>
    <x v="1"/>
    <x v="4"/>
    <s v="Getflow Task Update"/>
    <x v="0"/>
    <x v="0"/>
    <n v="35"/>
    <x v="23"/>
    <n v="0.58333333333333337"/>
    <x v="12"/>
    <x v="9"/>
  </r>
  <r>
    <x v="1"/>
    <x v="3"/>
    <s v="Listing Optimization"/>
    <x v="1"/>
    <x v="5"/>
    <n v="45"/>
    <x v="23"/>
    <n v="0.75"/>
    <x v="12"/>
    <x v="9"/>
  </r>
  <r>
    <x v="1"/>
    <x v="3"/>
    <s v="FBA Reconciliation Sheet"/>
    <x v="2"/>
    <x v="0"/>
    <n v="120"/>
    <x v="23"/>
    <n v="2"/>
    <x v="12"/>
    <x v="9"/>
  </r>
  <r>
    <x v="1"/>
    <x v="4"/>
    <s v="Team Meeting"/>
    <x v="0"/>
    <x v="0"/>
    <n v="20"/>
    <x v="23"/>
    <n v="0.33333333333333331"/>
    <x v="12"/>
    <x v="9"/>
  </r>
  <r>
    <x v="1"/>
    <x v="3"/>
    <s v="Daily Stock Update"/>
    <x v="0"/>
    <x v="3"/>
    <n v="95"/>
    <x v="23"/>
    <n v="1.5833333333333333"/>
    <x v="12"/>
    <x v="9"/>
  </r>
  <r>
    <x v="1"/>
    <x v="5"/>
    <s v="Listing Optimization"/>
    <x v="1"/>
    <x v="5"/>
    <n v="45"/>
    <x v="23"/>
    <n v="0.75"/>
    <x v="12"/>
    <x v="9"/>
  </r>
  <r>
    <x v="1"/>
    <x v="3"/>
    <s v="MFN Reconciliation Sheet"/>
    <x v="2"/>
    <x v="11"/>
    <n v="35"/>
    <x v="23"/>
    <n v="0.58333333333333337"/>
    <x v="12"/>
    <x v="9"/>
  </r>
  <r>
    <x v="1"/>
    <x v="3"/>
    <s v="Free Assembly &amp; Paid Assembly"/>
    <x v="2"/>
    <x v="0"/>
    <n v="40"/>
    <x v="23"/>
    <n v="0.66666666666666663"/>
    <x v="12"/>
    <x v="9"/>
  </r>
  <r>
    <x v="1"/>
    <x v="3"/>
    <s v="Meeting- Danica"/>
    <x v="1"/>
    <x v="0"/>
    <n v="50"/>
    <x v="23"/>
    <n v="0.83333333333333337"/>
    <x v="12"/>
    <x v="9"/>
  </r>
  <r>
    <x v="0"/>
    <x v="7"/>
    <s v="Team Meeting"/>
    <x v="0"/>
    <x v="9"/>
    <n v="20"/>
    <x v="24"/>
    <n v="0.33333333333333331"/>
    <x v="12"/>
    <x v="9"/>
  </r>
  <r>
    <x v="0"/>
    <x v="1"/>
    <s v="Invoice Price Monitor"/>
    <x v="0"/>
    <x v="4"/>
    <n v="120"/>
    <x v="24"/>
    <n v="2"/>
    <x v="12"/>
    <x v="9"/>
  </r>
  <r>
    <x v="0"/>
    <x v="6"/>
    <s v="AHS Sheet Update"/>
    <x v="0"/>
    <x v="7"/>
    <n v="60"/>
    <x v="24"/>
    <n v="1"/>
    <x v="12"/>
    <x v="9"/>
  </r>
  <r>
    <x v="0"/>
    <x v="0"/>
    <s v="Mapped Listing buy box and Automated pricing"/>
    <x v="0"/>
    <x v="8"/>
    <n v="30"/>
    <x v="24"/>
    <n v="0.5"/>
    <x v="12"/>
    <x v="9"/>
  </r>
  <r>
    <x v="0"/>
    <x v="0"/>
    <s v="Daily Stock Update"/>
    <x v="0"/>
    <x v="3"/>
    <n v="90"/>
    <x v="24"/>
    <n v="1.5"/>
    <x v="12"/>
    <x v="9"/>
  </r>
  <r>
    <x v="0"/>
    <x v="0"/>
    <s v="Listing Optimization"/>
    <x v="0"/>
    <x v="5"/>
    <n v="10"/>
    <x v="24"/>
    <n v="0.16666666666666666"/>
    <x v="12"/>
    <x v="9"/>
  </r>
  <r>
    <x v="0"/>
    <x v="1"/>
    <s v="Sale"/>
    <x v="2"/>
    <x v="8"/>
    <n v="60"/>
    <x v="24"/>
    <n v="1"/>
    <x v="12"/>
    <x v="9"/>
  </r>
  <r>
    <x v="0"/>
    <x v="11"/>
    <s v="CA-VC Result of Shortage Claims Dispute"/>
    <x v="2"/>
    <x v="0"/>
    <n v="110"/>
    <x v="24"/>
    <n v="1.8333333333333333"/>
    <x v="12"/>
    <x v="9"/>
  </r>
  <r>
    <x v="1"/>
    <x v="3"/>
    <s v="Getflow"/>
    <x v="0"/>
    <x v="8"/>
    <n v="30"/>
    <x v="24"/>
    <n v="0.5"/>
    <x v="12"/>
    <x v="9"/>
  </r>
  <r>
    <x v="1"/>
    <x v="7"/>
    <s v="Team Meeting"/>
    <x v="0"/>
    <x v="9"/>
    <n v="25"/>
    <x v="24"/>
    <n v="0.41666666666666669"/>
    <x v="12"/>
    <x v="9"/>
  </r>
  <r>
    <x v="1"/>
    <x v="14"/>
    <s v="Team Meeting"/>
    <x v="0"/>
    <x v="17"/>
    <n v="30"/>
    <x v="24"/>
    <n v="0.5"/>
    <x v="12"/>
    <x v="9"/>
  </r>
  <r>
    <x v="1"/>
    <x v="9"/>
    <s v="Canada Store Stock Sheet"/>
    <x v="0"/>
    <x v="3"/>
    <n v="45"/>
    <x v="24"/>
    <n v="0.75"/>
    <x v="12"/>
    <x v="9"/>
  </r>
  <r>
    <x v="1"/>
    <x v="3"/>
    <s v="Weekly Confirmation Sheet"/>
    <x v="2"/>
    <x v="34"/>
    <n v="35"/>
    <x v="24"/>
    <n v="0.58333333333333337"/>
    <x v="12"/>
    <x v="9"/>
  </r>
  <r>
    <x v="1"/>
    <x v="3"/>
    <s v="Daily Stock Update"/>
    <x v="0"/>
    <x v="3"/>
    <n v="90"/>
    <x v="24"/>
    <n v="1.5"/>
    <x v="12"/>
    <x v="9"/>
  </r>
  <r>
    <x v="1"/>
    <x v="11"/>
    <s v="Listing Optimization"/>
    <x v="1"/>
    <x v="5"/>
    <n v="25"/>
    <x v="24"/>
    <n v="0.41666666666666669"/>
    <x v="12"/>
    <x v="9"/>
  </r>
  <r>
    <x v="1"/>
    <x v="3"/>
    <s v="FBA Seller Flex Amount Dispute"/>
    <x v="2"/>
    <x v="8"/>
    <n v="35"/>
    <x v="24"/>
    <n v="0.58333333333333337"/>
    <x v="12"/>
    <x v="9"/>
  </r>
  <r>
    <x v="1"/>
    <x v="5"/>
    <s v="A+ Content"/>
    <x v="1"/>
    <x v="0"/>
    <n v="35"/>
    <x v="24"/>
    <n v="0.58333333333333337"/>
    <x v="12"/>
    <x v="9"/>
  </r>
  <r>
    <x v="1"/>
    <x v="3"/>
    <s v="Account Health Review"/>
    <x v="1"/>
    <x v="10"/>
    <n v="45"/>
    <x v="24"/>
    <n v="0.75"/>
    <x v="12"/>
    <x v="9"/>
  </r>
  <r>
    <x v="1"/>
    <x v="3"/>
    <s v="Stock Review"/>
    <x v="1"/>
    <x v="8"/>
    <n v="30"/>
    <x v="24"/>
    <n v="0.5"/>
    <x v="12"/>
    <x v="9"/>
  </r>
  <r>
    <x v="1"/>
    <x v="3"/>
    <s v="FBA Stock Review"/>
    <x v="1"/>
    <x v="8"/>
    <n v="30"/>
    <x v="24"/>
    <n v="0.5"/>
    <x v="12"/>
    <x v="9"/>
  </r>
  <r>
    <x v="1"/>
    <x v="8"/>
    <s v="Price Review"/>
    <x v="1"/>
    <x v="8"/>
    <n v="25"/>
    <x v="24"/>
    <n v="0.41666666666666669"/>
    <x v="12"/>
    <x v="9"/>
  </r>
  <r>
    <x v="1"/>
    <x v="3"/>
    <s v="BestBuy.CA New Products"/>
    <x v="1"/>
    <x v="8"/>
    <n v="35"/>
    <x v="24"/>
    <n v="0.58333333333333337"/>
    <x v="12"/>
    <x v="9"/>
  </r>
  <r>
    <x v="0"/>
    <x v="7"/>
    <s v="Team Meeting"/>
    <x v="0"/>
    <x v="9"/>
    <n v="20"/>
    <x v="25"/>
    <n v="0.33333333333333331"/>
    <x v="12"/>
    <x v="9"/>
  </r>
  <r>
    <x v="0"/>
    <x v="6"/>
    <s v="AHS Sheet Update"/>
    <x v="0"/>
    <x v="7"/>
    <n v="60"/>
    <x v="25"/>
    <n v="1"/>
    <x v="12"/>
    <x v="9"/>
  </r>
  <r>
    <x v="0"/>
    <x v="0"/>
    <s v="Mapped Listing buy box and Automated pricing"/>
    <x v="0"/>
    <x v="8"/>
    <n v="30"/>
    <x v="25"/>
    <n v="0.5"/>
    <x v="12"/>
    <x v="9"/>
  </r>
  <r>
    <x v="0"/>
    <x v="1"/>
    <s v="ABC Report"/>
    <x v="5"/>
    <x v="31"/>
    <n v="280"/>
    <x v="25"/>
    <n v="4.666666666666667"/>
    <x v="12"/>
    <x v="9"/>
  </r>
  <r>
    <x v="0"/>
    <x v="0"/>
    <s v="Daily Stock Update"/>
    <x v="0"/>
    <x v="3"/>
    <n v="90"/>
    <x v="25"/>
    <n v="1.5"/>
    <x v="12"/>
    <x v="9"/>
  </r>
  <r>
    <x v="1"/>
    <x v="3"/>
    <s v="Account Health Review"/>
    <x v="1"/>
    <x v="10"/>
    <n v="20"/>
    <x v="25"/>
    <n v="0.33333333333333331"/>
    <x v="12"/>
    <x v="9"/>
  </r>
  <r>
    <x v="1"/>
    <x v="7"/>
    <s v="Team Meeting"/>
    <x v="0"/>
    <x v="9"/>
    <n v="20"/>
    <x v="25"/>
    <n v="0.33333333333333331"/>
    <x v="12"/>
    <x v="9"/>
  </r>
  <r>
    <x v="1"/>
    <x v="14"/>
    <s v="Client Meeting"/>
    <x v="1"/>
    <x v="17"/>
    <n v="45"/>
    <x v="25"/>
    <n v="0.75"/>
    <x v="12"/>
    <x v="9"/>
  </r>
  <r>
    <x v="1"/>
    <x v="3"/>
    <s v="Internal Price Match"/>
    <x v="3"/>
    <x v="8"/>
    <n v="45"/>
    <x v="25"/>
    <n v="0.75"/>
    <x v="12"/>
    <x v="9"/>
  </r>
  <r>
    <x v="1"/>
    <x v="3"/>
    <s v="VC Discount Coupons"/>
    <x v="3"/>
    <x v="8"/>
    <n v="45"/>
    <x v="25"/>
    <n v="0.75"/>
    <x v="12"/>
    <x v="9"/>
  </r>
  <r>
    <x v="1"/>
    <x v="9"/>
    <s v="Canada Store Stock Sheet"/>
    <x v="0"/>
    <x v="3"/>
    <n v="25"/>
    <x v="25"/>
    <n v="0.41666666666666669"/>
    <x v="12"/>
    <x v="9"/>
  </r>
  <r>
    <x v="1"/>
    <x v="3"/>
    <s v="Daily Stock Update"/>
    <x v="0"/>
    <x v="3"/>
    <n v="110"/>
    <x v="25"/>
    <n v="1.8333333333333333"/>
    <x v="12"/>
    <x v="9"/>
  </r>
  <r>
    <x v="1"/>
    <x v="3"/>
    <s v="White Friday/Single Day Deal Sheet- Mail Priority"/>
    <x v="3"/>
    <x v="8"/>
    <n v="20"/>
    <x v="25"/>
    <n v="0.33333333333333331"/>
    <x v="12"/>
    <x v="9"/>
  </r>
  <r>
    <x v="1"/>
    <x v="3"/>
    <s v="Stock Review"/>
    <x v="1"/>
    <x v="8"/>
    <n v="20"/>
    <x v="25"/>
    <n v="0.33333333333333331"/>
    <x v="12"/>
    <x v="9"/>
  </r>
  <r>
    <x v="1"/>
    <x v="3"/>
    <s v="Listing Optimization"/>
    <x v="1"/>
    <x v="8"/>
    <n v="20"/>
    <x v="25"/>
    <n v="0.33333333333333331"/>
    <x v="12"/>
    <x v="9"/>
  </r>
  <r>
    <x v="1"/>
    <x v="5"/>
    <s v="Listing Optimization"/>
    <x v="1"/>
    <x v="8"/>
    <n v="30"/>
    <x v="25"/>
    <n v="0.5"/>
    <x v="12"/>
    <x v="9"/>
  </r>
  <r>
    <x v="1"/>
    <x v="3"/>
    <s v="Account Health Review"/>
    <x v="1"/>
    <x v="10"/>
    <n v="20"/>
    <x v="25"/>
    <n v="0.33333333333333331"/>
    <x v="12"/>
    <x v="9"/>
  </r>
  <r>
    <x v="1"/>
    <x v="7"/>
    <s v="Team Meeting"/>
    <x v="0"/>
    <x v="9"/>
    <n v="40"/>
    <x v="25"/>
    <n v="0.66666666666666663"/>
    <x v="12"/>
    <x v="9"/>
  </r>
  <r>
    <x v="1"/>
    <x v="3"/>
    <s v="Listing Optimization"/>
    <x v="1"/>
    <x v="8"/>
    <n v="45"/>
    <x v="25"/>
    <n v="0.75"/>
    <x v="12"/>
    <x v="9"/>
  </r>
  <r>
    <x v="1"/>
    <x v="3"/>
    <s v="Listing Optimization"/>
    <x v="1"/>
    <x v="5"/>
    <n v="20"/>
    <x v="25"/>
    <n v="0.33333333333333331"/>
    <x v="12"/>
    <x v="9"/>
  </r>
  <r>
    <x v="1"/>
    <x v="3"/>
    <s v="Listing Optimization"/>
    <x v="1"/>
    <x v="8"/>
    <n v="35"/>
    <x v="25"/>
    <n v="0.58333333333333337"/>
    <x v="12"/>
    <x v="9"/>
  </r>
  <r>
    <x v="1"/>
    <x v="5"/>
    <s v="Listing Optimization"/>
    <x v="1"/>
    <x v="5"/>
    <n v="40"/>
    <x v="25"/>
    <n v="0.66666666666666663"/>
    <x v="12"/>
    <x v="9"/>
  </r>
  <r>
    <x v="1"/>
    <x v="3"/>
    <s v="Internal Price Match"/>
    <x v="3"/>
    <x v="8"/>
    <n v="55"/>
    <x v="25"/>
    <n v="0.91666666666666663"/>
    <x v="12"/>
    <x v="9"/>
  </r>
  <r>
    <x v="1"/>
    <x v="3"/>
    <s v="Stock Review"/>
    <x v="3"/>
    <x v="8"/>
    <n v="45"/>
    <x v="25"/>
    <n v="0.75"/>
    <x v="12"/>
    <x v="9"/>
  </r>
  <r>
    <x v="1"/>
    <x v="9"/>
    <s v="Canada Store Stock Sheet"/>
    <x v="0"/>
    <x v="3"/>
    <n v="25"/>
    <x v="25"/>
    <n v="0.41666666666666669"/>
    <x v="12"/>
    <x v="9"/>
  </r>
  <r>
    <x v="1"/>
    <x v="3"/>
    <s v="Daily Stock Update"/>
    <x v="0"/>
    <x v="3"/>
    <n v="110"/>
    <x v="25"/>
    <n v="1.8333333333333333"/>
    <x v="12"/>
    <x v="9"/>
  </r>
  <r>
    <x v="1"/>
    <x v="3"/>
    <s v="Competitor Analysis"/>
    <x v="3"/>
    <x v="8"/>
    <n v="20"/>
    <x v="25"/>
    <n v="0.33333333333333331"/>
    <x v="12"/>
    <x v="9"/>
  </r>
  <r>
    <x v="1"/>
    <x v="12"/>
    <s v="Getflow Update"/>
    <x v="0"/>
    <x v="8"/>
    <n v="20"/>
    <x v="25"/>
    <n v="0.33333333333333331"/>
    <x v="12"/>
    <x v="9"/>
  </r>
  <r>
    <x v="1"/>
    <x v="12"/>
    <s v="Merchandising SOP &amp; Automation Opportunity"/>
    <x v="1"/>
    <x v="37"/>
    <n v="95"/>
    <x v="25"/>
    <n v="1.5833333333333333"/>
    <x v="12"/>
    <x v="9"/>
  </r>
  <r>
    <x v="1"/>
    <x v="12"/>
    <s v="Getflow Update"/>
    <x v="0"/>
    <x v="8"/>
    <n v="20"/>
    <x v="25"/>
    <n v="0.33333333333333331"/>
    <x v="12"/>
    <x v="9"/>
  </r>
  <r>
    <x v="1"/>
    <x v="3"/>
    <s v="Stock Review"/>
    <x v="1"/>
    <x v="8"/>
    <n v="35"/>
    <x v="25"/>
    <n v="0.58333333333333337"/>
    <x v="12"/>
    <x v="9"/>
  </r>
  <r>
    <x v="0"/>
    <x v="7"/>
    <s v="Team Meeting"/>
    <x v="0"/>
    <x v="9"/>
    <n v="20"/>
    <x v="26"/>
    <n v="0.33333333333333331"/>
    <x v="13"/>
    <x v="10"/>
  </r>
  <r>
    <x v="0"/>
    <x v="6"/>
    <s v="AHS Sheet Update"/>
    <x v="0"/>
    <x v="7"/>
    <n v="50"/>
    <x v="26"/>
    <n v="0.83333333333333337"/>
    <x v="13"/>
    <x v="10"/>
  </r>
  <r>
    <x v="0"/>
    <x v="0"/>
    <s v="Mapped Listing buy box and Automated pricing"/>
    <x v="0"/>
    <x v="8"/>
    <n v="30"/>
    <x v="26"/>
    <n v="0.5"/>
    <x v="13"/>
    <x v="10"/>
  </r>
  <r>
    <x v="0"/>
    <x v="1"/>
    <s v="Product and Customer ABC Reports"/>
    <x v="5"/>
    <x v="31"/>
    <n v="360"/>
    <x v="26"/>
    <n v="6"/>
    <x v="13"/>
    <x v="10"/>
  </r>
  <r>
    <x v="0"/>
    <x v="0"/>
    <s v="Avdertisement"/>
    <x v="0"/>
    <x v="38"/>
    <n v="40"/>
    <x v="26"/>
    <n v="0.66666666666666663"/>
    <x v="13"/>
    <x v="10"/>
  </r>
  <r>
    <x v="1"/>
    <x v="3"/>
    <s v="Getflow"/>
    <x v="0"/>
    <x v="8"/>
    <n v="35"/>
    <x v="26"/>
    <n v="0.58333333333333337"/>
    <x v="13"/>
    <x v="10"/>
  </r>
  <r>
    <x v="1"/>
    <x v="7"/>
    <s v="Team Meeting"/>
    <x v="0"/>
    <x v="9"/>
    <n v="25"/>
    <x v="26"/>
    <n v="0.41666666666666669"/>
    <x v="13"/>
    <x v="10"/>
  </r>
  <r>
    <x v="1"/>
    <x v="9"/>
    <s v="Canada Store Stock Sheet"/>
    <x v="0"/>
    <x v="3"/>
    <n v="35"/>
    <x v="26"/>
    <n v="0.58333333333333337"/>
    <x v="13"/>
    <x v="10"/>
  </r>
  <r>
    <x v="1"/>
    <x v="3"/>
    <s v="FBA Reconciliation Sheet"/>
    <x v="2"/>
    <x v="14"/>
    <n v="30"/>
    <x v="26"/>
    <n v="0.5"/>
    <x v="13"/>
    <x v="10"/>
  </r>
  <r>
    <x v="1"/>
    <x v="3"/>
    <s v="Daily Stock Update"/>
    <x v="0"/>
    <x v="3"/>
    <n v="110"/>
    <x v="26"/>
    <n v="1.8333333333333333"/>
    <x v="13"/>
    <x v="10"/>
  </r>
  <r>
    <x v="1"/>
    <x v="11"/>
    <s v="Listing Optimization"/>
    <x v="1"/>
    <x v="5"/>
    <n v="25"/>
    <x v="26"/>
    <n v="0.41666666666666669"/>
    <x v="13"/>
    <x v="10"/>
  </r>
  <r>
    <x v="1"/>
    <x v="3"/>
    <s v="MFN Reconciliation Sheet"/>
    <x v="2"/>
    <x v="11"/>
    <n v="35"/>
    <x v="26"/>
    <n v="0.58333333333333337"/>
    <x v="13"/>
    <x v="10"/>
  </r>
  <r>
    <x v="1"/>
    <x v="8"/>
    <s v="Kroger Price Review"/>
    <x v="1"/>
    <x v="39"/>
    <n v="55"/>
    <x v="26"/>
    <n v="0.91666666666666663"/>
    <x v="13"/>
    <x v="10"/>
  </r>
  <r>
    <x v="1"/>
    <x v="3"/>
    <s v="Account Health Review"/>
    <x v="1"/>
    <x v="10"/>
    <n v="55"/>
    <x v="26"/>
    <n v="0.91666666666666663"/>
    <x v="13"/>
    <x v="10"/>
  </r>
  <r>
    <x v="1"/>
    <x v="3"/>
    <s v="Stock Review"/>
    <x v="1"/>
    <x v="8"/>
    <n v="40"/>
    <x v="26"/>
    <n v="0.66666666666666663"/>
    <x v="13"/>
    <x v="10"/>
  </r>
  <r>
    <x v="1"/>
    <x v="3"/>
    <s v="FBA Stock Review"/>
    <x v="1"/>
    <x v="8"/>
    <n v="25"/>
    <x v="26"/>
    <n v="0.41666666666666669"/>
    <x v="13"/>
    <x v="10"/>
  </r>
  <r>
    <x v="1"/>
    <x v="8"/>
    <s v="Price Review"/>
    <x v="1"/>
    <x v="8"/>
    <n v="35"/>
    <x v="26"/>
    <n v="0.58333333333333337"/>
    <x v="13"/>
    <x v="10"/>
  </r>
  <r>
    <x v="1"/>
    <x v="3"/>
    <s v="Stock Review"/>
    <x v="1"/>
    <x v="8"/>
    <n v="25"/>
    <x v="26"/>
    <n v="0.41666666666666669"/>
    <x v="13"/>
    <x v="10"/>
  </r>
  <r>
    <x v="0"/>
    <x v="7"/>
    <s v="Team Meeting"/>
    <x v="0"/>
    <x v="9"/>
    <n v="20"/>
    <x v="27"/>
    <n v="0.33333333333333331"/>
    <x v="13"/>
    <x v="10"/>
  </r>
  <r>
    <x v="0"/>
    <x v="6"/>
    <s v="AHS Sheet Update"/>
    <x v="0"/>
    <x v="7"/>
    <n v="60"/>
    <x v="27"/>
    <n v="1"/>
    <x v="13"/>
    <x v="10"/>
  </r>
  <r>
    <x v="0"/>
    <x v="0"/>
    <s v="Mapped Listing buy box and Automated pricing"/>
    <x v="0"/>
    <x v="8"/>
    <n v="30"/>
    <x v="27"/>
    <n v="0.5"/>
    <x v="13"/>
    <x v="10"/>
  </r>
  <r>
    <x v="0"/>
    <x v="1"/>
    <s v="ABC Report"/>
    <x v="5"/>
    <x v="31"/>
    <n v="260"/>
    <x v="27"/>
    <n v="4.333333333333333"/>
    <x v="13"/>
    <x v="10"/>
  </r>
  <r>
    <x v="0"/>
    <x v="0"/>
    <s v="Client Meeting"/>
    <x v="3"/>
    <x v="17"/>
    <n v="50"/>
    <x v="27"/>
    <n v="0.83333333333333337"/>
    <x v="13"/>
    <x v="10"/>
  </r>
  <r>
    <x v="0"/>
    <x v="0"/>
    <s v="Daily Stock Update"/>
    <x v="0"/>
    <x v="3"/>
    <n v="90"/>
    <x v="27"/>
    <n v="1.5"/>
    <x v="13"/>
    <x v="10"/>
  </r>
  <r>
    <x v="1"/>
    <x v="3"/>
    <s v="Account Health Review"/>
    <x v="1"/>
    <x v="10"/>
    <n v="20"/>
    <x v="27"/>
    <n v="0.33333333333333331"/>
    <x v="13"/>
    <x v="10"/>
  </r>
  <r>
    <x v="1"/>
    <x v="7"/>
    <s v="Team Meeting"/>
    <x v="0"/>
    <x v="9"/>
    <n v="40"/>
    <x v="27"/>
    <n v="0.66666666666666663"/>
    <x v="13"/>
    <x v="10"/>
  </r>
  <r>
    <x v="1"/>
    <x v="7"/>
    <s v="Client Meeting"/>
    <x v="0"/>
    <x v="17"/>
    <n v="50"/>
    <x v="27"/>
    <n v="0.83333333333333337"/>
    <x v="13"/>
    <x v="10"/>
  </r>
  <r>
    <x v="1"/>
    <x v="15"/>
    <s v="Listing Optimization"/>
    <x v="1"/>
    <x v="8"/>
    <n v="45"/>
    <x v="27"/>
    <n v="0.75"/>
    <x v="13"/>
    <x v="10"/>
  </r>
  <r>
    <x v="1"/>
    <x v="3"/>
    <s v="Listing Optimization"/>
    <x v="1"/>
    <x v="8"/>
    <n v="40"/>
    <x v="27"/>
    <n v="0.66666666666666663"/>
    <x v="13"/>
    <x v="10"/>
  </r>
  <r>
    <x v="1"/>
    <x v="3"/>
    <s v="Listing Optimization"/>
    <x v="1"/>
    <x v="5"/>
    <n v="35"/>
    <x v="27"/>
    <n v="0.58333333333333337"/>
    <x v="13"/>
    <x v="10"/>
  </r>
  <r>
    <x v="1"/>
    <x v="5"/>
    <s v="Listing Optimization"/>
    <x v="1"/>
    <x v="5"/>
    <n v="20"/>
    <x v="27"/>
    <n v="0.33333333333333331"/>
    <x v="13"/>
    <x v="10"/>
  </r>
  <r>
    <x v="1"/>
    <x v="3"/>
    <s v="Internal Price Match"/>
    <x v="3"/>
    <x v="8"/>
    <n v="55"/>
    <x v="27"/>
    <n v="0.91666666666666663"/>
    <x v="13"/>
    <x v="10"/>
  </r>
  <r>
    <x v="1"/>
    <x v="3"/>
    <s v="Stock Update"/>
    <x v="3"/>
    <x v="3"/>
    <n v="45"/>
    <x v="27"/>
    <n v="0.75"/>
    <x v="13"/>
    <x v="10"/>
  </r>
  <r>
    <x v="1"/>
    <x v="12"/>
    <s v="Getflow Update"/>
    <x v="0"/>
    <x v="8"/>
    <n v="20"/>
    <x v="27"/>
    <n v="0.33333333333333331"/>
    <x v="13"/>
    <x v="10"/>
  </r>
  <r>
    <x v="1"/>
    <x v="9"/>
    <s v="Canada Store Stock Sheet"/>
    <x v="0"/>
    <x v="3"/>
    <n v="25"/>
    <x v="27"/>
    <n v="0.41666666666666669"/>
    <x v="13"/>
    <x v="10"/>
  </r>
  <r>
    <x v="1"/>
    <x v="3"/>
    <s v="Daily Stock Update"/>
    <x v="0"/>
    <x v="3"/>
    <n v="110"/>
    <x v="27"/>
    <n v="1.8333333333333333"/>
    <x v="13"/>
    <x v="10"/>
  </r>
  <r>
    <x v="0"/>
    <x v="6"/>
    <s v="AHS Sheet Update"/>
    <x v="0"/>
    <x v="0"/>
    <n v="60"/>
    <x v="28"/>
    <n v="1"/>
    <x v="14"/>
    <x v="11"/>
  </r>
  <r>
    <x v="0"/>
    <x v="1"/>
    <s v="Invoice Price Monitor"/>
    <x v="0"/>
    <x v="4"/>
    <n v="150"/>
    <x v="28"/>
    <n v="2.5"/>
    <x v="14"/>
    <x v="11"/>
  </r>
  <r>
    <x v="0"/>
    <x v="0"/>
    <s v="Mapped Listing buy box and Automated pricing"/>
    <x v="0"/>
    <x v="0"/>
    <n v="40"/>
    <x v="28"/>
    <n v="0.66666666666666663"/>
    <x v="14"/>
    <x v="11"/>
  </r>
  <r>
    <x v="0"/>
    <x v="2"/>
    <s v="Internal Meeting"/>
    <x v="0"/>
    <x v="2"/>
    <n v="20"/>
    <x v="28"/>
    <n v="0.33333333333333331"/>
    <x v="14"/>
    <x v="11"/>
  </r>
  <r>
    <x v="0"/>
    <x v="2"/>
    <s v="Client Meeting"/>
    <x v="3"/>
    <x v="17"/>
    <n v="40"/>
    <x v="28"/>
    <n v="0.66666666666666663"/>
    <x v="14"/>
    <x v="11"/>
  </r>
  <r>
    <x v="0"/>
    <x v="0"/>
    <s v="Daily Stock Update"/>
    <x v="0"/>
    <x v="3"/>
    <n v="90"/>
    <x v="28"/>
    <n v="1.5"/>
    <x v="14"/>
    <x v="11"/>
  </r>
  <r>
    <x v="0"/>
    <x v="2"/>
    <s v="New Listing"/>
    <x v="1"/>
    <x v="1"/>
    <n v="30"/>
    <x v="28"/>
    <n v="0.5"/>
    <x v="14"/>
    <x v="11"/>
  </r>
  <r>
    <x v="0"/>
    <x v="2"/>
    <s v="New Listing"/>
    <x v="1"/>
    <x v="1"/>
    <n v="60"/>
    <x v="28"/>
    <n v="1"/>
    <x v="14"/>
    <x v="11"/>
  </r>
  <r>
    <x v="1"/>
    <x v="4"/>
    <s v="Getflow Task Update"/>
    <x v="0"/>
    <x v="0"/>
    <n v="35"/>
    <x v="28"/>
    <n v="0.58333333333333337"/>
    <x v="14"/>
    <x v="11"/>
  </r>
  <r>
    <x v="1"/>
    <x v="3"/>
    <s v="Listing Optimization"/>
    <x v="1"/>
    <x v="5"/>
    <n v="45"/>
    <x v="28"/>
    <n v="0.75"/>
    <x v="14"/>
    <x v="11"/>
  </r>
  <r>
    <x v="1"/>
    <x v="3"/>
    <s v="Weekly Confirmation Sheet"/>
    <x v="2"/>
    <x v="0"/>
    <n v="65"/>
    <x v="28"/>
    <n v="1.0833333333333333"/>
    <x v="14"/>
    <x v="11"/>
  </r>
  <r>
    <x v="1"/>
    <x v="4"/>
    <s v="Team Meeting"/>
    <x v="0"/>
    <x v="9"/>
    <n v="20"/>
    <x v="28"/>
    <n v="0.33333333333333331"/>
    <x v="14"/>
    <x v="11"/>
  </r>
  <r>
    <x v="1"/>
    <x v="3"/>
    <s v="Daily Stock Update"/>
    <x v="0"/>
    <x v="3"/>
    <n v="120"/>
    <x v="28"/>
    <n v="2"/>
    <x v="14"/>
    <x v="11"/>
  </r>
  <r>
    <x v="1"/>
    <x v="5"/>
    <s v="Listing Optimization"/>
    <x v="1"/>
    <x v="5"/>
    <n v="55"/>
    <x v="28"/>
    <n v="0.91666666666666663"/>
    <x v="14"/>
    <x v="11"/>
  </r>
  <r>
    <x v="1"/>
    <x v="3"/>
    <s v="Cost Sheet Review"/>
    <x v="3"/>
    <x v="0"/>
    <n v="25"/>
    <x v="28"/>
    <n v="0.41666666666666669"/>
    <x v="14"/>
    <x v="11"/>
  </r>
  <r>
    <x v="1"/>
    <x v="4"/>
    <s v="Client Meeting"/>
    <x v="1"/>
    <x v="17"/>
    <n v="40"/>
    <x v="28"/>
    <n v="0.66666666666666663"/>
    <x v="14"/>
    <x v="11"/>
  </r>
  <r>
    <x v="1"/>
    <x v="4"/>
    <s v="Task Priority Sheet"/>
    <x v="1"/>
    <x v="0"/>
    <n v="75"/>
    <x v="28"/>
    <n v="1.25"/>
    <x v="14"/>
    <x v="11"/>
  </r>
  <r>
    <x v="0"/>
    <x v="7"/>
    <s v="Team Meeting"/>
    <x v="0"/>
    <x v="9"/>
    <n v="20"/>
    <x v="29"/>
    <n v="0.33333333333333331"/>
    <x v="14"/>
    <x v="11"/>
  </r>
  <r>
    <x v="0"/>
    <x v="6"/>
    <s v="AHS Sheet Update"/>
    <x v="0"/>
    <x v="7"/>
    <n v="45"/>
    <x v="29"/>
    <n v="0.75"/>
    <x v="14"/>
    <x v="11"/>
  </r>
  <r>
    <x v="0"/>
    <x v="0"/>
    <s v="Mapped Listing buy box and Automated pricing"/>
    <x v="0"/>
    <x v="8"/>
    <n v="25"/>
    <x v="29"/>
    <n v="0.41666666666666669"/>
    <x v="14"/>
    <x v="11"/>
  </r>
  <r>
    <x v="0"/>
    <x v="1"/>
    <s v="Product and Customer ABC Reports"/>
    <x v="5"/>
    <x v="31"/>
    <n v="270"/>
    <x v="29"/>
    <n v="4.5"/>
    <x v="14"/>
    <x v="11"/>
  </r>
  <r>
    <x v="0"/>
    <x v="0"/>
    <s v="Invoice Price Monitor"/>
    <x v="0"/>
    <x v="4"/>
    <n v="120"/>
    <x v="29"/>
    <n v="2"/>
    <x v="14"/>
    <x v="11"/>
  </r>
  <r>
    <x v="1"/>
    <x v="3"/>
    <s v="Getflow"/>
    <x v="0"/>
    <x v="8"/>
    <n v="30"/>
    <x v="29"/>
    <n v="0.5"/>
    <x v="14"/>
    <x v="11"/>
  </r>
  <r>
    <x v="1"/>
    <x v="7"/>
    <s v="Team Meeting"/>
    <x v="0"/>
    <x v="9"/>
    <n v="30"/>
    <x v="29"/>
    <n v="0.5"/>
    <x v="14"/>
    <x v="11"/>
  </r>
  <r>
    <x v="1"/>
    <x v="9"/>
    <s v="Canada Store Stock Sheet"/>
    <x v="0"/>
    <x v="3"/>
    <n v="30"/>
    <x v="29"/>
    <n v="0.5"/>
    <x v="14"/>
    <x v="11"/>
  </r>
  <r>
    <x v="1"/>
    <x v="3"/>
    <s v="Client Meeting"/>
    <x v="1"/>
    <x v="17"/>
    <n v="30"/>
    <x v="29"/>
    <n v="0.5"/>
    <x v="14"/>
    <x v="11"/>
  </r>
  <r>
    <x v="1"/>
    <x v="3"/>
    <s v="Daily Stock Update"/>
    <x v="0"/>
    <x v="3"/>
    <n v="30"/>
    <x v="29"/>
    <n v="0.5"/>
    <x v="14"/>
    <x v="11"/>
  </r>
  <r>
    <x v="1"/>
    <x v="3"/>
    <s v="Account Health Review"/>
    <x v="1"/>
    <x v="10"/>
    <n v="30"/>
    <x v="29"/>
    <n v="0.5"/>
    <x v="14"/>
    <x v="11"/>
  </r>
  <r>
    <x v="1"/>
    <x v="3"/>
    <s v="FBA Stock Review"/>
    <x v="1"/>
    <x v="3"/>
    <n v="30"/>
    <x v="29"/>
    <n v="0.5"/>
    <x v="14"/>
    <x v="11"/>
  </r>
  <r>
    <x v="1"/>
    <x v="5"/>
    <s v="Listing Optimization"/>
    <x v="1"/>
    <x v="8"/>
    <n v="30"/>
    <x v="29"/>
    <n v="0.5"/>
    <x v="14"/>
    <x v="11"/>
  </r>
  <r>
    <x v="1"/>
    <x v="3"/>
    <s v="Stock Review"/>
    <x v="1"/>
    <x v="8"/>
    <n v="30"/>
    <x v="29"/>
    <n v="0.5"/>
    <x v="14"/>
    <x v="11"/>
  </r>
  <r>
    <x v="1"/>
    <x v="3"/>
    <s v="Listing Optimization"/>
    <x v="1"/>
    <x v="5"/>
    <n v="30"/>
    <x v="29"/>
    <n v="0.5"/>
    <x v="14"/>
    <x v="11"/>
  </r>
  <r>
    <x v="1"/>
    <x v="3"/>
    <s v=" CA Remap"/>
    <x v="1"/>
    <x v="12"/>
    <n v="30"/>
    <x v="29"/>
    <n v="0.5"/>
    <x v="14"/>
    <x v="11"/>
  </r>
  <r>
    <x v="1"/>
    <x v="3"/>
    <s v="Listing Optimization"/>
    <x v="1"/>
    <x v="5"/>
    <n v="30"/>
    <x v="29"/>
    <n v="0.5"/>
    <x v="14"/>
    <x v="11"/>
  </r>
  <r>
    <x v="0"/>
    <x v="7"/>
    <s v="Team Meeting"/>
    <x v="0"/>
    <x v="9"/>
    <n v="20"/>
    <x v="30"/>
    <n v="0.33333333333333331"/>
    <x v="15"/>
    <x v="11"/>
  </r>
  <r>
    <x v="0"/>
    <x v="6"/>
    <s v="AHS Sheet Update"/>
    <x v="0"/>
    <x v="7"/>
    <n v="60"/>
    <x v="30"/>
    <n v="1"/>
    <x v="15"/>
    <x v="11"/>
  </r>
  <r>
    <x v="0"/>
    <x v="0"/>
    <s v="Mapped Listing buy box and Automated pricing"/>
    <x v="0"/>
    <x v="8"/>
    <n v="30"/>
    <x v="30"/>
    <n v="0.5"/>
    <x v="15"/>
    <x v="11"/>
  </r>
  <r>
    <x v="0"/>
    <x v="1"/>
    <s v="MACY’S"/>
    <x v="0"/>
    <x v="4"/>
    <n v="200"/>
    <x v="30"/>
    <n v="3.3333333333333335"/>
    <x v="15"/>
    <x v="11"/>
  </r>
  <r>
    <x v="0"/>
    <x v="16"/>
    <s v="New Listing"/>
    <x v="1"/>
    <x v="1"/>
    <n v="30"/>
    <x v="30"/>
    <n v="0.5"/>
    <x v="15"/>
    <x v="11"/>
  </r>
  <r>
    <x v="0"/>
    <x v="17"/>
    <s v="New Listing"/>
    <x v="1"/>
    <x v="1"/>
    <n v="30"/>
    <x v="30"/>
    <n v="0.5"/>
    <x v="15"/>
    <x v="11"/>
  </r>
  <r>
    <x v="0"/>
    <x v="8"/>
    <s v="New Listing"/>
    <x v="1"/>
    <x v="1"/>
    <n v="30"/>
    <x v="30"/>
    <n v="0.5"/>
    <x v="15"/>
    <x v="11"/>
  </r>
  <r>
    <x v="0"/>
    <x v="0"/>
    <s v="Daily Stock Update"/>
    <x v="0"/>
    <x v="3"/>
    <n v="90"/>
    <x v="30"/>
    <n v="1.5"/>
    <x v="15"/>
    <x v="11"/>
  </r>
  <r>
    <x v="1"/>
    <x v="3"/>
    <s v="Account Health Review"/>
    <x v="1"/>
    <x v="10"/>
    <n v="20"/>
    <x v="30"/>
    <n v="0.33333333333333331"/>
    <x v="15"/>
    <x v="11"/>
  </r>
  <r>
    <x v="1"/>
    <x v="7"/>
    <s v="Team Meeting"/>
    <x v="0"/>
    <x v="9"/>
    <n v="20"/>
    <x v="30"/>
    <n v="0.33333333333333331"/>
    <x v="15"/>
    <x v="11"/>
  </r>
  <r>
    <x v="1"/>
    <x v="3"/>
    <s v="Listing Optimization"/>
    <x v="1"/>
    <x v="8"/>
    <n v="90"/>
    <x v="30"/>
    <n v="1.5"/>
    <x v="15"/>
    <x v="11"/>
  </r>
  <r>
    <x v="1"/>
    <x v="5"/>
    <s v="Listing Optimization"/>
    <x v="1"/>
    <x v="5"/>
    <n v="40"/>
    <x v="30"/>
    <n v="0.66666666666666663"/>
    <x v="15"/>
    <x v="11"/>
  </r>
  <r>
    <x v="1"/>
    <x v="3"/>
    <s v="Internal Price Match"/>
    <x v="3"/>
    <x v="8"/>
    <n v="20"/>
    <x v="30"/>
    <n v="0.33333333333333331"/>
    <x v="15"/>
    <x v="11"/>
  </r>
  <r>
    <x v="1"/>
    <x v="9"/>
    <s v="Canada Store Stock Sheet"/>
    <x v="0"/>
    <x v="3"/>
    <n v="55"/>
    <x v="30"/>
    <n v="0.91666666666666663"/>
    <x v="15"/>
    <x v="11"/>
  </r>
  <r>
    <x v="1"/>
    <x v="3"/>
    <s v="Daily Stock Update"/>
    <x v="0"/>
    <x v="3"/>
    <n v="25"/>
    <x v="30"/>
    <n v="0.41666666666666669"/>
    <x v="15"/>
    <x v="11"/>
  </r>
  <r>
    <x v="1"/>
    <x v="3"/>
    <s v="Free Assembly &amp; Paid Assembly"/>
    <x v="2"/>
    <x v="0"/>
    <n v="110"/>
    <x v="30"/>
    <n v="1.8333333333333333"/>
    <x v="15"/>
    <x v="11"/>
  </r>
  <r>
    <x v="1"/>
    <x v="3"/>
    <s v="FBA Orders -Return Process"/>
    <x v="2"/>
    <x v="19"/>
    <n v="35"/>
    <x v="30"/>
    <n v="0.58333333333333337"/>
    <x v="15"/>
    <x v="11"/>
  </r>
  <r>
    <x v="1"/>
    <x v="12"/>
    <s v="Getflow Update"/>
    <x v="0"/>
    <x v="8"/>
    <n v="40"/>
    <x v="30"/>
    <n v="0.66666666666666663"/>
    <x v="15"/>
    <x v="11"/>
  </r>
  <r>
    <x v="1"/>
    <x v="12"/>
    <s v="Stock Review"/>
    <x v="1"/>
    <x v="3"/>
    <n v="40"/>
    <x v="30"/>
    <n v="0.66666666666666663"/>
    <x v="15"/>
    <x v="11"/>
  </r>
  <r>
    <x v="1"/>
    <x v="4"/>
    <s v="Getflow Task Update"/>
    <x v="0"/>
    <x v="0"/>
    <n v="35"/>
    <x v="31"/>
    <n v="0.58333333333333337"/>
    <x v="10"/>
    <x v="8"/>
  </r>
  <r>
    <x v="1"/>
    <x v="3"/>
    <s v="Listing Optimization"/>
    <x v="1"/>
    <x v="5"/>
    <n v="75"/>
    <x v="31"/>
    <n v="1.25"/>
    <x v="10"/>
    <x v="8"/>
  </r>
  <r>
    <x v="1"/>
    <x v="5"/>
    <s v="Category Sorting"/>
    <x v="1"/>
    <x v="21"/>
    <n v="80"/>
    <x v="31"/>
    <n v="1.3333333333333333"/>
    <x v="10"/>
    <x v="8"/>
  </r>
  <r>
    <x v="1"/>
    <x v="4"/>
    <s v="Team Meeting"/>
    <x v="0"/>
    <x v="9"/>
    <n v="20"/>
    <x v="31"/>
    <n v="0.33333333333333331"/>
    <x v="10"/>
    <x v="8"/>
  </r>
  <r>
    <x v="1"/>
    <x v="3"/>
    <s v="Daily Stock Update"/>
    <x v="0"/>
    <x v="3"/>
    <n v="130"/>
    <x v="31"/>
    <n v="2.1666666666666665"/>
    <x v="10"/>
    <x v="8"/>
  </r>
  <r>
    <x v="1"/>
    <x v="5"/>
    <s v="Listing Optimization"/>
    <x v="1"/>
    <x v="5"/>
    <n v="65"/>
    <x v="31"/>
    <n v="1.0833333333333333"/>
    <x v="10"/>
    <x v="8"/>
  </r>
  <r>
    <x v="1"/>
    <x v="3"/>
    <s v=" CA Remap"/>
    <x v="3"/>
    <x v="0"/>
    <n v="35"/>
    <x v="31"/>
    <n v="0.58333333333333337"/>
    <x v="10"/>
    <x v="8"/>
  </r>
  <r>
    <x v="1"/>
    <x v="4"/>
    <s v="New Listing"/>
    <x v="3"/>
    <x v="1"/>
    <n v="55"/>
    <x v="31"/>
    <n v="0.91666666666666663"/>
    <x v="10"/>
    <x v="8"/>
  </r>
  <r>
    <x v="1"/>
    <x v="3"/>
    <s v="Weekly Check of Feedback - SC and AHS"/>
    <x v="0"/>
    <x v="0"/>
    <n v="45"/>
    <x v="31"/>
    <n v="0.75"/>
    <x v="10"/>
    <x v="8"/>
  </r>
  <r>
    <x v="0"/>
    <x v="6"/>
    <s v="AHS Sheet Update"/>
    <x v="0"/>
    <x v="0"/>
    <n v="60"/>
    <x v="31"/>
    <n v="1"/>
    <x v="10"/>
    <x v="8"/>
  </r>
  <r>
    <x v="0"/>
    <x v="1"/>
    <s v="Invoice Price Monitor"/>
    <x v="0"/>
    <x v="4"/>
    <n v="130"/>
    <x v="31"/>
    <n v="2.1666666666666665"/>
    <x v="10"/>
    <x v="8"/>
  </r>
  <r>
    <x v="0"/>
    <x v="0"/>
    <s v="Mapped Listing buy box and Automated pricing"/>
    <x v="0"/>
    <x v="0"/>
    <n v="30"/>
    <x v="31"/>
    <n v="0.5"/>
    <x v="10"/>
    <x v="8"/>
  </r>
  <r>
    <x v="0"/>
    <x v="2"/>
    <s v="Internal Meeting"/>
    <x v="0"/>
    <x v="2"/>
    <n v="20"/>
    <x v="31"/>
    <n v="0.33333333333333331"/>
    <x v="10"/>
    <x v="8"/>
  </r>
  <r>
    <x v="0"/>
    <x v="0"/>
    <s v="Daily Stock Update"/>
    <x v="0"/>
    <x v="3"/>
    <n v="30"/>
    <x v="31"/>
    <n v="0.5"/>
    <x v="10"/>
    <x v="8"/>
  </r>
  <r>
    <x v="0"/>
    <x v="2"/>
    <s v="New Listing"/>
    <x v="1"/>
    <x v="1"/>
    <n v="90"/>
    <x v="31"/>
    <n v="1.5"/>
    <x v="10"/>
    <x v="8"/>
  </r>
  <r>
    <x v="0"/>
    <x v="2"/>
    <s v="New Listing"/>
    <x v="1"/>
    <x v="1"/>
    <n v="60"/>
    <x v="31"/>
    <n v="1"/>
    <x v="10"/>
    <x v="8"/>
  </r>
  <r>
    <x v="0"/>
    <x v="1"/>
    <s v="Category Sorting"/>
    <x v="1"/>
    <x v="21"/>
    <n v="90"/>
    <x v="31"/>
    <n v="1.5"/>
    <x v="10"/>
    <x v="8"/>
  </r>
  <r>
    <x v="0"/>
    <x v="7"/>
    <s v="Team Meeting"/>
    <x v="0"/>
    <x v="9"/>
    <n v="20"/>
    <x v="32"/>
    <n v="0.33333333333333331"/>
    <x v="12"/>
    <x v="9"/>
  </r>
  <r>
    <x v="0"/>
    <x v="6"/>
    <s v="AHS Sheet Update"/>
    <x v="0"/>
    <x v="7"/>
    <n v="45"/>
    <x v="32"/>
    <n v="0.75"/>
    <x v="12"/>
    <x v="9"/>
  </r>
  <r>
    <x v="0"/>
    <x v="0"/>
    <s v="Mapped Listing buy box and Automated pricing"/>
    <x v="0"/>
    <x v="8"/>
    <n v="15"/>
    <x v="32"/>
    <n v="0.25"/>
    <x v="12"/>
    <x v="9"/>
  </r>
  <r>
    <x v="0"/>
    <x v="1"/>
    <s v="Product and Customer ABC Reports"/>
    <x v="5"/>
    <x v="31"/>
    <n v="240"/>
    <x v="32"/>
    <n v="4"/>
    <x v="12"/>
    <x v="9"/>
  </r>
  <r>
    <x v="0"/>
    <x v="0"/>
    <s v="Invoice Price Monitor"/>
    <x v="0"/>
    <x v="4"/>
    <n v="150"/>
    <x v="32"/>
    <n v="2.5"/>
    <x v="12"/>
    <x v="9"/>
  </r>
  <r>
    <x v="0"/>
    <x v="0"/>
    <s v="Client Meeting"/>
    <x v="0"/>
    <x v="17"/>
    <n v="40"/>
    <x v="32"/>
    <n v="0.66666666666666663"/>
    <x v="12"/>
    <x v="9"/>
  </r>
  <r>
    <x v="1"/>
    <x v="3"/>
    <s v="Getflow"/>
    <x v="0"/>
    <x v="8"/>
    <n v="30"/>
    <x v="32"/>
    <n v="0.5"/>
    <x v="12"/>
    <x v="9"/>
  </r>
  <r>
    <x v="1"/>
    <x v="7"/>
    <s v="Team Meeting"/>
    <x v="0"/>
    <x v="9"/>
    <n v="25"/>
    <x v="32"/>
    <n v="0.41666666666666669"/>
    <x v="12"/>
    <x v="9"/>
  </r>
  <r>
    <x v="1"/>
    <x v="5"/>
    <s v="New Listing"/>
    <x v="1"/>
    <x v="1"/>
    <n v="50"/>
    <x v="32"/>
    <n v="0.83333333333333337"/>
    <x v="12"/>
    <x v="9"/>
  </r>
  <r>
    <x v="1"/>
    <x v="3"/>
    <s v="Client Meeting"/>
    <x v="1"/>
    <x v="17"/>
    <n v="40"/>
    <x v="32"/>
    <n v="0.66666666666666663"/>
    <x v="12"/>
    <x v="9"/>
  </r>
  <r>
    <x v="1"/>
    <x v="3"/>
    <s v="Competitor Analysis"/>
    <x v="0"/>
    <x v="20"/>
    <n v="45"/>
    <x v="32"/>
    <n v="0.75"/>
    <x v="12"/>
    <x v="9"/>
  </r>
  <r>
    <x v="1"/>
    <x v="3"/>
    <s v="Account Health Review"/>
    <x v="1"/>
    <x v="10"/>
    <n v="95"/>
    <x v="32"/>
    <n v="1.5833333333333333"/>
    <x v="12"/>
    <x v="9"/>
  </r>
  <r>
    <x v="1"/>
    <x v="3"/>
    <s v="FBA Stock Review"/>
    <x v="1"/>
    <x v="3"/>
    <n v="50"/>
    <x v="32"/>
    <n v="0.83333333333333337"/>
    <x v="12"/>
    <x v="9"/>
  </r>
  <r>
    <x v="1"/>
    <x v="3"/>
    <s v="FBA Reconciliation Sheet"/>
    <x v="2"/>
    <x v="14"/>
    <n v="35"/>
    <x v="32"/>
    <n v="0.58333333333333337"/>
    <x v="12"/>
    <x v="9"/>
  </r>
  <r>
    <x v="1"/>
    <x v="3"/>
    <s v="MFN Reconciliation Sheet"/>
    <x v="2"/>
    <x v="11"/>
    <n v="25"/>
    <x v="32"/>
    <n v="0.41666666666666669"/>
    <x v="12"/>
    <x v="9"/>
  </r>
  <r>
    <x v="1"/>
    <x v="3"/>
    <s v="Listing Synchronization - Check Seller Central Price with Retail Marked Price"/>
    <x v="4"/>
    <x v="40"/>
    <n v="25"/>
    <x v="32"/>
    <n v="0.41666666666666669"/>
    <x v="12"/>
    <x v="9"/>
  </r>
  <r>
    <x v="1"/>
    <x v="3"/>
    <s v="Stock Update"/>
    <x v="4"/>
    <x v="8"/>
    <n v="20"/>
    <x v="32"/>
    <n v="0.33333333333333331"/>
    <x v="12"/>
    <x v="9"/>
  </r>
  <r>
    <x v="1"/>
    <x v="15"/>
    <s v="Newegg Support"/>
    <x v="1"/>
    <x v="5"/>
    <n v="30"/>
    <x v="32"/>
    <n v="0.5"/>
    <x v="12"/>
    <x v="9"/>
  </r>
  <r>
    <x v="1"/>
    <x v="3"/>
    <s v="Daily Stock Update"/>
    <x v="0"/>
    <x v="3"/>
    <n v="40"/>
    <x v="32"/>
    <n v="0.66666666666666663"/>
    <x v="12"/>
    <x v="9"/>
  </r>
  <r>
    <x v="1"/>
    <x v="4"/>
    <s v="Getflow Task Update"/>
    <x v="0"/>
    <x v="0"/>
    <n v="35"/>
    <x v="33"/>
    <n v="0.58333333333333337"/>
    <x v="10"/>
    <x v="8"/>
  </r>
  <r>
    <x v="1"/>
    <x v="3"/>
    <s v="Listing Optimization"/>
    <x v="1"/>
    <x v="5"/>
    <n v="55"/>
    <x v="33"/>
    <n v="0.91666666666666663"/>
    <x v="10"/>
    <x v="8"/>
  </r>
  <r>
    <x v="1"/>
    <x v="5"/>
    <s v="Category Sorting"/>
    <x v="1"/>
    <x v="21"/>
    <n v="80"/>
    <x v="33"/>
    <n v="1.3333333333333333"/>
    <x v="10"/>
    <x v="8"/>
  </r>
  <r>
    <x v="1"/>
    <x v="18"/>
    <s v="Team Meeting"/>
    <x v="0"/>
    <x v="9"/>
    <n v="20"/>
    <x v="33"/>
    <n v="0.33333333333333331"/>
    <x v="10"/>
    <x v="8"/>
  </r>
  <r>
    <x v="1"/>
    <x v="3"/>
    <s v="Daily Stock Update"/>
    <x v="0"/>
    <x v="3"/>
    <n v="110"/>
    <x v="33"/>
    <n v="1.8333333333333333"/>
    <x v="10"/>
    <x v="8"/>
  </r>
  <r>
    <x v="1"/>
    <x v="19"/>
    <s v="Listing Optimization"/>
    <x v="1"/>
    <x v="5"/>
    <n v="35"/>
    <x v="33"/>
    <n v="0.58333333333333337"/>
    <x v="10"/>
    <x v="8"/>
  </r>
  <r>
    <x v="1"/>
    <x v="15"/>
    <s v="New Listing"/>
    <x v="1"/>
    <x v="1"/>
    <n v="120"/>
    <x v="33"/>
    <n v="2"/>
    <x v="10"/>
    <x v="8"/>
  </r>
  <r>
    <x v="1"/>
    <x v="3"/>
    <s v="Weekly Check of Feedback - SC and AHS"/>
    <x v="0"/>
    <x v="0"/>
    <n v="25"/>
    <x v="33"/>
    <n v="0.41666666666666669"/>
    <x v="10"/>
    <x v="8"/>
  </r>
  <r>
    <x v="1"/>
    <x v="8"/>
    <s v="Listing Optimization"/>
    <x v="1"/>
    <x v="5"/>
    <n v="35"/>
    <x v="33"/>
    <n v="0.58333333333333337"/>
    <x v="10"/>
    <x v="8"/>
  </r>
  <r>
    <x v="0"/>
    <x v="7"/>
    <s v="Team Meeting"/>
    <x v="0"/>
    <x v="9"/>
    <n v="20"/>
    <x v="34"/>
    <n v="0.33333333333333331"/>
    <x v="12"/>
    <x v="9"/>
  </r>
  <r>
    <x v="0"/>
    <x v="6"/>
    <s v="AHS Sheet Update"/>
    <x v="0"/>
    <x v="7"/>
    <n v="45"/>
    <x v="34"/>
    <n v="0.75"/>
    <x v="12"/>
    <x v="9"/>
  </r>
  <r>
    <x v="0"/>
    <x v="0"/>
    <s v="Mapped Listing buy box and Automated pricing"/>
    <x v="0"/>
    <x v="8"/>
    <n v="20"/>
    <x v="34"/>
    <n v="0.33333333333333331"/>
    <x v="12"/>
    <x v="9"/>
  </r>
  <r>
    <x v="0"/>
    <x v="1"/>
    <s v="Product and Customer ABC Reports"/>
    <x v="5"/>
    <x v="31"/>
    <n v="250"/>
    <x v="34"/>
    <n v="4.166666666666667"/>
    <x v="12"/>
    <x v="9"/>
  </r>
  <r>
    <x v="0"/>
    <x v="0"/>
    <s v="Invoice Price Monitor"/>
    <x v="0"/>
    <x v="4"/>
    <n v="130"/>
    <x v="34"/>
    <n v="2.1666666666666665"/>
    <x v="12"/>
    <x v="9"/>
  </r>
  <r>
    <x v="0"/>
    <x v="0"/>
    <s v="Client Meeting"/>
    <x v="0"/>
    <x v="17"/>
    <n v="30"/>
    <x v="34"/>
    <n v="0.5"/>
    <x v="12"/>
    <x v="9"/>
  </r>
  <r>
    <x v="1"/>
    <x v="3"/>
    <s v="Getflow"/>
    <x v="0"/>
    <x v="8"/>
    <n v="30"/>
    <x v="34"/>
    <n v="0.5"/>
    <x v="12"/>
    <x v="9"/>
  </r>
  <r>
    <x v="1"/>
    <x v="7"/>
    <s v="Team Meeting"/>
    <x v="0"/>
    <x v="9"/>
    <n v="25"/>
    <x v="34"/>
    <n v="0.41666666666666669"/>
    <x v="12"/>
    <x v="9"/>
  </r>
  <r>
    <x v="1"/>
    <x v="3"/>
    <s v="Client Meeting"/>
    <x v="1"/>
    <x v="17"/>
    <n v="50"/>
    <x v="34"/>
    <n v="0.83333333333333337"/>
    <x v="12"/>
    <x v="9"/>
  </r>
  <r>
    <x v="1"/>
    <x v="3"/>
    <s v="Account Health Review"/>
    <x v="1"/>
    <x v="10"/>
    <n v="40"/>
    <x v="34"/>
    <n v="0.66666666666666663"/>
    <x v="12"/>
    <x v="9"/>
  </r>
  <r>
    <x v="1"/>
    <x v="3"/>
    <s v="FBA Stock Review"/>
    <x v="1"/>
    <x v="3"/>
    <n v="65"/>
    <x v="34"/>
    <n v="1.0833333333333333"/>
    <x v="12"/>
    <x v="9"/>
  </r>
  <r>
    <x v="1"/>
    <x v="15"/>
    <s v="Listing Optimization"/>
    <x v="1"/>
    <x v="8"/>
    <n v="65"/>
    <x v="34"/>
    <n v="1.0833333333333333"/>
    <x v="12"/>
    <x v="9"/>
  </r>
  <r>
    <x v="1"/>
    <x v="3"/>
    <s v="Listing Synchronization - Check Seller Central Price with Retail Marked Price"/>
    <x v="4"/>
    <x v="8"/>
    <n v="50"/>
    <x v="34"/>
    <n v="0.83333333333333337"/>
    <x v="12"/>
    <x v="9"/>
  </r>
  <r>
    <x v="1"/>
    <x v="3"/>
    <s v="Daily Stock Update"/>
    <x v="0"/>
    <x v="3"/>
    <n v="95"/>
    <x v="34"/>
    <n v="1.5833333333333333"/>
    <x v="12"/>
    <x v="9"/>
  </r>
  <r>
    <x v="1"/>
    <x v="3"/>
    <s v="New Listing"/>
    <x v="1"/>
    <x v="1"/>
    <n v="45"/>
    <x v="34"/>
    <n v="0.75"/>
    <x v="12"/>
    <x v="9"/>
  </r>
  <r>
    <x v="1"/>
    <x v="3"/>
    <s v="Competitor Analysis"/>
    <x v="0"/>
    <x v="20"/>
    <n v="35"/>
    <x v="34"/>
    <n v="0.58333333333333337"/>
    <x v="12"/>
    <x v="9"/>
  </r>
  <r>
    <x v="0"/>
    <x v="7"/>
    <s v="Team Meeting"/>
    <x v="0"/>
    <x v="9"/>
    <n v="35"/>
    <x v="35"/>
    <n v="0.58333333333333337"/>
    <x v="16"/>
    <x v="10"/>
  </r>
  <r>
    <x v="0"/>
    <x v="6"/>
    <s v="AHS Sheet Update"/>
    <x v="0"/>
    <x v="7"/>
    <n v="60"/>
    <x v="35"/>
    <n v="1"/>
    <x v="16"/>
    <x v="10"/>
  </r>
  <r>
    <x v="0"/>
    <x v="0"/>
    <s v="Mapped Listing buy box and Automated pricing"/>
    <x v="0"/>
    <x v="8"/>
    <n v="30"/>
    <x v="35"/>
    <n v="0.5"/>
    <x v="16"/>
    <x v="10"/>
  </r>
  <r>
    <x v="0"/>
    <x v="1"/>
    <s v="MACY’S"/>
    <x v="0"/>
    <x v="4"/>
    <n v="200"/>
    <x v="35"/>
    <n v="3.3333333333333335"/>
    <x v="16"/>
    <x v="10"/>
  </r>
  <r>
    <x v="0"/>
    <x v="16"/>
    <s v="New Listing"/>
    <x v="1"/>
    <x v="1"/>
    <n v="15"/>
    <x v="35"/>
    <n v="0.25"/>
    <x v="16"/>
    <x v="10"/>
  </r>
  <r>
    <x v="0"/>
    <x v="17"/>
    <s v="New Listing"/>
    <x v="1"/>
    <x v="1"/>
    <n v="30"/>
    <x v="35"/>
    <n v="0.5"/>
    <x v="16"/>
    <x v="10"/>
  </r>
  <r>
    <x v="0"/>
    <x v="0"/>
    <s v="Amazon.USA (SC)"/>
    <x v="1"/>
    <x v="38"/>
    <n v="60"/>
    <x v="35"/>
    <n v="1"/>
    <x v="16"/>
    <x v="10"/>
  </r>
  <r>
    <x v="0"/>
    <x v="0"/>
    <s v="Daily Stock Update"/>
    <x v="0"/>
    <x v="3"/>
    <n v="90"/>
    <x v="35"/>
    <n v="1.5"/>
    <x v="16"/>
    <x v="10"/>
  </r>
  <r>
    <x v="1"/>
    <x v="3"/>
    <s v="Weekly Confirmation Sheet"/>
    <x v="2"/>
    <x v="34"/>
    <n v="25"/>
    <x v="35"/>
    <n v="0.41666666666666669"/>
    <x v="16"/>
    <x v="10"/>
  </r>
  <r>
    <x v="1"/>
    <x v="3"/>
    <s v="Account Health Review"/>
    <x v="1"/>
    <x v="10"/>
    <n v="20"/>
    <x v="35"/>
    <n v="0.33333333333333331"/>
    <x v="16"/>
    <x v="10"/>
  </r>
  <r>
    <x v="1"/>
    <x v="7"/>
    <s v="Team Meeting"/>
    <x v="0"/>
    <x v="9"/>
    <n v="25"/>
    <x v="35"/>
    <n v="0.41666666666666669"/>
    <x v="16"/>
    <x v="10"/>
  </r>
  <r>
    <x v="1"/>
    <x v="3"/>
    <s v="Listing Optimization"/>
    <x v="1"/>
    <x v="8"/>
    <n v="25"/>
    <x v="35"/>
    <n v="0.41666666666666669"/>
    <x v="16"/>
    <x v="10"/>
  </r>
  <r>
    <x v="1"/>
    <x v="3"/>
    <s v="Internal Price Match"/>
    <x v="3"/>
    <x v="8"/>
    <n v="50"/>
    <x v="35"/>
    <n v="0.83333333333333337"/>
    <x v="16"/>
    <x v="10"/>
  </r>
  <r>
    <x v="1"/>
    <x v="9"/>
    <s v="Canada Store Stock Sheet"/>
    <x v="0"/>
    <x v="3"/>
    <n v="25"/>
    <x v="35"/>
    <n v="0.41666666666666669"/>
    <x v="16"/>
    <x v="10"/>
  </r>
  <r>
    <x v="1"/>
    <x v="3"/>
    <s v="Daily Stock Update"/>
    <x v="0"/>
    <x v="3"/>
    <n v="90"/>
    <x v="35"/>
    <n v="1.5"/>
    <x v="16"/>
    <x v="10"/>
  </r>
  <r>
    <x v="1"/>
    <x v="3"/>
    <s v="Free Assembly &amp; Paid Assembly"/>
    <x v="2"/>
    <x v="0"/>
    <n v="35"/>
    <x v="35"/>
    <n v="0.58333333333333337"/>
    <x v="16"/>
    <x v="10"/>
  </r>
  <r>
    <x v="1"/>
    <x v="3"/>
    <s v="FBA Orders -Return Process"/>
    <x v="2"/>
    <x v="19"/>
    <n v="35"/>
    <x v="35"/>
    <n v="0.58333333333333337"/>
    <x v="16"/>
    <x v="10"/>
  </r>
  <r>
    <x v="1"/>
    <x v="19"/>
    <s v="Listing Synchronization"/>
    <x v="1"/>
    <x v="6"/>
    <n v="20"/>
    <x v="35"/>
    <n v="0.33333333333333331"/>
    <x v="16"/>
    <x v="10"/>
  </r>
  <r>
    <x v="1"/>
    <x v="15"/>
    <s v="Listing Synchronization"/>
    <x v="1"/>
    <x v="6"/>
    <n v="25"/>
    <x v="35"/>
    <n v="0.41666666666666669"/>
    <x v="16"/>
    <x v="10"/>
  </r>
  <r>
    <x v="1"/>
    <x v="8"/>
    <s v="Listing Synchronization"/>
    <x v="1"/>
    <x v="8"/>
    <n v="20"/>
    <x v="35"/>
    <n v="0.33333333333333331"/>
    <x v="16"/>
    <x v="10"/>
  </r>
  <r>
    <x v="1"/>
    <x v="3"/>
    <s v="Canada Inbounding - 500 Items should be on offer"/>
    <x v="4"/>
    <x v="27"/>
    <n v="20"/>
    <x v="35"/>
    <n v="0.33333333333333331"/>
    <x v="16"/>
    <x v="10"/>
  </r>
  <r>
    <x v="1"/>
    <x v="12"/>
    <s v="Getflow Update"/>
    <x v="0"/>
    <x v="8"/>
    <n v="20"/>
    <x v="35"/>
    <n v="0.33333333333333331"/>
    <x v="16"/>
    <x v="10"/>
  </r>
  <r>
    <x v="1"/>
    <x v="12"/>
    <s v="Stock Review"/>
    <x v="1"/>
    <x v="3"/>
    <n v="45"/>
    <x v="35"/>
    <n v="0.75"/>
    <x v="16"/>
    <x v="10"/>
  </r>
  <r>
    <x v="1"/>
    <x v="12"/>
    <s v="Weekly Task Priority Sheet"/>
    <x v="1"/>
    <x v="25"/>
    <n v="20"/>
    <x v="35"/>
    <n v="0.33333333333333331"/>
    <x v="16"/>
    <x v="10"/>
  </r>
  <r>
    <x v="0"/>
    <x v="6"/>
    <s v="AHS Sheet Update"/>
    <x v="0"/>
    <x v="7"/>
    <n v="60"/>
    <x v="36"/>
    <n v="1"/>
    <x v="10"/>
    <x v="8"/>
  </r>
  <r>
    <x v="0"/>
    <x v="1"/>
    <s v="Invoice Price Monitor"/>
    <x v="0"/>
    <x v="4"/>
    <n v="120"/>
    <x v="36"/>
    <n v="2"/>
    <x v="10"/>
    <x v="8"/>
  </r>
  <r>
    <x v="0"/>
    <x v="0"/>
    <s v="Mapped Listing buy box and Automated pricing"/>
    <x v="0"/>
    <x v="0"/>
    <n v="30"/>
    <x v="36"/>
    <n v="0.5"/>
    <x v="10"/>
    <x v="8"/>
  </r>
  <r>
    <x v="0"/>
    <x v="18"/>
    <s v="Internal Meeting"/>
    <x v="0"/>
    <x v="41"/>
    <n v="20"/>
    <x v="36"/>
    <n v="0.33333333333333331"/>
    <x v="10"/>
    <x v="8"/>
  </r>
  <r>
    <x v="0"/>
    <x v="0"/>
    <s v="Daily Stock Update"/>
    <x v="0"/>
    <x v="3"/>
    <n v="90"/>
    <x v="36"/>
    <n v="1.5"/>
    <x v="10"/>
    <x v="8"/>
  </r>
  <r>
    <x v="0"/>
    <x v="0"/>
    <s v="Review not meeting guidelines AE &amp; SA"/>
    <x v="2"/>
    <x v="8"/>
    <n v="190"/>
    <x v="36"/>
    <n v="3.1666666666666665"/>
    <x v="10"/>
    <x v="8"/>
  </r>
  <r>
    <x v="1"/>
    <x v="3"/>
    <s v="Listing Optimization"/>
    <x v="1"/>
    <x v="8"/>
    <n v="55"/>
    <x v="36"/>
    <n v="0.91666666666666663"/>
    <x v="10"/>
    <x v="8"/>
  </r>
  <r>
    <x v="1"/>
    <x v="5"/>
    <s v="New Listing"/>
    <x v="1"/>
    <x v="1"/>
    <n v="80"/>
    <x v="36"/>
    <n v="1.3333333333333333"/>
    <x v="10"/>
    <x v="8"/>
  </r>
  <r>
    <x v="1"/>
    <x v="18"/>
    <s v="Team Meeting"/>
    <x v="0"/>
    <x v="9"/>
    <n v="20"/>
    <x v="36"/>
    <n v="0.33333333333333331"/>
    <x v="10"/>
    <x v="8"/>
  </r>
  <r>
    <x v="1"/>
    <x v="3"/>
    <s v="Daily Stock Update"/>
    <x v="0"/>
    <x v="3"/>
    <n v="110"/>
    <x v="36"/>
    <n v="1.8333333333333333"/>
    <x v="10"/>
    <x v="8"/>
  </r>
  <r>
    <x v="1"/>
    <x v="8"/>
    <s v="Listing Synchronization"/>
    <x v="1"/>
    <x v="6"/>
    <n v="65"/>
    <x v="36"/>
    <n v="1.0833333333333333"/>
    <x v="10"/>
    <x v="8"/>
  </r>
  <r>
    <x v="1"/>
    <x v="15"/>
    <s v="Listing Optimization"/>
    <x v="1"/>
    <x v="5"/>
    <n v="70"/>
    <x v="36"/>
    <n v="1.1666666666666667"/>
    <x v="10"/>
    <x v="8"/>
  </r>
  <r>
    <x v="1"/>
    <x v="3"/>
    <s v="FBA Seller Flex Amount Dispute"/>
    <x v="2"/>
    <x v="8"/>
    <n v="45"/>
    <x v="36"/>
    <n v="0.75"/>
    <x v="10"/>
    <x v="8"/>
  </r>
  <r>
    <x v="1"/>
    <x v="3"/>
    <s v="Canada Inbounding - 500 Items should be on offer"/>
    <x v="4"/>
    <x v="0"/>
    <n v="30"/>
    <x v="36"/>
    <n v="0.5"/>
    <x v="10"/>
    <x v="8"/>
  </r>
  <r>
    <x v="1"/>
    <x v="3"/>
    <s v="Listing Synchronization - Check Seller Central Price with Retail Marked Price"/>
    <x v="4"/>
    <x v="0"/>
    <n v="35"/>
    <x v="36"/>
    <n v="0.58333333333333337"/>
    <x v="10"/>
    <x v="8"/>
  </r>
  <r>
    <x v="1"/>
    <x v="3"/>
    <s v="Getflow"/>
    <x v="0"/>
    <x v="8"/>
    <n v="30"/>
    <x v="37"/>
    <n v="0.5"/>
    <x v="12"/>
    <x v="9"/>
  </r>
  <r>
    <x v="1"/>
    <x v="7"/>
    <s v="Team Meeting"/>
    <x v="0"/>
    <x v="9"/>
    <n v="30"/>
    <x v="37"/>
    <n v="0.5"/>
    <x v="12"/>
    <x v="9"/>
  </r>
  <r>
    <x v="1"/>
    <x v="3"/>
    <s v="Account Health Review"/>
    <x v="1"/>
    <x v="10"/>
    <n v="50"/>
    <x v="37"/>
    <n v="0.83333333333333337"/>
    <x v="12"/>
    <x v="9"/>
  </r>
  <r>
    <x v="1"/>
    <x v="3"/>
    <s v="FBA Stock Review"/>
    <x v="1"/>
    <x v="3"/>
    <n v="45"/>
    <x v="37"/>
    <n v="0.75"/>
    <x v="12"/>
    <x v="9"/>
  </r>
  <r>
    <x v="1"/>
    <x v="9"/>
    <s v="Listing Optimization"/>
    <x v="1"/>
    <x v="8"/>
    <n v="45"/>
    <x v="37"/>
    <n v="0.75"/>
    <x v="12"/>
    <x v="9"/>
  </r>
  <r>
    <x v="1"/>
    <x v="3"/>
    <s v="FBA Stock Update"/>
    <x v="0"/>
    <x v="3"/>
    <n v="95"/>
    <x v="37"/>
    <n v="1.5833333333333333"/>
    <x v="12"/>
    <x v="9"/>
  </r>
  <r>
    <x v="1"/>
    <x v="3"/>
    <s v="Daily Stock Update"/>
    <x v="0"/>
    <x v="3"/>
    <n v="65"/>
    <x v="37"/>
    <n v="1.0833333333333333"/>
    <x v="12"/>
    <x v="9"/>
  </r>
  <r>
    <x v="1"/>
    <x v="3"/>
    <s v="New Listing"/>
    <x v="1"/>
    <x v="1"/>
    <n v="35"/>
    <x v="37"/>
    <n v="0.58333333333333337"/>
    <x v="12"/>
    <x v="9"/>
  </r>
  <r>
    <x v="1"/>
    <x v="3"/>
    <s v="FBA Seller Flex Amount Dispute"/>
    <x v="2"/>
    <x v="8"/>
    <n v="25"/>
    <x v="37"/>
    <n v="0.41666666666666669"/>
    <x v="12"/>
    <x v="9"/>
  </r>
  <r>
    <x v="1"/>
    <x v="3"/>
    <s v="FBA Stock Update"/>
    <x v="1"/>
    <x v="8"/>
    <n v="25"/>
    <x v="37"/>
    <n v="0.41666666666666669"/>
    <x v="12"/>
    <x v="9"/>
  </r>
  <r>
    <x v="1"/>
    <x v="5"/>
    <s v="MACY’S Product Attribution"/>
    <x v="1"/>
    <x v="5"/>
    <n v="20"/>
    <x v="37"/>
    <n v="0.33333333333333331"/>
    <x v="12"/>
    <x v="9"/>
  </r>
  <r>
    <x v="1"/>
    <x v="3"/>
    <s v="Listing Optimization"/>
    <x v="1"/>
    <x v="8"/>
    <n v="30"/>
    <x v="37"/>
    <n v="0.5"/>
    <x v="12"/>
    <x v="9"/>
  </r>
  <r>
    <x v="0"/>
    <x v="7"/>
    <s v="Team Meeting"/>
    <x v="0"/>
    <x v="9"/>
    <n v="20"/>
    <x v="37"/>
    <n v="0.33333333333333331"/>
    <x v="12"/>
    <x v="9"/>
  </r>
  <r>
    <x v="0"/>
    <x v="6"/>
    <s v="AHS Sheet Update"/>
    <x v="0"/>
    <x v="7"/>
    <n v="50"/>
    <x v="37"/>
    <n v="0.83333333333333337"/>
    <x v="12"/>
    <x v="9"/>
  </r>
  <r>
    <x v="0"/>
    <x v="0"/>
    <s v="Mapped Listing buy box and Automated pricing"/>
    <x v="0"/>
    <x v="8"/>
    <n v="25"/>
    <x v="37"/>
    <n v="0.41666666666666669"/>
    <x v="12"/>
    <x v="9"/>
  </r>
  <r>
    <x v="0"/>
    <x v="1"/>
    <s v="Product and Customer ABC Reports"/>
    <x v="5"/>
    <x v="31"/>
    <n v="240"/>
    <x v="37"/>
    <n v="4"/>
    <x v="12"/>
    <x v="9"/>
  </r>
  <r>
    <x v="0"/>
    <x v="0"/>
    <s v="Invoice Price Monitor"/>
    <x v="0"/>
    <x v="4"/>
    <n v="150"/>
    <x v="37"/>
    <n v="2.5"/>
    <x v="12"/>
    <x v="9"/>
  </r>
  <r>
    <x v="0"/>
    <x v="7"/>
    <s v="Team Meeting"/>
    <x v="0"/>
    <x v="9"/>
    <n v="50"/>
    <x v="38"/>
    <n v="0.83333333333333337"/>
    <x v="16"/>
    <x v="10"/>
  </r>
  <r>
    <x v="0"/>
    <x v="6"/>
    <s v="AHS Sheet Update"/>
    <x v="0"/>
    <x v="7"/>
    <n v="60"/>
    <x v="38"/>
    <n v="1"/>
    <x v="16"/>
    <x v="10"/>
  </r>
  <r>
    <x v="0"/>
    <x v="0"/>
    <s v="Mapped Listing buy box and Automated pricing"/>
    <x v="0"/>
    <x v="8"/>
    <n v="30"/>
    <x v="38"/>
    <n v="0.5"/>
    <x v="16"/>
    <x v="10"/>
  </r>
  <r>
    <x v="0"/>
    <x v="1"/>
    <s v="MACY’S"/>
    <x v="0"/>
    <x v="4"/>
    <n v="180"/>
    <x v="38"/>
    <n v="3"/>
    <x v="16"/>
    <x v="10"/>
  </r>
  <r>
    <x v="0"/>
    <x v="20"/>
    <s v="Amazon Wayfair (USA)"/>
    <x v="1"/>
    <x v="41"/>
    <n v="30"/>
    <x v="38"/>
    <n v="0.5"/>
    <x v="16"/>
    <x v="10"/>
  </r>
  <r>
    <x v="0"/>
    <x v="16"/>
    <s v="New Listing"/>
    <x v="1"/>
    <x v="1"/>
    <n v="20"/>
    <x v="38"/>
    <n v="0.33333333333333331"/>
    <x v="16"/>
    <x v="10"/>
  </r>
  <r>
    <x v="0"/>
    <x v="0"/>
    <s v="Daily Stock Update"/>
    <x v="0"/>
    <x v="3"/>
    <n v="90"/>
    <x v="38"/>
    <n v="1.5"/>
    <x v="16"/>
    <x v="10"/>
  </r>
  <r>
    <x v="0"/>
    <x v="0"/>
    <s v="New Listing"/>
    <x v="3"/>
    <x v="1"/>
    <n v="40"/>
    <x v="38"/>
    <n v="0.66666666666666663"/>
    <x v="16"/>
    <x v="10"/>
  </r>
  <r>
    <x v="1"/>
    <x v="3"/>
    <s v="Account Health Review"/>
    <x v="1"/>
    <x v="10"/>
    <n v="20"/>
    <x v="38"/>
    <n v="0.33333333333333331"/>
    <x v="16"/>
    <x v="10"/>
  </r>
  <r>
    <x v="1"/>
    <x v="7"/>
    <s v="Team Meeting"/>
    <x v="0"/>
    <x v="9"/>
    <n v="50"/>
    <x v="38"/>
    <n v="0.83333333333333337"/>
    <x v="16"/>
    <x v="10"/>
  </r>
  <r>
    <x v="1"/>
    <x v="5"/>
    <s v="Listing Synchronization"/>
    <x v="1"/>
    <x v="6"/>
    <n v="40"/>
    <x v="38"/>
    <n v="0.66666666666666663"/>
    <x v="16"/>
    <x v="10"/>
  </r>
  <r>
    <x v="1"/>
    <x v="3"/>
    <s v="Internal Price Match"/>
    <x v="3"/>
    <x v="8"/>
    <n v="25"/>
    <x v="38"/>
    <n v="0.41666666666666669"/>
    <x v="16"/>
    <x v="10"/>
  </r>
  <r>
    <x v="1"/>
    <x v="9"/>
    <s v="Canada Store Stock Sheet"/>
    <x v="0"/>
    <x v="3"/>
    <n v="40"/>
    <x v="38"/>
    <n v="0.66666666666666663"/>
    <x v="16"/>
    <x v="10"/>
  </r>
  <r>
    <x v="1"/>
    <x v="9"/>
    <s v="Listing Synchronization"/>
    <x v="0"/>
    <x v="6"/>
    <n v="25"/>
    <x v="38"/>
    <n v="0.41666666666666669"/>
    <x v="16"/>
    <x v="10"/>
  </r>
  <r>
    <x v="1"/>
    <x v="3"/>
    <s v="Daily Stock Update"/>
    <x v="0"/>
    <x v="3"/>
    <n v="90"/>
    <x v="38"/>
    <n v="1.5"/>
    <x v="16"/>
    <x v="10"/>
  </r>
  <r>
    <x v="1"/>
    <x v="3"/>
    <s v="Listing Optimization"/>
    <x v="1"/>
    <x v="5"/>
    <n v="30"/>
    <x v="38"/>
    <n v="0.5"/>
    <x v="16"/>
    <x v="10"/>
  </r>
  <r>
    <x v="1"/>
    <x v="15"/>
    <s v="Listing Synchronization"/>
    <x v="1"/>
    <x v="6"/>
    <n v="20"/>
    <x v="38"/>
    <n v="0.33333333333333331"/>
    <x v="16"/>
    <x v="10"/>
  </r>
  <r>
    <x v="1"/>
    <x v="19"/>
    <s v="Listing Synchronization"/>
    <x v="1"/>
    <x v="6"/>
    <n v="20"/>
    <x v="38"/>
    <n v="0.33333333333333331"/>
    <x v="16"/>
    <x v="10"/>
  </r>
  <r>
    <x v="1"/>
    <x v="3"/>
    <s v="Weekly Confirmation Sheet"/>
    <x v="1"/>
    <x v="8"/>
    <n v="20"/>
    <x v="38"/>
    <n v="0.33333333333333331"/>
    <x v="16"/>
    <x v="10"/>
  </r>
  <r>
    <x v="1"/>
    <x v="3"/>
    <s v="Listing Synchronization - Compare Unit Costs with Wholesale Last Prices"/>
    <x v="4"/>
    <x v="42"/>
    <n v="40"/>
    <x v="38"/>
    <n v="0.66666666666666663"/>
    <x v="16"/>
    <x v="10"/>
  </r>
  <r>
    <x v="0"/>
    <x v="12"/>
    <s v="Arrival Notice"/>
    <x v="3"/>
    <x v="0"/>
    <n v="10"/>
    <x v="38"/>
    <n v="0.16666666666666666"/>
    <x v="16"/>
    <x v="10"/>
  </r>
  <r>
    <x v="1"/>
    <x v="12"/>
    <s v="Getflow Update"/>
    <x v="0"/>
    <x v="8"/>
    <n v="20"/>
    <x v="38"/>
    <n v="0.33333333333333331"/>
    <x v="16"/>
    <x v="10"/>
  </r>
  <r>
    <x v="1"/>
    <x v="12"/>
    <s v="Stock Review"/>
    <x v="1"/>
    <x v="3"/>
    <n v="45"/>
    <x v="38"/>
    <n v="0.75"/>
    <x v="16"/>
    <x v="10"/>
  </r>
  <r>
    <x v="1"/>
    <x v="12"/>
    <s v="Weekly Task Priority Sheet"/>
    <x v="1"/>
    <x v="25"/>
    <n v="20"/>
    <x v="38"/>
    <n v="0.33333333333333331"/>
    <x v="16"/>
    <x v="10"/>
  </r>
  <r>
    <x v="0"/>
    <x v="6"/>
    <s v="AHS Sheet Update"/>
    <x v="0"/>
    <x v="7"/>
    <n v="60"/>
    <x v="39"/>
    <n v="1"/>
    <x v="10"/>
    <x v="8"/>
  </r>
  <r>
    <x v="0"/>
    <x v="1"/>
    <s v="Invoice Price Monitor"/>
    <x v="0"/>
    <x v="4"/>
    <n v="150"/>
    <x v="39"/>
    <n v="2.5"/>
    <x v="10"/>
    <x v="8"/>
  </r>
  <r>
    <x v="0"/>
    <x v="0"/>
    <s v="Mapped Listing buy box and Automated pricing"/>
    <x v="0"/>
    <x v="8"/>
    <n v="30"/>
    <x v="39"/>
    <n v="0.5"/>
    <x v="10"/>
    <x v="8"/>
  </r>
  <r>
    <x v="0"/>
    <x v="18"/>
    <s v="Internal Meeting"/>
    <x v="0"/>
    <x v="41"/>
    <n v="30"/>
    <x v="39"/>
    <n v="0.5"/>
    <x v="10"/>
    <x v="8"/>
  </r>
  <r>
    <x v="0"/>
    <x v="0"/>
    <s v="Daily Stock Update"/>
    <x v="0"/>
    <x v="3"/>
    <n v="60"/>
    <x v="39"/>
    <n v="1"/>
    <x v="10"/>
    <x v="8"/>
  </r>
  <r>
    <x v="0"/>
    <x v="0"/>
    <s v="QC"/>
    <x v="1"/>
    <x v="8"/>
    <n v="40"/>
    <x v="39"/>
    <n v="0.66666666666666663"/>
    <x v="10"/>
    <x v="8"/>
  </r>
  <r>
    <x v="0"/>
    <x v="1"/>
    <s v="Listing Optimization"/>
    <x v="0"/>
    <x v="5"/>
    <n v="60"/>
    <x v="39"/>
    <n v="1"/>
    <x v="10"/>
    <x v="8"/>
  </r>
  <r>
    <x v="0"/>
    <x v="0"/>
    <s v="Review not meeting guidelines AE &amp; SA"/>
    <x v="2"/>
    <x v="8"/>
    <n v="80"/>
    <x v="39"/>
    <n v="1.3333333333333333"/>
    <x v="10"/>
    <x v="8"/>
  </r>
  <r>
    <x v="1"/>
    <x v="3"/>
    <s v="Listing Optimization"/>
    <x v="1"/>
    <x v="8"/>
    <n v="45"/>
    <x v="39"/>
    <n v="0.75"/>
    <x v="10"/>
    <x v="8"/>
  </r>
  <r>
    <x v="1"/>
    <x v="5"/>
    <s v="Listing Optimization"/>
    <x v="1"/>
    <x v="8"/>
    <n v="25"/>
    <x v="39"/>
    <n v="0.41666666666666669"/>
    <x v="10"/>
    <x v="8"/>
  </r>
  <r>
    <x v="1"/>
    <x v="18"/>
    <s v="Team Meeting"/>
    <x v="0"/>
    <x v="9"/>
    <n v="30"/>
    <x v="39"/>
    <n v="0.5"/>
    <x v="10"/>
    <x v="8"/>
  </r>
  <r>
    <x v="1"/>
    <x v="3"/>
    <s v="A+ Content"/>
    <x v="1"/>
    <x v="8"/>
    <n v="55"/>
    <x v="39"/>
    <n v="0.91666666666666663"/>
    <x v="10"/>
    <x v="8"/>
  </r>
  <r>
    <x v="1"/>
    <x v="19"/>
    <s v="New Listing"/>
    <x v="1"/>
    <x v="1"/>
    <n v="75"/>
    <x v="39"/>
    <n v="1.25"/>
    <x v="10"/>
    <x v="8"/>
  </r>
  <r>
    <x v="1"/>
    <x v="5"/>
    <s v="Category Sorting"/>
    <x v="1"/>
    <x v="21"/>
    <n v="25"/>
    <x v="39"/>
    <n v="0.41666666666666669"/>
    <x v="10"/>
    <x v="8"/>
  </r>
  <r>
    <x v="1"/>
    <x v="3"/>
    <s v=" CA Remap"/>
    <x v="0"/>
    <x v="8"/>
    <n v="85"/>
    <x v="39"/>
    <n v="1.4166666666666667"/>
    <x v="10"/>
    <x v="8"/>
  </r>
  <r>
    <x v="1"/>
    <x v="3"/>
    <s v="Daily Stock Update"/>
    <x v="0"/>
    <x v="3"/>
    <n v="150"/>
    <x v="39"/>
    <n v="2.5"/>
    <x v="10"/>
    <x v="8"/>
  </r>
  <r>
    <x v="1"/>
    <x v="8"/>
    <s v="Listing Optimization"/>
    <x v="0"/>
    <x v="8"/>
    <n v="25"/>
    <x v="39"/>
    <n v="0.41666666666666669"/>
    <x v="10"/>
    <x v="8"/>
  </r>
  <r>
    <x v="0"/>
    <x v="7"/>
    <s v="Team Meeting"/>
    <x v="0"/>
    <x v="9"/>
    <n v="50"/>
    <x v="40"/>
    <n v="0.83333333333333337"/>
    <x v="16"/>
    <x v="10"/>
  </r>
  <r>
    <x v="0"/>
    <x v="6"/>
    <s v="AHS Sheet Update"/>
    <x v="0"/>
    <x v="7"/>
    <n v="60"/>
    <x v="40"/>
    <n v="1"/>
    <x v="16"/>
    <x v="10"/>
  </r>
  <r>
    <x v="0"/>
    <x v="0"/>
    <s v="Mapped Listing buy box and Automated pricing"/>
    <x v="0"/>
    <x v="8"/>
    <n v="20"/>
    <x v="40"/>
    <n v="0.33333333333333331"/>
    <x v="16"/>
    <x v="10"/>
  </r>
  <r>
    <x v="0"/>
    <x v="1"/>
    <s v="MACY’S"/>
    <x v="0"/>
    <x v="4"/>
    <n v="180"/>
    <x v="40"/>
    <n v="3"/>
    <x v="16"/>
    <x v="10"/>
  </r>
  <r>
    <x v="0"/>
    <x v="1"/>
    <s v="Listing Optimization"/>
    <x v="1"/>
    <x v="5"/>
    <n v="30"/>
    <x v="40"/>
    <n v="0.5"/>
    <x v="16"/>
    <x v="10"/>
  </r>
  <r>
    <x v="0"/>
    <x v="1"/>
    <s v="Account Management"/>
    <x v="1"/>
    <x v="0"/>
    <n v="15"/>
    <x v="40"/>
    <n v="0.25"/>
    <x v="16"/>
    <x v="10"/>
  </r>
  <r>
    <x v="0"/>
    <x v="21"/>
    <s v="FBA Reconciliation Weekly Update"/>
    <x v="2"/>
    <x v="0"/>
    <n v="30"/>
    <x v="40"/>
    <n v="0.5"/>
    <x v="16"/>
    <x v="10"/>
  </r>
  <r>
    <x v="0"/>
    <x v="0"/>
    <s v="Daily Stock Update"/>
    <x v="0"/>
    <x v="3"/>
    <n v="90"/>
    <x v="40"/>
    <n v="1.5"/>
    <x v="16"/>
    <x v="10"/>
  </r>
  <r>
    <x v="0"/>
    <x v="10"/>
    <s v="External Price Match"/>
    <x v="0"/>
    <x v="8"/>
    <n v="40"/>
    <x v="40"/>
    <n v="0.66666666666666663"/>
    <x v="16"/>
    <x v="10"/>
  </r>
  <r>
    <x v="1"/>
    <x v="3"/>
    <s v="FBA Reconciliation Sheet"/>
    <x v="2"/>
    <x v="14"/>
    <n v="90"/>
    <x v="40"/>
    <n v="1.5"/>
    <x v="16"/>
    <x v="10"/>
  </r>
  <r>
    <x v="1"/>
    <x v="3"/>
    <s v="Listing Optimization"/>
    <x v="1"/>
    <x v="5"/>
    <n v="30"/>
    <x v="40"/>
    <n v="0.5"/>
    <x v="16"/>
    <x v="10"/>
  </r>
  <r>
    <x v="1"/>
    <x v="3"/>
    <s v="Account Health Review"/>
    <x v="1"/>
    <x v="10"/>
    <n v="20"/>
    <x v="40"/>
    <n v="0.33333333333333331"/>
    <x v="16"/>
    <x v="10"/>
  </r>
  <r>
    <x v="1"/>
    <x v="7"/>
    <s v="Team Meeting"/>
    <x v="0"/>
    <x v="9"/>
    <n v="50"/>
    <x v="40"/>
    <n v="0.83333333333333337"/>
    <x v="16"/>
    <x v="10"/>
  </r>
  <r>
    <x v="1"/>
    <x v="5"/>
    <s v="Category Sorting"/>
    <x v="1"/>
    <x v="21"/>
    <n v="40"/>
    <x v="40"/>
    <n v="0.66666666666666663"/>
    <x v="16"/>
    <x v="10"/>
  </r>
  <r>
    <x v="1"/>
    <x v="3"/>
    <s v="Internal Price Match"/>
    <x v="3"/>
    <x v="8"/>
    <n v="25"/>
    <x v="40"/>
    <n v="0.41666666666666669"/>
    <x v="16"/>
    <x v="10"/>
  </r>
  <r>
    <x v="1"/>
    <x v="9"/>
    <s v="Canada Store Stock Sheet"/>
    <x v="0"/>
    <x v="3"/>
    <n v="40"/>
    <x v="40"/>
    <n v="0.66666666666666663"/>
    <x v="16"/>
    <x v="10"/>
  </r>
  <r>
    <x v="1"/>
    <x v="15"/>
    <s v="Listing Synchronization"/>
    <x v="0"/>
    <x v="6"/>
    <n v="25"/>
    <x v="40"/>
    <n v="0.41666666666666669"/>
    <x v="16"/>
    <x v="10"/>
  </r>
  <r>
    <x v="1"/>
    <x v="3"/>
    <s v="Daily Stock Update"/>
    <x v="0"/>
    <x v="3"/>
    <n v="90"/>
    <x v="40"/>
    <n v="1.5"/>
    <x v="16"/>
    <x v="10"/>
  </r>
  <r>
    <x v="1"/>
    <x v="3"/>
    <s v="Internal Price Match"/>
    <x v="3"/>
    <x v="8"/>
    <n v="40"/>
    <x v="40"/>
    <n v="0.66666666666666663"/>
    <x v="16"/>
    <x v="10"/>
  </r>
  <r>
    <x v="1"/>
    <x v="12"/>
    <s v="Getflow Update"/>
    <x v="0"/>
    <x v="8"/>
    <n v="20"/>
    <x v="40"/>
    <n v="0.33333333333333331"/>
    <x v="16"/>
    <x v="10"/>
  </r>
  <r>
    <x v="1"/>
    <x v="12"/>
    <s v="Stock Review"/>
    <x v="1"/>
    <x v="3"/>
    <n v="45"/>
    <x v="40"/>
    <n v="0.75"/>
    <x v="16"/>
    <x v="10"/>
  </r>
  <r>
    <x v="0"/>
    <x v="6"/>
    <s v="AHS Sheet Update"/>
    <x v="0"/>
    <x v="7"/>
    <n v="60"/>
    <x v="41"/>
    <n v="1"/>
    <x v="10"/>
    <x v="8"/>
  </r>
  <r>
    <x v="0"/>
    <x v="1"/>
    <s v="Invoice Price Monitor"/>
    <x v="0"/>
    <x v="4"/>
    <n v="150"/>
    <x v="41"/>
    <n v="2.5"/>
    <x v="10"/>
    <x v="8"/>
  </r>
  <r>
    <x v="0"/>
    <x v="0"/>
    <s v="Mapped Listing buy box and Automated pricing"/>
    <x v="0"/>
    <x v="8"/>
    <n v="30"/>
    <x v="41"/>
    <n v="0.5"/>
    <x v="10"/>
    <x v="8"/>
  </r>
  <r>
    <x v="0"/>
    <x v="18"/>
    <s v="Internal Meeting"/>
    <x v="0"/>
    <x v="41"/>
    <n v="30"/>
    <x v="41"/>
    <n v="0.5"/>
    <x v="10"/>
    <x v="8"/>
  </r>
  <r>
    <x v="0"/>
    <x v="0"/>
    <s v="Daily Stock Update"/>
    <x v="0"/>
    <x v="3"/>
    <n v="60"/>
    <x v="41"/>
    <n v="1"/>
    <x v="10"/>
    <x v="8"/>
  </r>
  <r>
    <x v="0"/>
    <x v="0"/>
    <s v="QC"/>
    <x v="1"/>
    <x v="8"/>
    <n v="40"/>
    <x v="41"/>
    <n v="0.66666666666666663"/>
    <x v="10"/>
    <x v="8"/>
  </r>
  <r>
    <x v="0"/>
    <x v="1"/>
    <s v="Listing Optimization"/>
    <x v="0"/>
    <x v="5"/>
    <n v="60"/>
    <x v="41"/>
    <n v="1"/>
    <x v="10"/>
    <x v="8"/>
  </r>
  <r>
    <x v="0"/>
    <x v="0"/>
    <s v="Review not meeting guidelines AE &amp; SA"/>
    <x v="2"/>
    <x v="8"/>
    <n v="80"/>
    <x v="41"/>
    <n v="1.3333333333333333"/>
    <x v="10"/>
    <x v="8"/>
  </r>
  <r>
    <x v="1"/>
    <x v="3"/>
    <s v="Account Health Review"/>
    <x v="1"/>
    <x v="10"/>
    <n v="45"/>
    <x v="41"/>
    <n v="0.75"/>
    <x v="10"/>
    <x v="8"/>
  </r>
  <r>
    <x v="1"/>
    <x v="3"/>
    <s v="Account Health Review"/>
    <x v="1"/>
    <x v="10"/>
    <n v="30"/>
    <x v="41"/>
    <n v="0.5"/>
    <x v="10"/>
    <x v="8"/>
  </r>
  <r>
    <x v="1"/>
    <x v="5"/>
    <s v="Listing Optimization"/>
    <x v="1"/>
    <x v="8"/>
    <n v="25"/>
    <x v="41"/>
    <n v="0.41666666666666669"/>
    <x v="10"/>
    <x v="8"/>
  </r>
  <r>
    <x v="1"/>
    <x v="5"/>
    <s v="Listing Optimization"/>
    <x v="1"/>
    <x v="5"/>
    <n v="25"/>
    <x v="41"/>
    <n v="0.41666666666666669"/>
    <x v="10"/>
    <x v="8"/>
  </r>
  <r>
    <x v="1"/>
    <x v="18"/>
    <s v="Team Meeting"/>
    <x v="0"/>
    <x v="9"/>
    <n v="30"/>
    <x v="41"/>
    <n v="0.5"/>
    <x v="10"/>
    <x v="8"/>
  </r>
  <r>
    <x v="1"/>
    <x v="3"/>
    <s v="Stock Reivew"/>
    <x v="1"/>
    <x v="8"/>
    <n v="30"/>
    <x v="41"/>
    <n v="0.5"/>
    <x v="10"/>
    <x v="8"/>
  </r>
  <r>
    <x v="1"/>
    <x v="11"/>
    <s v="Stock Reivew"/>
    <x v="1"/>
    <x v="8"/>
    <n v="45"/>
    <x v="41"/>
    <n v="0.75"/>
    <x v="10"/>
    <x v="8"/>
  </r>
  <r>
    <x v="1"/>
    <x v="3"/>
    <s v="Listing Synchronization - Check Seller Central Price with Retail Marked Price"/>
    <x v="1"/>
    <x v="40"/>
    <n v="65"/>
    <x v="41"/>
    <n v="1.0833333333333333"/>
    <x v="10"/>
    <x v="8"/>
  </r>
  <r>
    <x v="1"/>
    <x v="3"/>
    <s v=" CA Remap"/>
    <x v="0"/>
    <x v="12"/>
    <n v="75"/>
    <x v="41"/>
    <n v="1.25"/>
    <x v="10"/>
    <x v="8"/>
  </r>
  <r>
    <x v="1"/>
    <x v="3"/>
    <s v="Daily Stock Update"/>
    <x v="0"/>
    <x v="3"/>
    <n v="110"/>
    <x v="41"/>
    <n v="1.8333333333333333"/>
    <x v="10"/>
    <x v="8"/>
  </r>
  <r>
    <x v="1"/>
    <x v="3"/>
    <s v="New Listing"/>
    <x v="0"/>
    <x v="1"/>
    <n v="30"/>
    <x v="41"/>
    <n v="0.5"/>
    <x v="10"/>
    <x v="8"/>
  </r>
  <r>
    <x v="0"/>
    <x v="7"/>
    <s v="Team Meeting"/>
    <x v="0"/>
    <x v="9"/>
    <n v="20"/>
    <x v="42"/>
    <n v="0.33333333333333331"/>
    <x v="17"/>
    <x v="9"/>
  </r>
  <r>
    <x v="0"/>
    <x v="6"/>
    <s v="AHS Sheet Update"/>
    <x v="0"/>
    <x v="7"/>
    <n v="60"/>
    <x v="42"/>
    <n v="1"/>
    <x v="17"/>
    <x v="9"/>
  </r>
  <r>
    <x v="0"/>
    <x v="0"/>
    <s v="Mapped Listing buy box and Automated pricing"/>
    <x v="0"/>
    <x v="8"/>
    <n v="15"/>
    <x v="42"/>
    <n v="0.25"/>
    <x v="17"/>
    <x v="9"/>
  </r>
  <r>
    <x v="0"/>
    <x v="1"/>
    <s v="Product and Customer ABC Reports"/>
    <x v="5"/>
    <x v="31"/>
    <n v="240"/>
    <x v="42"/>
    <n v="4"/>
    <x v="17"/>
    <x v="9"/>
  </r>
  <r>
    <x v="0"/>
    <x v="0"/>
    <s v="Invoice Price Monitor"/>
    <x v="0"/>
    <x v="4"/>
    <n v="120"/>
    <x v="42"/>
    <n v="2"/>
    <x v="17"/>
    <x v="9"/>
  </r>
  <r>
    <x v="0"/>
    <x v="0"/>
    <s v="Client Meeting"/>
    <x v="3"/>
    <x v="17"/>
    <n v="50"/>
    <x v="42"/>
    <n v="0.83333333333333337"/>
    <x v="17"/>
    <x v="9"/>
  </r>
  <r>
    <x v="1"/>
    <x v="3"/>
    <s v="Getflow"/>
    <x v="0"/>
    <x v="8"/>
    <n v="30"/>
    <x v="42"/>
    <n v="0.5"/>
    <x v="17"/>
    <x v="9"/>
  </r>
  <r>
    <x v="1"/>
    <x v="7"/>
    <s v="Team Meeting"/>
    <x v="0"/>
    <x v="9"/>
    <n v="25"/>
    <x v="42"/>
    <n v="0.41666666666666669"/>
    <x v="17"/>
    <x v="9"/>
  </r>
  <r>
    <x v="1"/>
    <x v="14"/>
    <s v="Team Meeting"/>
    <x v="0"/>
    <x v="17"/>
    <n v="50"/>
    <x v="42"/>
    <n v="0.83333333333333337"/>
    <x v="17"/>
    <x v="9"/>
  </r>
  <r>
    <x v="1"/>
    <x v="9"/>
    <s v="Amazon Selection Expansion"/>
    <x v="0"/>
    <x v="8"/>
    <n v="40"/>
    <x v="42"/>
    <n v="0.66666666666666663"/>
    <x v="17"/>
    <x v="9"/>
  </r>
  <r>
    <x v="1"/>
    <x v="3"/>
    <s v="Weekly Confirmation Sheet"/>
    <x v="2"/>
    <x v="34"/>
    <n v="45"/>
    <x v="42"/>
    <n v="0.75"/>
    <x v="17"/>
    <x v="9"/>
  </r>
  <r>
    <x v="1"/>
    <x v="3"/>
    <s v="Daily Stock Update"/>
    <x v="0"/>
    <x v="3"/>
    <n v="90"/>
    <x v="42"/>
    <n v="1.5"/>
    <x v="17"/>
    <x v="9"/>
  </r>
  <r>
    <x v="1"/>
    <x v="3"/>
    <s v="Listing Optimization"/>
    <x v="1"/>
    <x v="5"/>
    <n v="50"/>
    <x v="42"/>
    <n v="0.83333333333333337"/>
    <x v="17"/>
    <x v="9"/>
  </r>
  <r>
    <x v="1"/>
    <x v="3"/>
    <s v="CA Open, Confirmed But not yet Invoice"/>
    <x v="2"/>
    <x v="8"/>
    <n v="35"/>
    <x v="42"/>
    <n v="0.58333333333333337"/>
    <x v="17"/>
    <x v="9"/>
  </r>
  <r>
    <x v="1"/>
    <x v="3"/>
    <s v="Weekly Feedback on SC &amp; AHS"/>
    <x v="0"/>
    <x v="8"/>
    <n v="25"/>
    <x v="42"/>
    <n v="0.41666666666666669"/>
    <x v="17"/>
    <x v="9"/>
  </r>
  <r>
    <x v="1"/>
    <x v="3"/>
    <s v="Account Health Review"/>
    <x v="1"/>
    <x v="10"/>
    <n v="25"/>
    <x v="42"/>
    <n v="0.41666666666666669"/>
    <x v="17"/>
    <x v="9"/>
  </r>
  <r>
    <x v="1"/>
    <x v="3"/>
    <s v="Updated client's instruction sheet"/>
    <x v="1"/>
    <x v="8"/>
    <n v="20"/>
    <x v="42"/>
    <n v="0.33333333333333331"/>
    <x v="17"/>
    <x v="9"/>
  </r>
  <r>
    <x v="1"/>
    <x v="3"/>
    <s v="FBA Stock Review"/>
    <x v="1"/>
    <x v="8"/>
    <n v="30"/>
    <x v="42"/>
    <n v="0.5"/>
    <x v="17"/>
    <x v="9"/>
  </r>
  <r>
    <x v="1"/>
    <x v="8"/>
    <s v="Price Review"/>
    <x v="1"/>
    <x v="8"/>
    <n v="40"/>
    <x v="42"/>
    <n v="0.66666666666666663"/>
    <x v="17"/>
    <x v="9"/>
  </r>
  <r>
    <x v="0"/>
    <x v="7"/>
    <s v="Team Meeting"/>
    <x v="0"/>
    <x v="9"/>
    <n v="20"/>
    <x v="43"/>
    <n v="0.33333333333333331"/>
    <x v="16"/>
    <x v="10"/>
  </r>
  <r>
    <x v="0"/>
    <x v="6"/>
    <s v="AHS Sheet Update"/>
    <x v="0"/>
    <x v="7"/>
    <n v="60"/>
    <x v="43"/>
    <n v="1"/>
    <x v="16"/>
    <x v="10"/>
  </r>
  <r>
    <x v="0"/>
    <x v="0"/>
    <s v="Mapped Listing buy box and Automated pricing"/>
    <x v="0"/>
    <x v="8"/>
    <n v="20"/>
    <x v="43"/>
    <n v="0.33333333333333331"/>
    <x v="16"/>
    <x v="10"/>
  </r>
  <r>
    <x v="0"/>
    <x v="1"/>
    <s v="MACY’S"/>
    <x v="0"/>
    <x v="4"/>
    <n v="200"/>
    <x v="43"/>
    <n v="3.3333333333333335"/>
    <x v="16"/>
    <x v="10"/>
  </r>
  <r>
    <x v="0"/>
    <x v="0"/>
    <s v="Remap"/>
    <x v="1"/>
    <x v="0"/>
    <n v="30"/>
    <x v="43"/>
    <n v="0.5"/>
    <x v="16"/>
    <x v="10"/>
  </r>
  <r>
    <x v="0"/>
    <x v="14"/>
    <s v="Client Meeting"/>
    <x v="3"/>
    <x v="17"/>
    <n v="70"/>
    <x v="43"/>
    <n v="1.1666666666666667"/>
    <x v="16"/>
    <x v="10"/>
  </r>
  <r>
    <x v="0"/>
    <x v="0"/>
    <s v="Daily Stock Update"/>
    <x v="0"/>
    <x v="3"/>
    <n v="80"/>
    <x v="43"/>
    <n v="1.3333333333333333"/>
    <x v="16"/>
    <x v="10"/>
  </r>
  <r>
    <x v="0"/>
    <x v="10"/>
    <s v="External Price Match"/>
    <x v="0"/>
    <x v="8"/>
    <n v="40"/>
    <x v="43"/>
    <n v="0.66666666666666663"/>
    <x v="16"/>
    <x v="10"/>
  </r>
  <r>
    <x v="1"/>
    <x v="3"/>
    <s v="FBA Reconciliation Sheet"/>
    <x v="2"/>
    <x v="14"/>
    <n v="55"/>
    <x v="43"/>
    <n v="0.91666666666666663"/>
    <x v="16"/>
    <x v="10"/>
  </r>
  <r>
    <x v="1"/>
    <x v="3"/>
    <s v="MFN Reconciliation Sheet"/>
    <x v="2"/>
    <x v="11"/>
    <n v="20"/>
    <x v="43"/>
    <n v="0.33333333333333331"/>
    <x v="16"/>
    <x v="10"/>
  </r>
  <r>
    <x v="1"/>
    <x v="3"/>
    <s v="Account Health Review"/>
    <x v="1"/>
    <x v="10"/>
    <n v="40"/>
    <x v="43"/>
    <n v="0.66666666666666663"/>
    <x v="16"/>
    <x v="10"/>
  </r>
  <r>
    <x v="1"/>
    <x v="7"/>
    <s v="Team Meeting"/>
    <x v="0"/>
    <x v="9"/>
    <n v="25"/>
    <x v="43"/>
    <n v="0.41666666666666669"/>
    <x v="16"/>
    <x v="10"/>
  </r>
  <r>
    <x v="1"/>
    <x v="5"/>
    <s v="Category Sorting"/>
    <x v="1"/>
    <x v="21"/>
    <n v="25"/>
    <x v="43"/>
    <n v="0.41666666666666669"/>
    <x v="16"/>
    <x v="10"/>
  </r>
  <r>
    <x v="1"/>
    <x v="3"/>
    <s v="Internal Price Match"/>
    <x v="3"/>
    <x v="8"/>
    <n v="20"/>
    <x v="43"/>
    <n v="0.33333333333333331"/>
    <x v="16"/>
    <x v="10"/>
  </r>
  <r>
    <x v="1"/>
    <x v="9"/>
    <s v="Canada Store Stock Sheet"/>
    <x v="0"/>
    <x v="3"/>
    <n v="25"/>
    <x v="43"/>
    <n v="0.41666666666666669"/>
    <x v="16"/>
    <x v="10"/>
  </r>
  <r>
    <x v="1"/>
    <x v="3"/>
    <s v=" CA Remap"/>
    <x v="0"/>
    <x v="12"/>
    <n v="25"/>
    <x v="43"/>
    <n v="0.41666666666666669"/>
    <x v="16"/>
    <x v="10"/>
  </r>
  <r>
    <x v="1"/>
    <x v="3"/>
    <s v="Daily Stock Update"/>
    <x v="0"/>
    <x v="3"/>
    <n v="25"/>
    <x v="43"/>
    <n v="0.41666666666666669"/>
    <x v="16"/>
    <x v="10"/>
  </r>
  <r>
    <x v="1"/>
    <x v="3"/>
    <s v="External Price Match Sheet Review"/>
    <x v="3"/>
    <x v="8"/>
    <n v="25"/>
    <x v="43"/>
    <n v="0.41666666666666669"/>
    <x v="16"/>
    <x v="10"/>
  </r>
  <r>
    <x v="1"/>
    <x v="3"/>
    <s v="Mail Priority - Lead Time Configuration for Reception Desk"/>
    <x v="3"/>
    <x v="8"/>
    <n v="90"/>
    <x v="43"/>
    <n v="1.5"/>
    <x v="16"/>
    <x v="10"/>
  </r>
  <r>
    <x v="1"/>
    <x v="3"/>
    <s v="Stock Review"/>
    <x v="1"/>
    <x v="8"/>
    <n v="30"/>
    <x v="43"/>
    <n v="0.5"/>
    <x v="16"/>
    <x v="10"/>
  </r>
  <r>
    <x v="1"/>
    <x v="3"/>
    <s v="Client Meeting"/>
    <x v="1"/>
    <x v="17"/>
    <n v="20"/>
    <x v="43"/>
    <n v="0.33333333333333331"/>
    <x v="16"/>
    <x v="10"/>
  </r>
  <r>
    <x v="1"/>
    <x v="12"/>
    <s v="Getflow Update"/>
    <x v="0"/>
    <x v="8"/>
    <n v="20"/>
    <x v="43"/>
    <n v="0.33333333333333331"/>
    <x v="16"/>
    <x v="10"/>
  </r>
  <r>
    <x v="1"/>
    <x v="12"/>
    <s v="FBA Stock Review"/>
    <x v="1"/>
    <x v="3"/>
    <n v="25"/>
    <x v="43"/>
    <n v="0.41666666666666669"/>
    <x v="16"/>
    <x v="10"/>
  </r>
  <r>
    <x v="0"/>
    <x v="7"/>
    <s v="Team Meeting"/>
    <x v="0"/>
    <x v="9"/>
    <n v="20"/>
    <x v="44"/>
    <n v="0.33333333333333331"/>
    <x v="17"/>
    <x v="9"/>
  </r>
  <r>
    <x v="0"/>
    <x v="6"/>
    <s v="AHS Sheet Update"/>
    <x v="0"/>
    <x v="7"/>
    <n v="60"/>
    <x v="44"/>
    <n v="1"/>
    <x v="17"/>
    <x v="9"/>
  </r>
  <r>
    <x v="0"/>
    <x v="0"/>
    <s v="Mapped Listing buy box and Automated pricing"/>
    <x v="0"/>
    <x v="8"/>
    <n v="15"/>
    <x v="44"/>
    <n v="0.25"/>
    <x v="17"/>
    <x v="9"/>
  </r>
  <r>
    <x v="0"/>
    <x v="1"/>
    <s v="Product and Customer ABC Reports"/>
    <x v="5"/>
    <x v="31"/>
    <n v="325"/>
    <x v="44"/>
    <n v="5.416666666666667"/>
    <x v="17"/>
    <x v="9"/>
  </r>
  <r>
    <x v="0"/>
    <x v="0"/>
    <s v="Client Meeting"/>
    <x v="3"/>
    <x v="17"/>
    <n v="90"/>
    <x v="44"/>
    <n v="1.5"/>
    <x v="17"/>
    <x v="9"/>
  </r>
  <r>
    <x v="1"/>
    <x v="3"/>
    <s v="Getflow"/>
    <x v="0"/>
    <x v="8"/>
    <n v="30"/>
    <x v="44"/>
    <n v="0.5"/>
    <x v="17"/>
    <x v="9"/>
  </r>
  <r>
    <x v="1"/>
    <x v="7"/>
    <s v="Team Meeting"/>
    <x v="0"/>
    <x v="9"/>
    <n v="20"/>
    <x v="44"/>
    <n v="0.33333333333333331"/>
    <x v="17"/>
    <x v="9"/>
  </r>
  <r>
    <x v="1"/>
    <x v="14"/>
    <s v="Client Meeting"/>
    <x v="0"/>
    <x v="17"/>
    <n v="40"/>
    <x v="44"/>
    <n v="0.66666666666666663"/>
    <x v="17"/>
    <x v="9"/>
  </r>
  <r>
    <x v="1"/>
    <x v="9"/>
    <s v="Amazon Selection Expansion"/>
    <x v="0"/>
    <x v="8"/>
    <n v="65"/>
    <x v="44"/>
    <n v="1.0833333333333333"/>
    <x v="17"/>
    <x v="9"/>
  </r>
  <r>
    <x v="1"/>
    <x v="3"/>
    <s v="Daily Stock Update"/>
    <x v="0"/>
    <x v="3"/>
    <n v="20"/>
    <x v="44"/>
    <n v="0.33333333333333331"/>
    <x v="17"/>
    <x v="9"/>
  </r>
  <r>
    <x v="1"/>
    <x v="3"/>
    <s v="Listing Optimization"/>
    <x v="1"/>
    <x v="5"/>
    <n v="25"/>
    <x v="44"/>
    <n v="0.41666666666666669"/>
    <x v="17"/>
    <x v="9"/>
  </r>
  <r>
    <x v="1"/>
    <x v="3"/>
    <s v=" CA Remap"/>
    <x v="0"/>
    <x v="12"/>
    <n v="40"/>
    <x v="44"/>
    <n v="0.66666666666666663"/>
    <x v="17"/>
    <x v="9"/>
  </r>
  <r>
    <x v="1"/>
    <x v="3"/>
    <s v="Weekly Feedback on SC &amp; AHS"/>
    <x v="0"/>
    <x v="22"/>
    <n v="25"/>
    <x v="44"/>
    <n v="0.41666666666666669"/>
    <x v="17"/>
    <x v="9"/>
  </r>
  <r>
    <x v="1"/>
    <x v="9"/>
    <s v="Product Fulfillment Weight"/>
    <x v="1"/>
    <x v="8"/>
    <n v="40"/>
    <x v="44"/>
    <n v="0.66666666666666663"/>
    <x v="17"/>
    <x v="9"/>
  </r>
  <r>
    <x v="1"/>
    <x v="3"/>
    <s v="Gaming Week Promotion"/>
    <x v="1"/>
    <x v="8"/>
    <n v="20"/>
    <x v="44"/>
    <n v="0.33333333333333331"/>
    <x v="17"/>
    <x v="9"/>
  </r>
  <r>
    <x v="1"/>
    <x v="3"/>
    <s v="Amazon Selection Expansion"/>
    <x v="1"/>
    <x v="8"/>
    <n v="20"/>
    <x v="44"/>
    <n v="0.33333333333333331"/>
    <x v="17"/>
    <x v="9"/>
  </r>
  <r>
    <x v="1"/>
    <x v="3"/>
    <s v="MACY’S UPC in products"/>
    <x v="1"/>
    <x v="8"/>
    <n v="15"/>
    <x v="44"/>
    <n v="0.25"/>
    <x v="17"/>
    <x v="9"/>
  </r>
  <r>
    <x v="1"/>
    <x v="3"/>
    <s v="Listing Optimization"/>
    <x v="1"/>
    <x v="8"/>
    <n v="20"/>
    <x v="44"/>
    <n v="0.33333333333333331"/>
    <x v="17"/>
    <x v="9"/>
  </r>
  <r>
    <x v="1"/>
    <x v="8"/>
    <s v="Price Review"/>
    <x v="1"/>
    <x v="8"/>
    <n v="30"/>
    <x v="44"/>
    <n v="0.5"/>
    <x v="17"/>
    <x v="9"/>
  </r>
  <r>
    <x v="1"/>
    <x v="3"/>
    <s v="FBA Reconciliation Sheet"/>
    <x v="2"/>
    <x v="14"/>
    <n v="20"/>
    <x v="45"/>
    <n v="0.33333333333333331"/>
    <x v="16"/>
    <x v="10"/>
  </r>
  <r>
    <x v="1"/>
    <x v="3"/>
    <s v="Account Health Review"/>
    <x v="1"/>
    <x v="10"/>
    <n v="20"/>
    <x v="45"/>
    <n v="0.33333333333333331"/>
    <x v="16"/>
    <x v="10"/>
  </r>
  <r>
    <x v="1"/>
    <x v="7"/>
    <s v="Team Meeting"/>
    <x v="0"/>
    <x v="9"/>
    <n v="20"/>
    <x v="45"/>
    <n v="0.33333333333333331"/>
    <x v="16"/>
    <x v="10"/>
  </r>
  <r>
    <x v="1"/>
    <x v="3"/>
    <s v="Stock Update"/>
    <x v="1"/>
    <x v="3"/>
    <n v="25"/>
    <x v="45"/>
    <n v="0.41666666666666669"/>
    <x v="16"/>
    <x v="10"/>
  </r>
  <r>
    <x v="1"/>
    <x v="3"/>
    <s v="Escalation Management"/>
    <x v="1"/>
    <x v="8"/>
    <n v="25"/>
    <x v="45"/>
    <n v="0.41666666666666669"/>
    <x v="16"/>
    <x v="10"/>
  </r>
  <r>
    <x v="1"/>
    <x v="3"/>
    <s v="Internal Price Match"/>
    <x v="3"/>
    <x v="8"/>
    <n v="25"/>
    <x v="45"/>
    <n v="0.41666666666666669"/>
    <x v="16"/>
    <x v="10"/>
  </r>
  <r>
    <x v="1"/>
    <x v="9"/>
    <s v="Canada Store Stock Sheet"/>
    <x v="0"/>
    <x v="3"/>
    <n v="20"/>
    <x v="45"/>
    <n v="0.33333333333333331"/>
    <x v="16"/>
    <x v="10"/>
  </r>
  <r>
    <x v="1"/>
    <x v="3"/>
    <s v=" CA Remap"/>
    <x v="0"/>
    <x v="12"/>
    <n v="30"/>
    <x v="45"/>
    <n v="0.5"/>
    <x v="16"/>
    <x v="10"/>
  </r>
  <r>
    <x v="1"/>
    <x v="3"/>
    <s v=" CA Remap"/>
    <x v="0"/>
    <x v="12"/>
    <n v="30"/>
    <x v="45"/>
    <n v="0.5"/>
    <x v="16"/>
    <x v="10"/>
  </r>
  <r>
    <x v="1"/>
    <x v="3"/>
    <s v=" CA Remap"/>
    <x v="0"/>
    <x v="12"/>
    <n v="45"/>
    <x v="45"/>
    <n v="0.75"/>
    <x v="16"/>
    <x v="10"/>
  </r>
  <r>
    <x v="1"/>
    <x v="3"/>
    <s v=" CA Remap"/>
    <x v="0"/>
    <x v="12"/>
    <n v="35"/>
    <x v="45"/>
    <n v="0.58333333333333337"/>
    <x v="16"/>
    <x v="10"/>
  </r>
  <r>
    <x v="1"/>
    <x v="3"/>
    <s v="Daily Stock Update"/>
    <x v="0"/>
    <x v="3"/>
    <n v="90"/>
    <x v="45"/>
    <n v="1.5"/>
    <x v="16"/>
    <x v="10"/>
  </r>
  <r>
    <x v="1"/>
    <x v="3"/>
    <s v="External Price Match Sheet Review"/>
    <x v="3"/>
    <x v="8"/>
    <n v="30"/>
    <x v="45"/>
    <n v="0.5"/>
    <x v="16"/>
    <x v="10"/>
  </r>
  <r>
    <x v="1"/>
    <x v="3"/>
    <s v="AHS Sheet - Review Mail priority"/>
    <x v="3"/>
    <x v="43"/>
    <n v="20"/>
    <x v="45"/>
    <n v="0.33333333333333331"/>
    <x v="16"/>
    <x v="10"/>
  </r>
  <r>
    <x v="1"/>
    <x v="3"/>
    <s v="Stock Review"/>
    <x v="1"/>
    <x v="8"/>
    <n v="20"/>
    <x v="45"/>
    <n v="0.33333333333333331"/>
    <x v="16"/>
    <x v="10"/>
  </r>
  <r>
    <x v="1"/>
    <x v="3"/>
    <s v="FBA Orders -Return Process"/>
    <x v="2"/>
    <x v="19"/>
    <n v="25"/>
    <x v="45"/>
    <n v="0.41666666666666669"/>
    <x v="16"/>
    <x v="10"/>
  </r>
  <r>
    <x v="0"/>
    <x v="7"/>
    <s v="Team Meeting"/>
    <x v="0"/>
    <x v="9"/>
    <n v="20"/>
    <x v="45"/>
    <n v="0.33333333333333331"/>
    <x v="16"/>
    <x v="10"/>
  </r>
  <r>
    <x v="0"/>
    <x v="6"/>
    <s v="AHS Sheet Update"/>
    <x v="0"/>
    <x v="7"/>
    <n v="60"/>
    <x v="45"/>
    <n v="1"/>
    <x v="16"/>
    <x v="10"/>
  </r>
  <r>
    <x v="0"/>
    <x v="0"/>
    <s v="Mapped Listing buy box and Automated pricing"/>
    <x v="0"/>
    <x v="8"/>
    <n v="30"/>
    <x v="45"/>
    <n v="0.5"/>
    <x v="16"/>
    <x v="10"/>
  </r>
  <r>
    <x v="0"/>
    <x v="0"/>
    <s v="Remap"/>
    <x v="1"/>
    <x v="0"/>
    <n v="280"/>
    <x v="45"/>
    <n v="4.666666666666667"/>
    <x v="16"/>
    <x v="10"/>
  </r>
  <r>
    <x v="0"/>
    <x v="0"/>
    <s v="Daily Stock Update"/>
    <x v="0"/>
    <x v="3"/>
    <n v="90"/>
    <x v="45"/>
    <n v="1.5"/>
    <x v="16"/>
    <x v="10"/>
  </r>
  <r>
    <x v="1"/>
    <x v="12"/>
    <s v="Getflow Update"/>
    <x v="0"/>
    <x v="8"/>
    <n v="20"/>
    <x v="45"/>
    <n v="0.33333333333333331"/>
    <x v="16"/>
    <x v="10"/>
  </r>
  <r>
    <x v="1"/>
    <x v="12"/>
    <s v="Task Priority Sheet"/>
    <x v="1"/>
    <x v="25"/>
    <n v="30"/>
    <x v="46"/>
    <n v="0.5"/>
    <x v="18"/>
    <x v="8"/>
  </r>
  <r>
    <x v="0"/>
    <x v="6"/>
    <s v="AHS Sheet Update"/>
    <x v="0"/>
    <x v="7"/>
    <n v="30"/>
    <x v="46"/>
    <n v="0.5"/>
    <x v="18"/>
    <x v="8"/>
  </r>
  <r>
    <x v="0"/>
    <x v="1"/>
    <s v="Invoice Price Monitor"/>
    <x v="0"/>
    <x v="4"/>
    <n v="45"/>
    <x v="46"/>
    <n v="0.75"/>
    <x v="18"/>
    <x v="8"/>
  </r>
  <r>
    <x v="0"/>
    <x v="0"/>
    <s v="Mapped Listing buy box and Automated pricing"/>
    <x v="0"/>
    <x v="8"/>
    <n v="20"/>
    <x v="46"/>
    <n v="0.33333333333333331"/>
    <x v="18"/>
    <x v="8"/>
  </r>
  <r>
    <x v="0"/>
    <x v="18"/>
    <s v="Internal Meeting"/>
    <x v="0"/>
    <x v="41"/>
    <n v="20"/>
    <x v="46"/>
    <n v="0.33333333333333331"/>
    <x v="18"/>
    <x v="8"/>
  </r>
  <r>
    <x v="0"/>
    <x v="0"/>
    <s v="Daily Stock Update"/>
    <x v="0"/>
    <x v="3"/>
    <n v="60"/>
    <x v="46"/>
    <n v="1"/>
    <x v="18"/>
    <x v="8"/>
  </r>
  <r>
    <x v="0"/>
    <x v="0"/>
    <s v="QC"/>
    <x v="1"/>
    <x v="8"/>
    <n v="120"/>
    <x v="46"/>
    <n v="2"/>
    <x v="18"/>
    <x v="8"/>
  </r>
  <r>
    <x v="0"/>
    <x v="8"/>
    <s v="QC"/>
    <x v="1"/>
    <x v="8"/>
    <n v="60"/>
    <x v="46"/>
    <n v="1"/>
    <x v="18"/>
    <x v="8"/>
  </r>
  <r>
    <x v="0"/>
    <x v="0"/>
    <s v="Review not meeting guidelines AE &amp; SA"/>
    <x v="2"/>
    <x v="8"/>
    <n v="90"/>
    <x v="46"/>
    <n v="1.5"/>
    <x v="18"/>
    <x v="8"/>
  </r>
  <r>
    <x v="0"/>
    <x v="0"/>
    <s v="Listing Optimization"/>
    <x v="3"/>
    <x v="5"/>
    <n v="15"/>
    <x v="46"/>
    <n v="0.25"/>
    <x v="18"/>
    <x v="8"/>
  </r>
  <r>
    <x v="0"/>
    <x v="11"/>
    <s v="New Listing"/>
    <x v="1"/>
    <x v="1"/>
    <n v="60"/>
    <x v="46"/>
    <n v="1"/>
    <x v="18"/>
    <x v="8"/>
  </r>
  <r>
    <x v="1"/>
    <x v="5"/>
    <s v="Weekly Confirmation Report"/>
    <x v="2"/>
    <x v="44"/>
    <n v="55"/>
    <x v="46"/>
    <n v="0.91666666666666663"/>
    <x v="18"/>
    <x v="8"/>
  </r>
  <r>
    <x v="1"/>
    <x v="3"/>
    <s v="FBA Reconciliation Sheet"/>
    <x v="2"/>
    <x v="14"/>
    <n v="110"/>
    <x v="46"/>
    <n v="1.8333333333333333"/>
    <x v="18"/>
    <x v="8"/>
  </r>
  <r>
    <x v="1"/>
    <x v="3"/>
    <s v="MFN Reconciliation Sheet"/>
    <x v="2"/>
    <x v="11"/>
    <n v="30"/>
    <x v="46"/>
    <n v="0.5"/>
    <x v="18"/>
    <x v="8"/>
  </r>
  <r>
    <x v="1"/>
    <x v="8"/>
    <s v="Listing Optimization"/>
    <x v="1"/>
    <x v="5"/>
    <n v="35"/>
    <x v="46"/>
    <n v="0.58333333333333337"/>
    <x v="18"/>
    <x v="8"/>
  </r>
  <r>
    <x v="1"/>
    <x v="7"/>
    <s v="Team Meeting"/>
    <x v="0"/>
    <x v="9"/>
    <n v="20"/>
    <x v="46"/>
    <n v="0.33333333333333331"/>
    <x v="18"/>
    <x v="8"/>
  </r>
  <r>
    <x v="1"/>
    <x v="3"/>
    <s v="Stock Reivew"/>
    <x v="1"/>
    <x v="8"/>
    <n v="30"/>
    <x v="46"/>
    <n v="0.5"/>
    <x v="18"/>
    <x v="8"/>
  </r>
  <r>
    <x v="1"/>
    <x v="11"/>
    <s v="Stock Reivew"/>
    <x v="1"/>
    <x v="8"/>
    <n v="30"/>
    <x v="46"/>
    <n v="0.5"/>
    <x v="18"/>
    <x v="8"/>
  </r>
  <r>
    <x v="1"/>
    <x v="3"/>
    <s v="A+ Content"/>
    <x v="1"/>
    <x v="8"/>
    <n v="35"/>
    <x v="46"/>
    <n v="0.58333333333333337"/>
    <x v="18"/>
    <x v="8"/>
  </r>
  <r>
    <x v="1"/>
    <x v="3"/>
    <s v="Daily Stock Update"/>
    <x v="0"/>
    <x v="3"/>
    <n v="95"/>
    <x v="46"/>
    <n v="1.5833333333333333"/>
    <x v="18"/>
    <x v="8"/>
  </r>
  <r>
    <x v="1"/>
    <x v="3"/>
    <s v="New Listing"/>
    <x v="0"/>
    <x v="1"/>
    <n v="40"/>
    <x v="46"/>
    <n v="0.66666666666666663"/>
    <x v="18"/>
    <x v="8"/>
  </r>
  <r>
    <x v="0"/>
    <x v="7"/>
    <s v="Team Meeting"/>
    <x v="0"/>
    <x v="9"/>
    <n v="20"/>
    <x v="47"/>
    <n v="0.33333333333333331"/>
    <x v="17"/>
    <x v="9"/>
  </r>
  <r>
    <x v="0"/>
    <x v="6"/>
    <s v="AHS Sheet Update"/>
    <x v="0"/>
    <x v="7"/>
    <n v="60"/>
    <x v="47"/>
    <n v="1"/>
    <x v="17"/>
    <x v="9"/>
  </r>
  <r>
    <x v="0"/>
    <x v="0"/>
    <s v="Mapped Listing buy box and Automated pricing"/>
    <x v="0"/>
    <x v="8"/>
    <n v="15"/>
    <x v="47"/>
    <n v="0.25"/>
    <x v="17"/>
    <x v="9"/>
  </r>
  <r>
    <x v="0"/>
    <x v="1"/>
    <s v="Product and Customer ABC Reports"/>
    <x v="5"/>
    <x v="31"/>
    <n v="400"/>
    <x v="47"/>
    <n v="6.666666666666667"/>
    <x v="17"/>
    <x v="9"/>
  </r>
  <r>
    <x v="1"/>
    <x v="3"/>
    <s v="Getflow"/>
    <x v="0"/>
    <x v="8"/>
    <n v="30"/>
    <x v="47"/>
    <n v="0.5"/>
    <x v="17"/>
    <x v="9"/>
  </r>
  <r>
    <x v="1"/>
    <x v="7"/>
    <s v="Team Meeting"/>
    <x v="0"/>
    <x v="9"/>
    <n v="20"/>
    <x v="47"/>
    <n v="0.33333333333333331"/>
    <x v="17"/>
    <x v="9"/>
  </r>
  <r>
    <x v="1"/>
    <x v="9"/>
    <s v="Canada Store Stock Sheet"/>
    <x v="0"/>
    <x v="3"/>
    <n v="40"/>
    <x v="47"/>
    <n v="0.66666666666666663"/>
    <x v="17"/>
    <x v="9"/>
  </r>
  <r>
    <x v="1"/>
    <x v="5"/>
    <s v="Listing Optimization"/>
    <x v="2"/>
    <x v="5"/>
    <n v="45"/>
    <x v="47"/>
    <n v="0.75"/>
    <x v="17"/>
    <x v="9"/>
  </r>
  <r>
    <x v="1"/>
    <x v="3"/>
    <s v="Daily Stock Update"/>
    <x v="0"/>
    <x v="3"/>
    <n v="110"/>
    <x v="47"/>
    <n v="1.8333333333333333"/>
    <x v="17"/>
    <x v="9"/>
  </r>
  <r>
    <x v="1"/>
    <x v="3"/>
    <s v="Stock Review"/>
    <x v="4"/>
    <x v="8"/>
    <n v="20"/>
    <x v="47"/>
    <n v="0.33333333333333331"/>
    <x v="17"/>
    <x v="9"/>
  </r>
  <r>
    <x v="1"/>
    <x v="3"/>
    <s v="Listing Synchronization - Compare Unit Costs with Wholesale Last Prices"/>
    <x v="4"/>
    <x v="8"/>
    <n v="25"/>
    <x v="47"/>
    <n v="0.41666666666666669"/>
    <x v="17"/>
    <x v="9"/>
  </r>
  <r>
    <x v="1"/>
    <x v="3"/>
    <s v=" CA Remap"/>
    <x v="0"/>
    <x v="8"/>
    <n v="25"/>
    <x v="47"/>
    <n v="0.41666666666666669"/>
    <x v="17"/>
    <x v="9"/>
  </r>
  <r>
    <x v="1"/>
    <x v="3"/>
    <s v="Weekly Feedback on SC &amp; AHS"/>
    <x v="0"/>
    <x v="22"/>
    <n v="25"/>
    <x v="47"/>
    <n v="0.41666666666666669"/>
    <x v="17"/>
    <x v="9"/>
  </r>
  <r>
    <x v="1"/>
    <x v="3"/>
    <s v="Listing Optimization"/>
    <x v="1"/>
    <x v="5"/>
    <n v="25"/>
    <x v="47"/>
    <n v="0.41666666666666669"/>
    <x v="17"/>
    <x v="9"/>
  </r>
  <r>
    <x v="1"/>
    <x v="3"/>
    <s v="Internal Price Match"/>
    <x v="1"/>
    <x v="15"/>
    <n v="20"/>
    <x v="47"/>
    <n v="0.33333333333333331"/>
    <x v="17"/>
    <x v="9"/>
  </r>
  <r>
    <x v="1"/>
    <x v="3"/>
    <s v="External Price Match"/>
    <x v="1"/>
    <x v="45"/>
    <n v="65"/>
    <x v="47"/>
    <n v="1.0833333333333333"/>
    <x v="17"/>
    <x v="9"/>
  </r>
  <r>
    <x v="1"/>
    <x v="15"/>
    <s v="Listing Optimization"/>
    <x v="1"/>
    <x v="5"/>
    <n v="45"/>
    <x v="47"/>
    <n v="0.75"/>
    <x v="17"/>
    <x v="9"/>
  </r>
  <r>
    <x v="1"/>
    <x v="8"/>
    <s v="Price Review"/>
    <x v="1"/>
    <x v="8"/>
    <n v="20"/>
    <x v="47"/>
    <n v="0.33333333333333331"/>
    <x v="17"/>
    <x v="9"/>
  </r>
  <r>
    <x v="0"/>
    <x v="7"/>
    <s v="Team Meeting"/>
    <x v="0"/>
    <x v="9"/>
    <n v="20"/>
    <x v="48"/>
    <n v="0.33333333333333331"/>
    <x v="16"/>
    <x v="10"/>
  </r>
  <r>
    <x v="0"/>
    <x v="6"/>
    <s v="AHS Sheet Update"/>
    <x v="0"/>
    <x v="7"/>
    <n v="60"/>
    <x v="48"/>
    <n v="1"/>
    <x v="16"/>
    <x v="10"/>
  </r>
  <r>
    <x v="0"/>
    <x v="0"/>
    <s v="Mapped Listing buy box and Automated pricing"/>
    <x v="0"/>
    <x v="8"/>
    <n v="30"/>
    <x v="48"/>
    <n v="0.5"/>
    <x v="16"/>
    <x v="10"/>
  </r>
  <r>
    <x v="0"/>
    <x v="1"/>
    <s v="Invoice Price Monitor"/>
    <x v="0"/>
    <x v="4"/>
    <n v="120"/>
    <x v="48"/>
    <n v="2"/>
    <x v="16"/>
    <x v="10"/>
  </r>
  <r>
    <x v="0"/>
    <x v="0"/>
    <s v="Daily Stock Update"/>
    <x v="0"/>
    <x v="3"/>
    <n v="90"/>
    <x v="48"/>
    <n v="1.5"/>
    <x v="16"/>
    <x v="10"/>
  </r>
  <r>
    <x v="0"/>
    <x v="10"/>
    <s v="External Price Match"/>
    <x v="0"/>
    <x v="8"/>
    <n v="50"/>
    <x v="48"/>
    <n v="0.83333333333333337"/>
    <x v="16"/>
    <x v="10"/>
  </r>
  <r>
    <x v="0"/>
    <x v="0"/>
    <s v="Listing Optimization"/>
    <x v="1"/>
    <x v="5"/>
    <n v="60"/>
    <x v="48"/>
    <n v="1"/>
    <x v="16"/>
    <x v="10"/>
  </r>
  <r>
    <x v="0"/>
    <x v="10"/>
    <s v="Account Management"/>
    <x v="1"/>
    <x v="0"/>
    <n v="60"/>
    <x v="48"/>
    <n v="1"/>
    <x v="16"/>
    <x v="10"/>
  </r>
  <r>
    <x v="0"/>
    <x v="7"/>
    <s v="Team Meeting"/>
    <x v="0"/>
    <x v="9"/>
    <n v="20"/>
    <x v="48"/>
    <n v="0.33333333333333331"/>
    <x v="16"/>
    <x v="10"/>
  </r>
  <r>
    <x v="0"/>
    <x v="6"/>
    <s v="AHS Sheet Update"/>
    <x v="0"/>
    <x v="7"/>
    <n v="60"/>
    <x v="48"/>
    <n v="1"/>
    <x v="16"/>
    <x v="10"/>
  </r>
  <r>
    <x v="0"/>
    <x v="0"/>
    <s v="Mapped Listing buy box and Automated pricing"/>
    <x v="0"/>
    <x v="8"/>
    <n v="30"/>
    <x v="48"/>
    <n v="0.5"/>
    <x v="16"/>
    <x v="10"/>
  </r>
  <r>
    <x v="0"/>
    <x v="1"/>
    <s v="Invoice Price Monitor"/>
    <x v="0"/>
    <x v="4"/>
    <n v="120"/>
    <x v="48"/>
    <n v="2"/>
    <x v="16"/>
    <x v="10"/>
  </r>
  <r>
    <x v="0"/>
    <x v="0"/>
    <s v="Daily Stock Update"/>
    <x v="0"/>
    <x v="3"/>
    <n v="90"/>
    <x v="48"/>
    <n v="1.5"/>
    <x v="16"/>
    <x v="10"/>
  </r>
  <r>
    <x v="0"/>
    <x v="10"/>
    <s v="External Price Match"/>
    <x v="0"/>
    <x v="8"/>
    <n v="50"/>
    <x v="48"/>
    <n v="0.83333333333333337"/>
    <x v="16"/>
    <x v="10"/>
  </r>
  <r>
    <x v="0"/>
    <x v="0"/>
    <s v="Listing Optimization"/>
    <x v="1"/>
    <x v="5"/>
    <n v="60"/>
    <x v="48"/>
    <n v="1"/>
    <x v="16"/>
    <x v="10"/>
  </r>
  <r>
    <x v="0"/>
    <x v="10"/>
    <s v="Account Management"/>
    <x v="1"/>
    <x v="0"/>
    <n v="60"/>
    <x v="48"/>
    <n v="1"/>
    <x v="16"/>
    <x v="10"/>
  </r>
  <r>
    <x v="0"/>
    <x v="6"/>
    <s v="AHS Sheet Update"/>
    <x v="0"/>
    <x v="7"/>
    <n v="45"/>
    <x v="49"/>
    <n v="0.75"/>
    <x v="18"/>
    <x v="8"/>
  </r>
  <r>
    <x v="0"/>
    <x v="1"/>
    <s v="Invoice Price Monitor"/>
    <x v="0"/>
    <x v="4"/>
    <n v="110"/>
    <x v="49"/>
    <n v="1.8333333333333333"/>
    <x v="18"/>
    <x v="8"/>
  </r>
  <r>
    <x v="0"/>
    <x v="0"/>
    <s v="Mapped Listing buy box and Automated pricing"/>
    <x v="0"/>
    <x v="8"/>
    <n v="45"/>
    <x v="49"/>
    <n v="0.75"/>
    <x v="18"/>
    <x v="8"/>
  </r>
  <r>
    <x v="0"/>
    <x v="18"/>
    <s v="Team Meeting"/>
    <x v="0"/>
    <x v="9"/>
    <n v="20"/>
    <x v="49"/>
    <n v="0.33333333333333331"/>
    <x v="18"/>
    <x v="8"/>
  </r>
  <r>
    <x v="0"/>
    <x v="0"/>
    <s v="Daily Stock Update"/>
    <x v="0"/>
    <x v="3"/>
    <n v="90"/>
    <x v="49"/>
    <n v="1.5"/>
    <x v="18"/>
    <x v="8"/>
  </r>
  <r>
    <x v="0"/>
    <x v="14"/>
    <s v="Client Meeting"/>
    <x v="3"/>
    <x v="17"/>
    <n v="50"/>
    <x v="49"/>
    <n v="0.83333333333333337"/>
    <x v="18"/>
    <x v="8"/>
  </r>
  <r>
    <x v="0"/>
    <x v="0"/>
    <s v="QC"/>
    <x v="1"/>
    <x v="8"/>
    <n v="60"/>
    <x v="49"/>
    <n v="1"/>
    <x v="18"/>
    <x v="8"/>
  </r>
  <r>
    <x v="0"/>
    <x v="0"/>
    <s v="Review not meeting guidelines AE &amp; SA"/>
    <x v="2"/>
    <x v="8"/>
    <n v="60"/>
    <x v="49"/>
    <n v="1"/>
    <x v="18"/>
    <x v="8"/>
  </r>
  <r>
    <x v="0"/>
    <x v="0"/>
    <s v="Listing Optimization"/>
    <x v="3"/>
    <x v="5"/>
    <n v="20"/>
    <x v="49"/>
    <n v="0.33333333333333331"/>
    <x v="18"/>
    <x v="8"/>
  </r>
  <r>
    <x v="1"/>
    <x v="3"/>
    <s v="Listing Optimization"/>
    <x v="1"/>
    <x v="5"/>
    <n v="30"/>
    <x v="49"/>
    <n v="0.5"/>
    <x v="18"/>
    <x v="8"/>
  </r>
  <r>
    <x v="1"/>
    <x v="3"/>
    <s v=" CA Remap"/>
    <x v="0"/>
    <x v="12"/>
    <n v="80"/>
    <x v="49"/>
    <n v="1.3333333333333333"/>
    <x v="18"/>
    <x v="8"/>
  </r>
  <r>
    <x v="1"/>
    <x v="3"/>
    <s v="FBA Orders -Return Process"/>
    <x v="2"/>
    <x v="19"/>
    <n v="30"/>
    <x v="49"/>
    <n v="0.5"/>
    <x v="18"/>
    <x v="8"/>
  </r>
  <r>
    <x v="1"/>
    <x v="8"/>
    <s v="Listing Optimization"/>
    <x v="1"/>
    <x v="5"/>
    <n v="35"/>
    <x v="49"/>
    <n v="0.58333333333333337"/>
    <x v="18"/>
    <x v="8"/>
  </r>
  <r>
    <x v="1"/>
    <x v="7"/>
    <s v="Team Meeting"/>
    <x v="0"/>
    <x v="9"/>
    <n v="20"/>
    <x v="49"/>
    <n v="0.33333333333333331"/>
    <x v="18"/>
    <x v="8"/>
  </r>
  <r>
    <x v="1"/>
    <x v="3"/>
    <s v="Stock Review"/>
    <x v="1"/>
    <x v="8"/>
    <n v="30"/>
    <x v="49"/>
    <n v="0.5"/>
    <x v="18"/>
    <x v="8"/>
  </r>
  <r>
    <x v="1"/>
    <x v="11"/>
    <s v="Stock Review"/>
    <x v="1"/>
    <x v="8"/>
    <n v="30"/>
    <x v="49"/>
    <n v="0.5"/>
    <x v="18"/>
    <x v="8"/>
  </r>
  <r>
    <x v="1"/>
    <x v="11"/>
    <s v="Listing Optimization"/>
    <x v="1"/>
    <x v="5"/>
    <n v="40"/>
    <x v="49"/>
    <n v="0.66666666666666663"/>
    <x v="18"/>
    <x v="8"/>
  </r>
  <r>
    <x v="1"/>
    <x v="3"/>
    <s v="Daily Stock Update"/>
    <x v="0"/>
    <x v="3"/>
    <n v="95"/>
    <x v="49"/>
    <n v="1.5833333333333333"/>
    <x v="18"/>
    <x v="8"/>
  </r>
  <r>
    <x v="1"/>
    <x v="3"/>
    <s v="New Listing"/>
    <x v="0"/>
    <x v="1"/>
    <n v="35"/>
    <x v="49"/>
    <n v="0.58333333333333337"/>
    <x v="18"/>
    <x v="8"/>
  </r>
  <r>
    <x v="1"/>
    <x v="14"/>
    <s v="CA Open, Confirmed But not yet Invoice"/>
    <x v="2"/>
    <x v="46"/>
    <n v="50"/>
    <x v="49"/>
    <n v="0.83333333333333337"/>
    <x v="18"/>
    <x v="8"/>
  </r>
  <r>
    <x v="1"/>
    <x v="11"/>
    <s v="New Listing"/>
    <x v="1"/>
    <x v="1"/>
    <n v="35"/>
    <x v="49"/>
    <n v="0.58333333333333337"/>
    <x v="18"/>
    <x v="8"/>
  </r>
  <r>
    <x v="0"/>
    <x v="7"/>
    <s v="Team Meeting"/>
    <x v="0"/>
    <x v="9"/>
    <n v="20"/>
    <x v="50"/>
    <n v="0.33333333333333331"/>
    <x v="17"/>
    <x v="9"/>
  </r>
  <r>
    <x v="0"/>
    <x v="6"/>
    <s v="AHS Sheet Update"/>
    <x v="0"/>
    <x v="7"/>
    <n v="60"/>
    <x v="50"/>
    <n v="1"/>
    <x v="17"/>
    <x v="9"/>
  </r>
  <r>
    <x v="0"/>
    <x v="0"/>
    <s v="Mapped Listing buy box and Automated pricing"/>
    <x v="0"/>
    <x v="8"/>
    <n v="30"/>
    <x v="50"/>
    <n v="0.5"/>
    <x v="17"/>
    <x v="9"/>
  </r>
  <r>
    <x v="0"/>
    <x v="1"/>
    <s v="Product and Customer ABC Reports"/>
    <x v="5"/>
    <x v="31"/>
    <n v="400"/>
    <x v="50"/>
    <n v="6.666666666666667"/>
    <x v="17"/>
    <x v="9"/>
  </r>
  <r>
    <x v="0"/>
    <x v="7"/>
    <s v="Team Meeting"/>
    <x v="0"/>
    <x v="9"/>
    <n v="20"/>
    <x v="50"/>
    <n v="0.33333333333333331"/>
    <x v="17"/>
    <x v="9"/>
  </r>
  <r>
    <x v="0"/>
    <x v="6"/>
    <s v="AHS Sheet Update"/>
    <x v="0"/>
    <x v="7"/>
    <n v="30"/>
    <x v="50"/>
    <n v="0.5"/>
    <x v="17"/>
    <x v="9"/>
  </r>
  <r>
    <x v="0"/>
    <x v="0"/>
    <s v="Mapped Listing buy box and Automated pricing"/>
    <x v="0"/>
    <x v="8"/>
    <n v="15"/>
    <x v="50"/>
    <n v="0.25"/>
    <x v="17"/>
    <x v="9"/>
  </r>
  <r>
    <x v="0"/>
    <x v="1"/>
    <s v="Product and Customer ABC Reports"/>
    <x v="5"/>
    <x v="31"/>
    <n v="450"/>
    <x v="50"/>
    <n v="7.5"/>
    <x v="17"/>
    <x v="9"/>
  </r>
  <r>
    <x v="1"/>
    <x v="7"/>
    <s v="Team Meeting"/>
    <x v="0"/>
    <x v="9"/>
    <n v="20"/>
    <x v="50"/>
    <n v="0.33333333333333331"/>
    <x v="17"/>
    <x v="9"/>
  </r>
  <r>
    <x v="1"/>
    <x v="9"/>
    <s v="Canada Store Stock Sheet"/>
    <x v="0"/>
    <x v="3"/>
    <n v="25"/>
    <x v="50"/>
    <n v="0.41666666666666669"/>
    <x v="17"/>
    <x v="9"/>
  </r>
  <r>
    <x v="1"/>
    <x v="3"/>
    <s v="Listing Optimization"/>
    <x v="1"/>
    <x v="5"/>
    <n v="20"/>
    <x v="50"/>
    <n v="0.33333333333333331"/>
    <x v="17"/>
    <x v="9"/>
  </r>
  <r>
    <x v="1"/>
    <x v="3"/>
    <s v="Daily Stock Update"/>
    <x v="0"/>
    <x v="3"/>
    <n v="110"/>
    <x v="50"/>
    <n v="1.8333333333333333"/>
    <x v="17"/>
    <x v="9"/>
  </r>
  <r>
    <x v="1"/>
    <x v="3"/>
    <s v="Account Health Review"/>
    <x v="1"/>
    <x v="10"/>
    <n v="20"/>
    <x v="50"/>
    <n v="0.33333333333333331"/>
    <x v="17"/>
    <x v="9"/>
  </r>
  <r>
    <x v="1"/>
    <x v="3"/>
    <s v="Weekly Feedback on SC &amp; AHS"/>
    <x v="0"/>
    <x v="47"/>
    <n v="25"/>
    <x v="50"/>
    <n v="0.41666666666666669"/>
    <x v="17"/>
    <x v="9"/>
  </r>
  <r>
    <x v="1"/>
    <x v="3"/>
    <s v=" CA Remap"/>
    <x v="1"/>
    <x v="8"/>
    <n v="25"/>
    <x v="50"/>
    <n v="0.41666666666666669"/>
    <x v="17"/>
    <x v="9"/>
  </r>
  <r>
    <x v="1"/>
    <x v="3"/>
    <s v="Stock Review"/>
    <x v="0"/>
    <x v="8"/>
    <n v="25"/>
    <x v="50"/>
    <n v="0.41666666666666669"/>
    <x v="17"/>
    <x v="9"/>
  </r>
  <r>
    <x v="1"/>
    <x v="5"/>
    <s v="Listing Optimization"/>
    <x v="1"/>
    <x v="8"/>
    <n v="65"/>
    <x v="50"/>
    <n v="1.0833333333333333"/>
    <x v="17"/>
    <x v="9"/>
  </r>
  <r>
    <x v="1"/>
    <x v="11"/>
    <s v="VC Master Sheet"/>
    <x v="1"/>
    <x v="8"/>
    <n v="45"/>
    <x v="50"/>
    <n v="0.75"/>
    <x v="17"/>
    <x v="9"/>
  </r>
  <r>
    <x v="1"/>
    <x v="5"/>
    <s v="Price Review- E-commerce"/>
    <x v="1"/>
    <x v="8"/>
    <n v="20"/>
    <x v="50"/>
    <n v="0.33333333333333331"/>
    <x v="17"/>
    <x v="9"/>
  </r>
  <r>
    <x v="1"/>
    <x v="5"/>
    <s v="Listing Optimization"/>
    <x v="1"/>
    <x v="8"/>
    <n v="20"/>
    <x v="50"/>
    <n v="0.33333333333333331"/>
    <x v="17"/>
    <x v="9"/>
  </r>
  <r>
    <x v="1"/>
    <x v="12"/>
    <s v="Getflow"/>
    <x v="0"/>
    <x v="8"/>
    <n v="30"/>
    <x v="50"/>
    <n v="0.5"/>
    <x v="17"/>
    <x v="9"/>
  </r>
  <r>
    <x v="1"/>
    <x v="12"/>
    <s v="Internal Price Match"/>
    <x v="1"/>
    <x v="15"/>
    <n v="20"/>
    <x v="50"/>
    <n v="0.33333333333333331"/>
    <x v="17"/>
    <x v="9"/>
  </r>
  <r>
    <x v="1"/>
    <x v="12"/>
    <s v="External Price Match"/>
    <x v="1"/>
    <x v="45"/>
    <n v="20"/>
    <x v="50"/>
    <n v="0.33333333333333331"/>
    <x v="17"/>
    <x v="9"/>
  </r>
  <r>
    <x v="0"/>
    <x v="6"/>
    <s v="AHS Sheet Update"/>
    <x v="0"/>
    <x v="7"/>
    <n v="60"/>
    <x v="51"/>
    <n v="1"/>
    <x v="18"/>
    <x v="8"/>
  </r>
  <r>
    <x v="0"/>
    <x v="1"/>
    <s v="Invoice Price Monitor"/>
    <x v="0"/>
    <x v="4"/>
    <n v="120"/>
    <x v="51"/>
    <n v="2"/>
    <x v="18"/>
    <x v="8"/>
  </r>
  <r>
    <x v="0"/>
    <x v="0"/>
    <s v="Mapped Listing buy box and Automated pricing"/>
    <x v="0"/>
    <x v="8"/>
    <n v="20"/>
    <x v="51"/>
    <n v="0.33333333333333331"/>
    <x v="18"/>
    <x v="8"/>
  </r>
  <r>
    <x v="0"/>
    <x v="18"/>
    <s v="Team Meeting"/>
    <x v="0"/>
    <x v="9"/>
    <n v="20"/>
    <x v="51"/>
    <n v="0.33333333333333331"/>
    <x v="18"/>
    <x v="8"/>
  </r>
  <r>
    <x v="0"/>
    <x v="0"/>
    <s v="Daily Stock Update"/>
    <x v="0"/>
    <x v="3"/>
    <n v="60"/>
    <x v="51"/>
    <n v="1"/>
    <x v="18"/>
    <x v="8"/>
  </r>
  <r>
    <x v="0"/>
    <x v="14"/>
    <s v="Client Meeting"/>
    <x v="3"/>
    <x v="17"/>
    <n v="30"/>
    <x v="51"/>
    <n v="0.5"/>
    <x v="18"/>
    <x v="8"/>
  </r>
  <r>
    <x v="0"/>
    <x v="0"/>
    <s v="Listing Optimization"/>
    <x v="1"/>
    <x v="5"/>
    <n v="30"/>
    <x v="51"/>
    <n v="0.5"/>
    <x v="18"/>
    <x v="8"/>
  </r>
  <r>
    <x v="0"/>
    <x v="10"/>
    <s v="New Listing"/>
    <x v="1"/>
    <x v="1"/>
    <n v="45"/>
    <x v="51"/>
    <n v="0.75"/>
    <x v="18"/>
    <x v="8"/>
  </r>
  <r>
    <x v="0"/>
    <x v="10"/>
    <s v="Account Management"/>
    <x v="3"/>
    <x v="0"/>
    <n v="60"/>
    <x v="51"/>
    <n v="1"/>
    <x v="18"/>
    <x v="8"/>
  </r>
  <r>
    <x v="0"/>
    <x v="11"/>
    <s v="New Listing"/>
    <x v="1"/>
    <x v="1"/>
    <n v="60"/>
    <x v="51"/>
    <n v="1"/>
    <x v="18"/>
    <x v="8"/>
  </r>
  <r>
    <x v="1"/>
    <x v="3"/>
    <s v="Getflow"/>
    <x v="1"/>
    <x v="8"/>
    <n v="35"/>
    <x v="51"/>
    <n v="0.58333333333333337"/>
    <x v="18"/>
    <x v="8"/>
  </r>
  <r>
    <x v="1"/>
    <x v="3"/>
    <s v=" CA Remap"/>
    <x v="0"/>
    <x v="8"/>
    <n v="45"/>
    <x v="51"/>
    <n v="0.75"/>
    <x v="18"/>
    <x v="8"/>
  </r>
  <r>
    <x v="1"/>
    <x v="3"/>
    <s v="Cost Review Sheet"/>
    <x v="3"/>
    <x v="8"/>
    <n v="35"/>
    <x v="51"/>
    <n v="0.58333333333333337"/>
    <x v="18"/>
    <x v="8"/>
  </r>
  <r>
    <x v="1"/>
    <x v="8"/>
    <s v="Listing Optimization"/>
    <x v="1"/>
    <x v="5"/>
    <n v="40"/>
    <x v="51"/>
    <n v="0.66666666666666663"/>
    <x v="18"/>
    <x v="8"/>
  </r>
  <r>
    <x v="1"/>
    <x v="9"/>
    <s v="Listing Optimization"/>
    <x v="1"/>
    <x v="5"/>
    <n v="20"/>
    <x v="51"/>
    <n v="0.33333333333333331"/>
    <x v="18"/>
    <x v="8"/>
  </r>
  <r>
    <x v="1"/>
    <x v="7"/>
    <s v="Team Meeting"/>
    <x v="0"/>
    <x v="9"/>
    <n v="20"/>
    <x v="51"/>
    <n v="0.33333333333333331"/>
    <x v="18"/>
    <x v="8"/>
  </r>
  <r>
    <x v="1"/>
    <x v="3"/>
    <s v="Stock Review"/>
    <x v="1"/>
    <x v="8"/>
    <n v="55"/>
    <x v="51"/>
    <n v="0.91666666666666663"/>
    <x v="18"/>
    <x v="8"/>
  </r>
  <r>
    <x v="1"/>
    <x v="14"/>
    <s v="Client Meeting"/>
    <x v="1"/>
    <x v="17"/>
    <n v="30"/>
    <x v="51"/>
    <n v="0.5"/>
    <x v="18"/>
    <x v="8"/>
  </r>
  <r>
    <x v="1"/>
    <x v="3"/>
    <s v=" CA Remap"/>
    <x v="1"/>
    <x v="12"/>
    <n v="75"/>
    <x v="51"/>
    <n v="1.25"/>
    <x v="18"/>
    <x v="8"/>
  </r>
  <r>
    <x v="1"/>
    <x v="3"/>
    <s v="Daily Stock Update"/>
    <x v="0"/>
    <x v="3"/>
    <n v="110"/>
    <x v="51"/>
    <n v="1.8333333333333333"/>
    <x v="18"/>
    <x v="8"/>
  </r>
  <r>
    <x v="1"/>
    <x v="3"/>
    <s v="Free Assembly &amp; Paid Assembly"/>
    <x v="2"/>
    <x v="0"/>
    <n v="35"/>
    <x v="51"/>
    <n v="0.58333333333333337"/>
    <x v="18"/>
    <x v="8"/>
  </r>
  <r>
    <x v="1"/>
    <x v="11"/>
    <s v="New Listing"/>
    <x v="1"/>
    <x v="8"/>
    <n v="20"/>
    <x v="51"/>
    <n v="0.33333333333333331"/>
    <x v="18"/>
    <x v="8"/>
  </r>
  <r>
    <x v="0"/>
    <x v="7"/>
    <s v="Team Meeting"/>
    <x v="0"/>
    <x v="9"/>
    <n v="20"/>
    <x v="52"/>
    <n v="0.33333333333333331"/>
    <x v="17"/>
    <x v="9"/>
  </r>
  <r>
    <x v="0"/>
    <x v="6"/>
    <s v="AHS Sheet Update"/>
    <x v="0"/>
    <x v="7"/>
    <n v="60"/>
    <x v="52"/>
    <n v="1"/>
    <x v="17"/>
    <x v="9"/>
  </r>
  <r>
    <x v="0"/>
    <x v="0"/>
    <s v="Mapped Listing buy box and Automated pricing"/>
    <x v="0"/>
    <x v="8"/>
    <n v="20"/>
    <x v="52"/>
    <n v="0.33333333333333331"/>
    <x v="17"/>
    <x v="9"/>
  </r>
  <r>
    <x v="0"/>
    <x v="1"/>
    <s v="Product and Customer ABC Reports"/>
    <x v="5"/>
    <x v="31"/>
    <n v="350"/>
    <x v="52"/>
    <n v="5.833333333333333"/>
    <x v="17"/>
    <x v="9"/>
  </r>
  <r>
    <x v="0"/>
    <x v="0"/>
    <s v="Client Meeting"/>
    <x v="3"/>
    <x v="17"/>
    <n v="40"/>
    <x v="52"/>
    <n v="0.66666666666666663"/>
    <x v="17"/>
    <x v="9"/>
  </r>
  <r>
    <x v="1"/>
    <x v="7"/>
    <s v="Team Meeting"/>
    <x v="0"/>
    <x v="9"/>
    <n v="20"/>
    <x v="52"/>
    <n v="0.33333333333333331"/>
    <x v="17"/>
    <x v="9"/>
  </r>
  <r>
    <x v="1"/>
    <x v="9"/>
    <s v="Canada Store Stock Sheet"/>
    <x v="0"/>
    <x v="3"/>
    <n v="25"/>
    <x v="52"/>
    <n v="0.41666666666666669"/>
    <x v="17"/>
    <x v="9"/>
  </r>
  <r>
    <x v="1"/>
    <x v="3"/>
    <s v="Listing Optimization"/>
    <x v="1"/>
    <x v="5"/>
    <n v="20"/>
    <x v="52"/>
    <n v="0.33333333333333331"/>
    <x v="17"/>
    <x v="9"/>
  </r>
  <r>
    <x v="1"/>
    <x v="3"/>
    <s v="Daily Stock Update"/>
    <x v="0"/>
    <x v="3"/>
    <n v="95"/>
    <x v="52"/>
    <n v="1.5833333333333333"/>
    <x v="17"/>
    <x v="9"/>
  </r>
  <r>
    <x v="1"/>
    <x v="3"/>
    <s v="Account Health Review"/>
    <x v="1"/>
    <x v="10"/>
    <n v="20"/>
    <x v="52"/>
    <n v="0.33333333333333331"/>
    <x v="17"/>
    <x v="9"/>
  </r>
  <r>
    <x v="1"/>
    <x v="3"/>
    <s v="Weekly Feedback on SC &amp; AHS"/>
    <x v="0"/>
    <x v="47"/>
    <n v="25"/>
    <x v="52"/>
    <n v="0.41666666666666669"/>
    <x v="17"/>
    <x v="9"/>
  </r>
  <r>
    <x v="1"/>
    <x v="3"/>
    <s v=" CA Remap"/>
    <x v="1"/>
    <x v="8"/>
    <n v="25"/>
    <x v="52"/>
    <n v="0.41666666666666669"/>
    <x v="17"/>
    <x v="9"/>
  </r>
  <r>
    <x v="1"/>
    <x v="5"/>
    <s v="Listing Optimization"/>
    <x v="1"/>
    <x v="8"/>
    <n v="25"/>
    <x v="52"/>
    <n v="0.41666666666666669"/>
    <x v="17"/>
    <x v="9"/>
  </r>
  <r>
    <x v="1"/>
    <x v="3"/>
    <s v="Competitor Analysis"/>
    <x v="1"/>
    <x v="20"/>
    <n v="30"/>
    <x v="52"/>
    <n v="0.5"/>
    <x v="17"/>
    <x v="9"/>
  </r>
  <r>
    <x v="1"/>
    <x v="5"/>
    <s v="Listing Optimization"/>
    <x v="1"/>
    <x v="5"/>
    <n v="35"/>
    <x v="52"/>
    <n v="0.58333333333333337"/>
    <x v="17"/>
    <x v="9"/>
  </r>
  <r>
    <x v="1"/>
    <x v="3"/>
    <s v="BestBuy.CA  Stock update sheet and report on No. of active SKUs"/>
    <x v="4"/>
    <x v="28"/>
    <n v="20"/>
    <x v="52"/>
    <n v="0.33333333333333331"/>
    <x v="17"/>
    <x v="9"/>
  </r>
  <r>
    <x v="1"/>
    <x v="14"/>
    <s v="Client Meeting"/>
    <x v="1"/>
    <x v="17"/>
    <n v="40"/>
    <x v="52"/>
    <n v="0.66666666666666663"/>
    <x v="17"/>
    <x v="9"/>
  </r>
  <r>
    <x v="1"/>
    <x v="12"/>
    <s v="Getflow"/>
    <x v="0"/>
    <x v="8"/>
    <n v="30"/>
    <x v="52"/>
    <n v="0.5"/>
    <x v="17"/>
    <x v="9"/>
  </r>
  <r>
    <x v="1"/>
    <x v="12"/>
    <s v="External Price Match"/>
    <x v="1"/>
    <x v="45"/>
    <n v="90"/>
    <x v="52"/>
    <n v="1.5"/>
    <x v="17"/>
    <x v="9"/>
  </r>
  <r>
    <x v="1"/>
    <x v="12"/>
    <s v="Internal Price Match"/>
    <x v="1"/>
    <x v="8"/>
    <n v="20"/>
    <x v="52"/>
    <n v="0.33333333333333331"/>
    <x v="17"/>
    <x v="9"/>
  </r>
  <r>
    <x v="1"/>
    <x v="3"/>
    <s v="Account Health Review"/>
    <x v="1"/>
    <x v="10"/>
    <n v="20"/>
    <x v="53"/>
    <n v="0.33333333333333331"/>
    <x v="19"/>
    <x v="10"/>
  </r>
  <r>
    <x v="1"/>
    <x v="7"/>
    <s v="Team Meeting"/>
    <x v="0"/>
    <x v="9"/>
    <n v="20"/>
    <x v="53"/>
    <n v="0.33333333333333331"/>
    <x v="19"/>
    <x v="10"/>
  </r>
  <r>
    <x v="1"/>
    <x v="11"/>
    <s v="VC Price Master"/>
    <x v="1"/>
    <x v="8"/>
    <n v="25"/>
    <x v="53"/>
    <n v="0.41666666666666669"/>
    <x v="19"/>
    <x v="10"/>
  </r>
  <r>
    <x v="1"/>
    <x v="11"/>
    <s v="VC Inventory Review"/>
    <x v="1"/>
    <x v="8"/>
    <n v="45"/>
    <x v="53"/>
    <n v="0.75"/>
    <x v="19"/>
    <x v="10"/>
  </r>
  <r>
    <x v="1"/>
    <x v="3"/>
    <s v="Internal Price Match"/>
    <x v="3"/>
    <x v="8"/>
    <n v="65"/>
    <x v="53"/>
    <n v="1.0833333333333333"/>
    <x v="19"/>
    <x v="10"/>
  </r>
  <r>
    <x v="1"/>
    <x v="9"/>
    <s v="Canada Store Stock Sheet"/>
    <x v="0"/>
    <x v="3"/>
    <n v="25"/>
    <x v="53"/>
    <n v="0.41666666666666669"/>
    <x v="19"/>
    <x v="10"/>
  </r>
  <r>
    <x v="1"/>
    <x v="11"/>
    <s v="VC Coupon Created"/>
    <x v="0"/>
    <x v="48"/>
    <n v="35"/>
    <x v="53"/>
    <n v="0.58333333333333337"/>
    <x v="19"/>
    <x v="10"/>
  </r>
  <r>
    <x v="1"/>
    <x v="3"/>
    <s v="Daily Stock Update"/>
    <x v="0"/>
    <x v="3"/>
    <n v="110"/>
    <x v="53"/>
    <n v="1.8333333333333333"/>
    <x v="19"/>
    <x v="10"/>
  </r>
  <r>
    <x v="1"/>
    <x v="3"/>
    <s v="External Price Match Sheet Review"/>
    <x v="3"/>
    <x v="8"/>
    <n v="45"/>
    <x v="53"/>
    <n v="0.75"/>
    <x v="19"/>
    <x v="10"/>
  </r>
  <r>
    <x v="1"/>
    <x v="3"/>
    <s v="AHS Sheet - Review Mail priority"/>
    <x v="3"/>
    <x v="43"/>
    <n v="20"/>
    <x v="53"/>
    <n v="0.33333333333333331"/>
    <x v="19"/>
    <x v="10"/>
  </r>
  <r>
    <x v="1"/>
    <x v="3"/>
    <s v="FBA Stock Review"/>
    <x v="1"/>
    <x v="8"/>
    <n v="25"/>
    <x v="53"/>
    <n v="0.41666666666666669"/>
    <x v="19"/>
    <x v="10"/>
  </r>
  <r>
    <x v="1"/>
    <x v="5"/>
    <s v="Category Sorting"/>
    <x v="1"/>
    <x v="21"/>
    <n v="40"/>
    <x v="53"/>
    <n v="0.66666666666666663"/>
    <x v="19"/>
    <x v="10"/>
  </r>
  <r>
    <x v="1"/>
    <x v="12"/>
    <s v="Getflow Update"/>
    <x v="0"/>
    <x v="8"/>
    <n v="20"/>
    <x v="53"/>
    <n v="0.33333333333333331"/>
    <x v="19"/>
    <x v="10"/>
  </r>
  <r>
    <x v="0"/>
    <x v="6"/>
    <s v="AHS Sheet Update"/>
    <x v="0"/>
    <x v="7"/>
    <n v="60"/>
    <x v="54"/>
    <n v="1"/>
    <x v="18"/>
    <x v="8"/>
  </r>
  <r>
    <x v="0"/>
    <x v="1"/>
    <s v="Invoice Price Monitor"/>
    <x v="0"/>
    <x v="4"/>
    <n v="150"/>
    <x v="54"/>
    <n v="2.5"/>
    <x v="18"/>
    <x v="8"/>
  </r>
  <r>
    <x v="0"/>
    <x v="0"/>
    <s v="Mapped Listing buy box and Automated pricing"/>
    <x v="0"/>
    <x v="8"/>
    <n v="30"/>
    <x v="54"/>
    <n v="0.5"/>
    <x v="18"/>
    <x v="8"/>
  </r>
  <r>
    <x v="0"/>
    <x v="7"/>
    <s v="Team Meeting"/>
    <x v="0"/>
    <x v="9"/>
    <n v="20"/>
    <x v="54"/>
    <n v="0.33333333333333331"/>
    <x v="18"/>
    <x v="8"/>
  </r>
  <r>
    <x v="0"/>
    <x v="0"/>
    <s v="Daily Stock Update"/>
    <x v="0"/>
    <x v="3"/>
    <n v="60"/>
    <x v="54"/>
    <n v="1"/>
    <x v="18"/>
    <x v="8"/>
  </r>
  <r>
    <x v="0"/>
    <x v="14"/>
    <s v="Client Meeting"/>
    <x v="3"/>
    <x v="17"/>
    <n v="20"/>
    <x v="54"/>
    <n v="0.33333333333333331"/>
    <x v="18"/>
    <x v="8"/>
  </r>
  <r>
    <x v="0"/>
    <x v="22"/>
    <s v="Wayfair Meeting"/>
    <x v="3"/>
    <x v="49"/>
    <n v="80"/>
    <x v="54"/>
    <n v="1.3333333333333333"/>
    <x v="18"/>
    <x v="8"/>
  </r>
  <r>
    <x v="0"/>
    <x v="0"/>
    <s v="New Listing"/>
    <x v="1"/>
    <x v="1"/>
    <n v="45"/>
    <x v="54"/>
    <n v="0.75"/>
    <x v="18"/>
    <x v="8"/>
  </r>
  <r>
    <x v="0"/>
    <x v="1"/>
    <s v="New Listing"/>
    <x v="1"/>
    <x v="1"/>
    <n v="45"/>
    <x v="54"/>
    <n v="0.75"/>
    <x v="18"/>
    <x v="8"/>
  </r>
  <r>
    <x v="1"/>
    <x v="3"/>
    <s v="Getflow"/>
    <x v="1"/>
    <x v="8"/>
    <n v="35"/>
    <x v="54"/>
    <n v="0.58333333333333337"/>
    <x v="18"/>
    <x v="8"/>
  </r>
  <r>
    <x v="1"/>
    <x v="3"/>
    <s v="Listing Optimization"/>
    <x v="0"/>
    <x v="5"/>
    <n v="45"/>
    <x v="54"/>
    <n v="0.75"/>
    <x v="18"/>
    <x v="8"/>
  </r>
  <r>
    <x v="1"/>
    <x v="3"/>
    <s v="Listing Optimization"/>
    <x v="0"/>
    <x v="8"/>
    <n v="45"/>
    <x v="54"/>
    <n v="0.75"/>
    <x v="18"/>
    <x v="8"/>
  </r>
  <r>
    <x v="1"/>
    <x v="3"/>
    <s v="Cost Review Sheet"/>
    <x v="3"/>
    <x v="8"/>
    <n v="35"/>
    <x v="54"/>
    <n v="0.58333333333333337"/>
    <x v="18"/>
    <x v="8"/>
  </r>
  <r>
    <x v="1"/>
    <x v="23"/>
    <s v="BestBuy.CA Meeting"/>
    <x v="1"/>
    <x v="50"/>
    <n v="80"/>
    <x v="54"/>
    <n v="1.3333333333333333"/>
    <x v="18"/>
    <x v="8"/>
  </r>
  <r>
    <x v="1"/>
    <x v="8"/>
    <s v="Listing Optimization"/>
    <x v="1"/>
    <x v="8"/>
    <n v="35"/>
    <x v="54"/>
    <n v="0.58333333333333337"/>
    <x v="18"/>
    <x v="8"/>
  </r>
  <r>
    <x v="1"/>
    <x v="7"/>
    <s v="Team Meeting"/>
    <x v="0"/>
    <x v="9"/>
    <n v="20"/>
    <x v="54"/>
    <n v="0.33333333333333331"/>
    <x v="18"/>
    <x v="8"/>
  </r>
  <r>
    <x v="1"/>
    <x v="11"/>
    <s v="Stock Review"/>
    <x v="1"/>
    <x v="8"/>
    <n v="55"/>
    <x v="54"/>
    <n v="0.91666666666666663"/>
    <x v="18"/>
    <x v="8"/>
  </r>
  <r>
    <x v="1"/>
    <x v="14"/>
    <s v="Client Meeting"/>
    <x v="1"/>
    <x v="17"/>
    <n v="20"/>
    <x v="54"/>
    <n v="0.33333333333333331"/>
    <x v="18"/>
    <x v="8"/>
  </r>
  <r>
    <x v="1"/>
    <x v="3"/>
    <s v="New Listing"/>
    <x v="1"/>
    <x v="1"/>
    <n v="30"/>
    <x v="54"/>
    <n v="0.5"/>
    <x v="18"/>
    <x v="8"/>
  </r>
  <r>
    <x v="1"/>
    <x v="3"/>
    <s v="Daily Stock Update"/>
    <x v="0"/>
    <x v="3"/>
    <n v="120"/>
    <x v="54"/>
    <n v="2"/>
    <x v="18"/>
    <x v="8"/>
  </r>
  <r>
    <x v="0"/>
    <x v="7"/>
    <s v="Team Meeting"/>
    <x v="0"/>
    <x v="9"/>
    <n v="20"/>
    <x v="55"/>
    <n v="0.33333333333333331"/>
    <x v="17"/>
    <x v="9"/>
  </r>
  <r>
    <x v="0"/>
    <x v="6"/>
    <s v="AHS Sheet Update"/>
    <x v="0"/>
    <x v="7"/>
    <n v="60"/>
    <x v="55"/>
    <n v="1"/>
    <x v="17"/>
    <x v="9"/>
  </r>
  <r>
    <x v="0"/>
    <x v="0"/>
    <s v="Mapped Listing buy box and Automated pricing"/>
    <x v="0"/>
    <x v="8"/>
    <n v="40"/>
    <x v="55"/>
    <n v="0.66666666666666663"/>
    <x v="17"/>
    <x v="9"/>
  </r>
  <r>
    <x v="0"/>
    <x v="1"/>
    <s v="Product and Customer ABC Reports"/>
    <x v="5"/>
    <x v="31"/>
    <n v="150"/>
    <x v="55"/>
    <n v="2.5"/>
    <x v="17"/>
    <x v="9"/>
  </r>
  <r>
    <x v="0"/>
    <x v="1"/>
    <s v="Invoice Price Monitor"/>
    <x v="0"/>
    <x v="4"/>
    <n v="120"/>
    <x v="55"/>
    <n v="2"/>
    <x v="17"/>
    <x v="9"/>
  </r>
  <r>
    <x v="0"/>
    <x v="0"/>
    <s v="Daily Stock Update"/>
    <x v="0"/>
    <x v="3"/>
    <n v="90"/>
    <x v="55"/>
    <n v="1.5"/>
    <x v="17"/>
    <x v="9"/>
  </r>
  <r>
    <x v="1"/>
    <x v="7"/>
    <s v="Team Meeting"/>
    <x v="0"/>
    <x v="9"/>
    <n v="20"/>
    <x v="55"/>
    <n v="0.33333333333333331"/>
    <x v="17"/>
    <x v="9"/>
  </r>
  <r>
    <x v="1"/>
    <x v="9"/>
    <s v="Canada Store Stock Sheet"/>
    <x v="0"/>
    <x v="3"/>
    <n v="25"/>
    <x v="55"/>
    <n v="0.41666666666666669"/>
    <x v="17"/>
    <x v="9"/>
  </r>
  <r>
    <x v="1"/>
    <x v="3"/>
    <s v="Listing Optimization"/>
    <x v="1"/>
    <x v="5"/>
    <n v="40"/>
    <x v="55"/>
    <n v="0.66666666666666663"/>
    <x v="17"/>
    <x v="9"/>
  </r>
  <r>
    <x v="1"/>
    <x v="3"/>
    <s v="Daily Stock Update"/>
    <x v="0"/>
    <x v="3"/>
    <n v="110"/>
    <x v="55"/>
    <n v="1.8333333333333333"/>
    <x v="17"/>
    <x v="9"/>
  </r>
  <r>
    <x v="1"/>
    <x v="3"/>
    <s v="Account Health Review"/>
    <x v="1"/>
    <x v="10"/>
    <n v="30"/>
    <x v="55"/>
    <n v="0.5"/>
    <x v="17"/>
    <x v="9"/>
  </r>
  <r>
    <x v="1"/>
    <x v="3"/>
    <s v="Weekly Feedback on SC &amp; AHS"/>
    <x v="0"/>
    <x v="47"/>
    <n v="25"/>
    <x v="55"/>
    <n v="0.41666666666666669"/>
    <x v="17"/>
    <x v="9"/>
  </r>
  <r>
    <x v="1"/>
    <x v="3"/>
    <s v=" CA Remap"/>
    <x v="1"/>
    <x v="8"/>
    <n v="25"/>
    <x v="55"/>
    <n v="0.41666666666666669"/>
    <x v="17"/>
    <x v="9"/>
  </r>
  <r>
    <x v="1"/>
    <x v="3"/>
    <s v="External Price Match"/>
    <x v="1"/>
    <x v="45"/>
    <n v="60"/>
    <x v="55"/>
    <n v="1"/>
    <x v="17"/>
    <x v="9"/>
  </r>
  <r>
    <x v="1"/>
    <x v="3"/>
    <s v=" CA Remap"/>
    <x v="0"/>
    <x v="8"/>
    <n v="40"/>
    <x v="55"/>
    <n v="0.66666666666666663"/>
    <x v="17"/>
    <x v="9"/>
  </r>
  <r>
    <x v="1"/>
    <x v="12"/>
    <s v="Getflow"/>
    <x v="0"/>
    <x v="8"/>
    <n v="30"/>
    <x v="55"/>
    <n v="0.5"/>
    <x v="17"/>
    <x v="9"/>
  </r>
  <r>
    <x v="1"/>
    <x v="12"/>
    <s v="Internal Price Match"/>
    <x v="1"/>
    <x v="8"/>
    <n v="35"/>
    <x v="55"/>
    <n v="0.58333333333333337"/>
    <x v="17"/>
    <x v="9"/>
  </r>
  <r>
    <x v="1"/>
    <x v="12"/>
    <s v="Listing Optimization"/>
    <x v="1"/>
    <x v="5"/>
    <n v="45"/>
    <x v="55"/>
    <n v="0.75"/>
    <x v="17"/>
    <x v="9"/>
  </r>
  <r>
    <x v="1"/>
    <x v="3"/>
    <s v="Account Health Review"/>
    <x v="1"/>
    <x v="10"/>
    <n v="20"/>
    <x v="56"/>
    <n v="0.33333333333333331"/>
    <x v="19"/>
    <x v="10"/>
  </r>
  <r>
    <x v="1"/>
    <x v="7"/>
    <s v="Team Meeting"/>
    <x v="0"/>
    <x v="9"/>
    <n v="20"/>
    <x v="56"/>
    <n v="0.33333333333333331"/>
    <x v="19"/>
    <x v="10"/>
  </r>
  <r>
    <x v="1"/>
    <x v="11"/>
    <s v="VC Price Master"/>
    <x v="1"/>
    <x v="8"/>
    <n v="25"/>
    <x v="56"/>
    <n v="0.41666666666666669"/>
    <x v="19"/>
    <x v="10"/>
  </r>
  <r>
    <x v="1"/>
    <x v="11"/>
    <s v="VC Inventory Review"/>
    <x v="1"/>
    <x v="8"/>
    <n v="45"/>
    <x v="56"/>
    <n v="0.75"/>
    <x v="19"/>
    <x v="10"/>
  </r>
  <r>
    <x v="1"/>
    <x v="3"/>
    <s v="Internal Price Match"/>
    <x v="3"/>
    <x v="8"/>
    <n v="65"/>
    <x v="56"/>
    <n v="1.0833333333333333"/>
    <x v="19"/>
    <x v="10"/>
  </r>
  <r>
    <x v="1"/>
    <x v="9"/>
    <s v="Canada Store Stock Sheet"/>
    <x v="0"/>
    <x v="3"/>
    <n v="25"/>
    <x v="56"/>
    <n v="0.41666666666666669"/>
    <x v="19"/>
    <x v="10"/>
  </r>
  <r>
    <x v="1"/>
    <x v="11"/>
    <s v="VC Coupon Created"/>
    <x v="0"/>
    <x v="48"/>
    <n v="35"/>
    <x v="56"/>
    <n v="0.58333333333333337"/>
    <x v="19"/>
    <x v="10"/>
  </r>
  <r>
    <x v="1"/>
    <x v="3"/>
    <s v="Daily Stock Update"/>
    <x v="0"/>
    <x v="3"/>
    <n v="110"/>
    <x v="56"/>
    <n v="1.8333333333333333"/>
    <x v="19"/>
    <x v="10"/>
  </r>
  <r>
    <x v="1"/>
    <x v="3"/>
    <s v="External Price Match Sheet Review"/>
    <x v="3"/>
    <x v="8"/>
    <n v="45"/>
    <x v="56"/>
    <n v="0.75"/>
    <x v="19"/>
    <x v="10"/>
  </r>
  <r>
    <x v="1"/>
    <x v="3"/>
    <s v="AHS Sheet - Review Mail priority"/>
    <x v="3"/>
    <x v="43"/>
    <n v="20"/>
    <x v="56"/>
    <n v="0.33333333333333331"/>
    <x v="19"/>
    <x v="10"/>
  </r>
  <r>
    <x v="1"/>
    <x v="3"/>
    <s v="FBA Stock Review"/>
    <x v="1"/>
    <x v="8"/>
    <n v="25"/>
    <x v="56"/>
    <n v="0.41666666666666669"/>
    <x v="19"/>
    <x v="10"/>
  </r>
  <r>
    <x v="1"/>
    <x v="5"/>
    <s v="Category Sorting"/>
    <x v="1"/>
    <x v="21"/>
    <n v="40"/>
    <x v="56"/>
    <n v="0.66666666666666663"/>
    <x v="19"/>
    <x v="10"/>
  </r>
  <r>
    <x v="1"/>
    <x v="12"/>
    <s v="Getflow Update"/>
    <x v="0"/>
    <x v="8"/>
    <n v="20"/>
    <x v="56"/>
    <n v="0.33333333333333331"/>
    <x v="19"/>
    <x v="10"/>
  </r>
  <r>
    <x v="1"/>
    <x v="3"/>
    <s v="Getflow"/>
    <x v="1"/>
    <x v="8"/>
    <n v="35"/>
    <x v="57"/>
    <n v="0.58333333333333337"/>
    <x v="18"/>
    <x v="8"/>
  </r>
  <r>
    <x v="1"/>
    <x v="3"/>
    <s v="Listing Optimization"/>
    <x v="0"/>
    <x v="5"/>
    <n v="45"/>
    <x v="57"/>
    <n v="0.75"/>
    <x v="18"/>
    <x v="8"/>
  </r>
  <r>
    <x v="1"/>
    <x v="11"/>
    <s v="Listing Optimization"/>
    <x v="0"/>
    <x v="5"/>
    <n v="45"/>
    <x v="57"/>
    <n v="0.75"/>
    <x v="18"/>
    <x v="8"/>
  </r>
  <r>
    <x v="1"/>
    <x v="5"/>
    <s v="Category Sorting"/>
    <x v="1"/>
    <x v="21"/>
    <n v="95"/>
    <x v="57"/>
    <n v="1.5833333333333333"/>
    <x v="18"/>
    <x v="8"/>
  </r>
  <r>
    <x v="1"/>
    <x v="7"/>
    <s v="Team Meeting"/>
    <x v="0"/>
    <x v="9"/>
    <n v="20"/>
    <x v="57"/>
    <n v="0.33333333333333331"/>
    <x v="18"/>
    <x v="8"/>
  </r>
  <r>
    <x v="1"/>
    <x v="3"/>
    <s v="Stock Review"/>
    <x v="1"/>
    <x v="8"/>
    <n v="35"/>
    <x v="57"/>
    <n v="0.58333333333333337"/>
    <x v="18"/>
    <x v="8"/>
  </r>
  <r>
    <x v="1"/>
    <x v="14"/>
    <s v="Client Meeting"/>
    <x v="1"/>
    <x v="17"/>
    <n v="80"/>
    <x v="57"/>
    <n v="1.3333333333333333"/>
    <x v="18"/>
    <x v="8"/>
  </r>
  <r>
    <x v="1"/>
    <x v="5"/>
    <s v="Stock Review"/>
    <x v="1"/>
    <x v="8"/>
    <n v="35"/>
    <x v="57"/>
    <n v="0.58333333333333337"/>
    <x v="18"/>
    <x v="8"/>
  </r>
  <r>
    <x v="1"/>
    <x v="3"/>
    <s v="Daily Stock Update"/>
    <x v="0"/>
    <x v="3"/>
    <n v="120"/>
    <x v="57"/>
    <n v="2"/>
    <x v="18"/>
    <x v="8"/>
  </r>
  <r>
    <x v="0"/>
    <x v="6"/>
    <s v="AHS Sheet Update"/>
    <x v="0"/>
    <x v="7"/>
    <n v="60"/>
    <x v="57"/>
    <n v="1"/>
    <x v="18"/>
    <x v="8"/>
  </r>
  <r>
    <x v="0"/>
    <x v="1"/>
    <s v="Invoice Price Monitor"/>
    <x v="0"/>
    <x v="4"/>
    <n v="120"/>
    <x v="57"/>
    <n v="2"/>
    <x v="18"/>
    <x v="8"/>
  </r>
  <r>
    <x v="0"/>
    <x v="0"/>
    <s v="Mapped Listing buy box and Automated pricing"/>
    <x v="0"/>
    <x v="8"/>
    <n v="45"/>
    <x v="57"/>
    <n v="0.75"/>
    <x v="18"/>
    <x v="8"/>
  </r>
  <r>
    <x v="0"/>
    <x v="7"/>
    <s v="Team Meeting"/>
    <x v="0"/>
    <x v="9"/>
    <n v="20"/>
    <x v="57"/>
    <n v="0.33333333333333331"/>
    <x v="18"/>
    <x v="8"/>
  </r>
  <r>
    <x v="0"/>
    <x v="14"/>
    <s v="Client Meeting"/>
    <x v="3"/>
    <x v="17"/>
    <n v="80"/>
    <x v="57"/>
    <n v="1.3333333333333333"/>
    <x v="18"/>
    <x v="8"/>
  </r>
  <r>
    <x v="0"/>
    <x v="1"/>
    <s v="Stock Review"/>
    <x v="1"/>
    <x v="8"/>
    <n v="175"/>
    <x v="57"/>
    <n v="2.9166666666666665"/>
    <x v="18"/>
    <x v="8"/>
  </r>
  <r>
    <x v="0"/>
    <x v="6"/>
    <s v="AHS Sheet Update"/>
    <x v="0"/>
    <x v="7"/>
    <n v="60"/>
    <x v="58"/>
    <n v="1"/>
    <x v="18"/>
    <x v="8"/>
  </r>
  <r>
    <x v="0"/>
    <x v="1"/>
    <s v="Invoice Price Monitor"/>
    <x v="0"/>
    <x v="4"/>
    <n v="120"/>
    <x v="58"/>
    <n v="2"/>
    <x v="18"/>
    <x v="8"/>
  </r>
  <r>
    <x v="0"/>
    <x v="0"/>
    <s v="Mapped Listing buy box and Automated pricing"/>
    <x v="0"/>
    <x v="8"/>
    <n v="30"/>
    <x v="58"/>
    <n v="0.5"/>
    <x v="18"/>
    <x v="8"/>
  </r>
  <r>
    <x v="0"/>
    <x v="18"/>
    <s v="Team Meeting"/>
    <x v="0"/>
    <x v="9"/>
    <n v="20"/>
    <x v="58"/>
    <n v="0.33333333333333331"/>
    <x v="18"/>
    <x v="8"/>
  </r>
  <r>
    <x v="0"/>
    <x v="0"/>
    <s v="Daily Stock Update"/>
    <x v="0"/>
    <x v="3"/>
    <n v="60"/>
    <x v="58"/>
    <n v="1"/>
    <x v="18"/>
    <x v="8"/>
  </r>
  <r>
    <x v="0"/>
    <x v="14"/>
    <s v="Client Meeting"/>
    <x v="3"/>
    <x v="17"/>
    <n v="38"/>
    <x v="58"/>
    <n v="0.6333333333333333"/>
    <x v="18"/>
    <x v="8"/>
  </r>
  <r>
    <x v="0"/>
    <x v="0"/>
    <s v="Listing Optimization"/>
    <x v="1"/>
    <x v="5"/>
    <n v="20"/>
    <x v="58"/>
    <n v="0.33333333333333331"/>
    <x v="18"/>
    <x v="8"/>
  </r>
  <r>
    <x v="0"/>
    <x v="1"/>
    <s v="New Listing"/>
    <x v="1"/>
    <x v="1"/>
    <n v="90"/>
    <x v="58"/>
    <n v="1.5"/>
    <x v="18"/>
    <x v="8"/>
  </r>
  <r>
    <x v="0"/>
    <x v="0"/>
    <s v="Account Management"/>
    <x v="1"/>
    <x v="0"/>
    <n v="70"/>
    <x v="58"/>
    <n v="1.1666666666666667"/>
    <x v="18"/>
    <x v="8"/>
  </r>
  <r>
    <x v="1"/>
    <x v="3"/>
    <s v="Getflow"/>
    <x v="1"/>
    <x v="8"/>
    <n v="35"/>
    <x v="58"/>
    <n v="0.58333333333333337"/>
    <x v="18"/>
    <x v="8"/>
  </r>
  <r>
    <x v="1"/>
    <x v="3"/>
    <s v="Listing Optimization"/>
    <x v="1"/>
    <x v="5"/>
    <n v="45"/>
    <x v="58"/>
    <n v="0.75"/>
    <x v="18"/>
    <x v="8"/>
  </r>
  <r>
    <x v="1"/>
    <x v="5"/>
    <s v="Category Sorting"/>
    <x v="1"/>
    <x v="21"/>
    <n v="160"/>
    <x v="58"/>
    <n v="2.6666666666666665"/>
    <x v="18"/>
    <x v="8"/>
  </r>
  <r>
    <x v="1"/>
    <x v="7"/>
    <s v="Team Meeting"/>
    <x v="0"/>
    <x v="9"/>
    <n v="20"/>
    <x v="58"/>
    <n v="0.33333333333333331"/>
    <x v="18"/>
    <x v="8"/>
  </r>
  <r>
    <x v="1"/>
    <x v="5"/>
    <s v="New Listing"/>
    <x v="1"/>
    <x v="8"/>
    <n v="35"/>
    <x v="58"/>
    <n v="0.58333333333333337"/>
    <x v="18"/>
    <x v="8"/>
  </r>
  <r>
    <x v="1"/>
    <x v="14"/>
    <s v="Client Meeting"/>
    <x v="1"/>
    <x v="17"/>
    <n v="38"/>
    <x v="58"/>
    <n v="0.6333333333333333"/>
    <x v="18"/>
    <x v="8"/>
  </r>
  <r>
    <x v="1"/>
    <x v="3"/>
    <s v="Daily Stock Update"/>
    <x v="0"/>
    <x v="3"/>
    <n v="35"/>
    <x v="58"/>
    <n v="0.58333333333333337"/>
    <x v="18"/>
    <x v="8"/>
  </r>
  <r>
    <x v="1"/>
    <x v="5"/>
    <s v="Category Sorting"/>
    <x v="1"/>
    <x v="21"/>
    <n v="60"/>
    <x v="58"/>
    <n v="1"/>
    <x v="18"/>
    <x v="8"/>
  </r>
  <r>
    <x v="1"/>
    <x v="5"/>
    <s v="Listing Optimization"/>
    <x v="1"/>
    <x v="8"/>
    <n v="35"/>
    <x v="58"/>
    <n v="0.58333333333333337"/>
    <x v="18"/>
    <x v="8"/>
  </r>
  <r>
    <x v="1"/>
    <x v="3"/>
    <s v="Stock Review"/>
    <x v="1"/>
    <x v="8"/>
    <n v="45"/>
    <x v="58"/>
    <n v="0.75"/>
    <x v="18"/>
    <x v="8"/>
  </r>
  <r>
    <x v="0"/>
    <x v="7"/>
    <s v="Team Meeting"/>
    <x v="0"/>
    <x v="9"/>
    <n v="20"/>
    <x v="59"/>
    <n v="0.33333333333333331"/>
    <x v="20"/>
    <x v="9"/>
  </r>
  <r>
    <x v="0"/>
    <x v="6"/>
    <s v="AHS Sheet Update"/>
    <x v="0"/>
    <x v="7"/>
    <n v="60"/>
    <x v="59"/>
    <n v="1"/>
    <x v="20"/>
    <x v="9"/>
  </r>
  <r>
    <x v="0"/>
    <x v="0"/>
    <s v="Mapped Listing buy box and Automated pricing"/>
    <x v="0"/>
    <x v="8"/>
    <n v="40"/>
    <x v="59"/>
    <n v="0.66666666666666663"/>
    <x v="20"/>
    <x v="9"/>
  </r>
  <r>
    <x v="0"/>
    <x v="1"/>
    <s v="Flash deal Sale"/>
    <x v="2"/>
    <x v="8"/>
    <n v="60"/>
    <x v="59"/>
    <n v="1"/>
    <x v="20"/>
    <x v="9"/>
  </r>
  <r>
    <x v="0"/>
    <x v="1"/>
    <s v="Invoice Price Monitor"/>
    <x v="0"/>
    <x v="4"/>
    <n v="210"/>
    <x v="59"/>
    <n v="3.5"/>
    <x v="20"/>
    <x v="9"/>
  </r>
  <r>
    <x v="0"/>
    <x v="0"/>
    <s v="Daily Stock Update"/>
    <x v="0"/>
    <x v="3"/>
    <n v="90"/>
    <x v="59"/>
    <n v="1.5"/>
    <x v="20"/>
    <x v="9"/>
  </r>
  <r>
    <x v="1"/>
    <x v="7"/>
    <s v="Team Meeting"/>
    <x v="0"/>
    <x v="9"/>
    <n v="20"/>
    <x v="59"/>
    <n v="0.33333333333333331"/>
    <x v="20"/>
    <x v="9"/>
  </r>
  <r>
    <x v="1"/>
    <x v="9"/>
    <s v="Canada Store Stock Sheet"/>
    <x v="0"/>
    <x v="3"/>
    <n v="25"/>
    <x v="59"/>
    <n v="0.41666666666666669"/>
    <x v="20"/>
    <x v="9"/>
  </r>
  <r>
    <x v="1"/>
    <x v="3"/>
    <s v="Listing Optimization"/>
    <x v="1"/>
    <x v="5"/>
    <n v="55"/>
    <x v="59"/>
    <n v="0.91666666666666663"/>
    <x v="20"/>
    <x v="9"/>
  </r>
  <r>
    <x v="1"/>
    <x v="3"/>
    <s v="Daily Stock Update"/>
    <x v="0"/>
    <x v="3"/>
    <n v="110"/>
    <x v="59"/>
    <n v="1.8333333333333333"/>
    <x v="20"/>
    <x v="9"/>
  </r>
  <r>
    <x v="1"/>
    <x v="3"/>
    <s v="Account Health Review"/>
    <x v="1"/>
    <x v="10"/>
    <n v="30"/>
    <x v="59"/>
    <n v="0.5"/>
    <x v="20"/>
    <x v="9"/>
  </r>
  <r>
    <x v="1"/>
    <x v="3"/>
    <s v="Weekly Feedback on SC &amp; AHS"/>
    <x v="0"/>
    <x v="47"/>
    <n v="25"/>
    <x v="59"/>
    <n v="0.41666666666666669"/>
    <x v="20"/>
    <x v="9"/>
  </r>
  <r>
    <x v="1"/>
    <x v="3"/>
    <s v=" CA Remap"/>
    <x v="1"/>
    <x v="8"/>
    <n v="65"/>
    <x v="59"/>
    <n v="1.0833333333333333"/>
    <x v="20"/>
    <x v="9"/>
  </r>
  <r>
    <x v="1"/>
    <x v="3"/>
    <s v="FBA Sellerflex amount dispute"/>
    <x v="2"/>
    <x v="8"/>
    <n v="45"/>
    <x v="59"/>
    <n v="0.75"/>
    <x v="20"/>
    <x v="9"/>
  </r>
  <r>
    <x v="1"/>
    <x v="3"/>
    <s v="Free Assembly &amp; Paid Assembly"/>
    <x v="2"/>
    <x v="0"/>
    <n v="40"/>
    <x v="59"/>
    <n v="0.66666666666666663"/>
    <x v="20"/>
    <x v="9"/>
  </r>
  <r>
    <x v="1"/>
    <x v="8"/>
    <s v="Price Review"/>
    <x v="1"/>
    <x v="8"/>
    <n v="30"/>
    <x v="59"/>
    <n v="0.5"/>
    <x v="20"/>
    <x v="9"/>
  </r>
  <r>
    <x v="1"/>
    <x v="12"/>
    <s v="Getflow"/>
    <x v="0"/>
    <x v="8"/>
    <n v="30"/>
    <x v="59"/>
    <n v="0.5"/>
    <x v="20"/>
    <x v="9"/>
  </r>
  <r>
    <x v="1"/>
    <x v="12"/>
    <s v="Internal Price Match"/>
    <x v="1"/>
    <x v="15"/>
    <n v="35"/>
    <x v="59"/>
    <n v="0.58333333333333337"/>
    <x v="20"/>
    <x v="9"/>
  </r>
  <r>
    <x v="1"/>
    <x v="3"/>
    <s v="Getflow"/>
    <x v="1"/>
    <x v="8"/>
    <n v="35"/>
    <x v="60"/>
    <n v="0.58333333333333337"/>
    <x v="21"/>
    <x v="8"/>
  </r>
  <r>
    <x v="1"/>
    <x v="5"/>
    <s v="Category Sorting"/>
    <x v="1"/>
    <x v="21"/>
    <n v="120"/>
    <x v="60"/>
    <n v="2"/>
    <x v="21"/>
    <x v="8"/>
  </r>
  <r>
    <x v="1"/>
    <x v="7"/>
    <s v="Team Meeting"/>
    <x v="0"/>
    <x v="9"/>
    <n v="45"/>
    <x v="60"/>
    <n v="0.75"/>
    <x v="21"/>
    <x v="8"/>
  </r>
  <r>
    <x v="1"/>
    <x v="5"/>
    <s v="New Listing"/>
    <x v="1"/>
    <x v="8"/>
    <n v="45"/>
    <x v="60"/>
    <n v="0.75"/>
    <x v="21"/>
    <x v="8"/>
  </r>
  <r>
    <x v="1"/>
    <x v="3"/>
    <s v="Weekly Confirmation Sheet"/>
    <x v="1"/>
    <x v="34"/>
    <n v="25"/>
    <x v="60"/>
    <n v="0.41666666666666669"/>
    <x v="21"/>
    <x v="8"/>
  </r>
  <r>
    <x v="1"/>
    <x v="3"/>
    <s v="Daily Stock Update"/>
    <x v="0"/>
    <x v="3"/>
    <n v="110"/>
    <x v="60"/>
    <n v="1.8333333333333333"/>
    <x v="21"/>
    <x v="8"/>
  </r>
  <r>
    <x v="1"/>
    <x v="8"/>
    <s v="Listing Optimization"/>
    <x v="3"/>
    <x v="5"/>
    <n v="20"/>
    <x v="60"/>
    <n v="0.33333333333333331"/>
    <x v="21"/>
    <x v="8"/>
  </r>
  <r>
    <x v="1"/>
    <x v="5"/>
    <s v="Listing Optimization"/>
    <x v="1"/>
    <x v="5"/>
    <n v="65"/>
    <x v="60"/>
    <n v="1.0833333333333333"/>
    <x v="21"/>
    <x v="8"/>
  </r>
  <r>
    <x v="1"/>
    <x v="3"/>
    <s v="Stock Review"/>
    <x v="1"/>
    <x v="8"/>
    <n v="45"/>
    <x v="60"/>
    <n v="0.75"/>
    <x v="21"/>
    <x v="8"/>
  </r>
  <r>
    <x v="0"/>
    <x v="6"/>
    <s v="AHS Sheet Update"/>
    <x v="0"/>
    <x v="7"/>
    <n v="60"/>
    <x v="60"/>
    <n v="1"/>
    <x v="21"/>
    <x v="8"/>
  </r>
  <r>
    <x v="0"/>
    <x v="0"/>
    <s v="Mapped Listing buy box and Automated pricing"/>
    <x v="0"/>
    <x v="8"/>
    <n v="30"/>
    <x v="60"/>
    <n v="0.5"/>
    <x v="21"/>
    <x v="8"/>
  </r>
  <r>
    <x v="0"/>
    <x v="18"/>
    <s v="Team Meeting"/>
    <x v="0"/>
    <x v="9"/>
    <n v="20"/>
    <x v="60"/>
    <n v="0.33333333333333331"/>
    <x v="21"/>
    <x v="8"/>
  </r>
  <r>
    <x v="0"/>
    <x v="0"/>
    <s v="Daily Stock Update"/>
    <x v="0"/>
    <x v="3"/>
    <n v="90"/>
    <x v="60"/>
    <n v="1.5"/>
    <x v="21"/>
    <x v="8"/>
  </r>
  <r>
    <x v="0"/>
    <x v="1"/>
    <s v="Listing Optimization"/>
    <x v="1"/>
    <x v="5"/>
    <n v="45"/>
    <x v="60"/>
    <n v="0.75"/>
    <x v="21"/>
    <x v="8"/>
  </r>
  <r>
    <x v="0"/>
    <x v="1"/>
    <s v="New Listing"/>
    <x v="1"/>
    <x v="0"/>
    <n v="40"/>
    <x v="60"/>
    <n v="0.66666666666666663"/>
    <x v="21"/>
    <x v="8"/>
  </r>
  <r>
    <x v="0"/>
    <x v="1"/>
    <s v="Account Management"/>
    <x v="1"/>
    <x v="0"/>
    <n v="200"/>
    <x v="60"/>
    <n v="3.3333333333333335"/>
    <x v="21"/>
    <x v="8"/>
  </r>
  <r>
    <x v="0"/>
    <x v="7"/>
    <s v="Team Meeting"/>
    <x v="0"/>
    <x v="9"/>
    <n v="20"/>
    <x v="61"/>
    <n v="0.33333333333333331"/>
    <x v="20"/>
    <x v="9"/>
  </r>
  <r>
    <x v="0"/>
    <x v="6"/>
    <s v="AHS Sheet Update"/>
    <x v="0"/>
    <x v="7"/>
    <n v="60"/>
    <x v="61"/>
    <n v="1"/>
    <x v="20"/>
    <x v="9"/>
  </r>
  <r>
    <x v="0"/>
    <x v="0"/>
    <s v="Mapped Listing buy box and Automated pricing"/>
    <x v="0"/>
    <x v="8"/>
    <n v="40"/>
    <x v="61"/>
    <n v="0.66666666666666663"/>
    <x v="20"/>
    <x v="9"/>
  </r>
  <r>
    <x v="0"/>
    <x v="10"/>
    <s v="Price Match"/>
    <x v="1"/>
    <x v="0"/>
    <n v="60"/>
    <x v="61"/>
    <n v="1"/>
    <x v="20"/>
    <x v="9"/>
  </r>
  <r>
    <x v="0"/>
    <x v="1"/>
    <s v="Invoice Price Monitor"/>
    <x v="0"/>
    <x v="4"/>
    <n v="300"/>
    <x v="61"/>
    <n v="5"/>
    <x v="20"/>
    <x v="9"/>
  </r>
  <r>
    <x v="1"/>
    <x v="7"/>
    <s v="Team Meeting"/>
    <x v="0"/>
    <x v="9"/>
    <n v="20"/>
    <x v="61"/>
    <n v="0.33333333333333331"/>
    <x v="20"/>
    <x v="9"/>
  </r>
  <r>
    <x v="1"/>
    <x v="9"/>
    <s v="Canada Store Stock Sheet"/>
    <x v="0"/>
    <x v="3"/>
    <n v="25"/>
    <x v="61"/>
    <n v="0.41666666666666669"/>
    <x v="20"/>
    <x v="9"/>
  </r>
  <r>
    <x v="1"/>
    <x v="3"/>
    <s v="Daily Stock Update"/>
    <x v="0"/>
    <x v="3"/>
    <n v="110"/>
    <x v="61"/>
    <n v="1.8333333333333333"/>
    <x v="20"/>
    <x v="9"/>
  </r>
  <r>
    <x v="1"/>
    <x v="3"/>
    <s v="Account Health Review"/>
    <x v="1"/>
    <x v="10"/>
    <n v="30"/>
    <x v="61"/>
    <n v="0.5"/>
    <x v="20"/>
    <x v="9"/>
  </r>
  <r>
    <x v="1"/>
    <x v="3"/>
    <s v="Weekly Feedback on SC &amp; AHS"/>
    <x v="0"/>
    <x v="47"/>
    <n v="25"/>
    <x v="61"/>
    <n v="0.41666666666666669"/>
    <x v="20"/>
    <x v="9"/>
  </r>
  <r>
    <x v="1"/>
    <x v="3"/>
    <s v="Internal Price Match"/>
    <x v="1"/>
    <x v="15"/>
    <n v="40"/>
    <x v="61"/>
    <n v="0.66666666666666663"/>
    <x v="20"/>
    <x v="9"/>
  </r>
  <r>
    <x v="1"/>
    <x v="3"/>
    <s v="FBA reconciliation Update"/>
    <x v="3"/>
    <x v="51"/>
    <n v="40"/>
    <x v="61"/>
    <n v="0.66666666666666663"/>
    <x v="20"/>
    <x v="9"/>
  </r>
  <r>
    <x v="1"/>
    <x v="8"/>
    <s v="Price Review"/>
    <x v="1"/>
    <x v="8"/>
    <n v="30"/>
    <x v="61"/>
    <n v="0.5"/>
    <x v="20"/>
    <x v="9"/>
  </r>
  <r>
    <x v="1"/>
    <x v="5"/>
    <s v="Listing Optimization"/>
    <x v="1"/>
    <x v="5"/>
    <n v="35"/>
    <x v="61"/>
    <n v="0.58333333333333337"/>
    <x v="20"/>
    <x v="9"/>
  </r>
  <r>
    <x v="1"/>
    <x v="3"/>
    <s v="FBA Stock Review"/>
    <x v="1"/>
    <x v="8"/>
    <n v="30"/>
    <x v="61"/>
    <n v="0.5"/>
    <x v="20"/>
    <x v="9"/>
  </r>
  <r>
    <x v="1"/>
    <x v="12"/>
    <s v="Getflow"/>
    <x v="0"/>
    <x v="8"/>
    <n v="30"/>
    <x v="61"/>
    <n v="0.5"/>
    <x v="20"/>
    <x v="9"/>
  </r>
  <r>
    <x v="1"/>
    <x v="12"/>
    <s v="Internal Price Match"/>
    <x v="1"/>
    <x v="8"/>
    <n v="75"/>
    <x v="61"/>
    <n v="1.25"/>
    <x v="20"/>
    <x v="9"/>
  </r>
  <r>
    <x v="1"/>
    <x v="12"/>
    <s v="ALL OTHER MARKETPLACE SYNCHING STATUS"/>
    <x v="1"/>
    <x v="52"/>
    <n v="25"/>
    <x v="61"/>
    <n v="0.41666666666666669"/>
    <x v="20"/>
    <x v="9"/>
  </r>
  <r>
    <x v="0"/>
    <x v="6"/>
    <s v="AHS Sheet Update"/>
    <x v="0"/>
    <x v="7"/>
    <n v="60"/>
    <x v="62"/>
    <n v="1"/>
    <x v="21"/>
    <x v="8"/>
  </r>
  <r>
    <x v="0"/>
    <x v="0"/>
    <s v="Mapped Listing buy box and Automated pricing"/>
    <x v="0"/>
    <x v="8"/>
    <n v="30"/>
    <x v="62"/>
    <n v="0.5"/>
    <x v="21"/>
    <x v="8"/>
  </r>
  <r>
    <x v="0"/>
    <x v="18"/>
    <s v="Team Meeting"/>
    <x v="0"/>
    <x v="9"/>
    <n v="20"/>
    <x v="62"/>
    <n v="0.33333333333333331"/>
    <x v="21"/>
    <x v="8"/>
  </r>
  <r>
    <x v="0"/>
    <x v="0"/>
    <s v="Daily Stock Update"/>
    <x v="0"/>
    <x v="3"/>
    <n v="90"/>
    <x v="62"/>
    <n v="1.5"/>
    <x v="21"/>
    <x v="8"/>
  </r>
  <r>
    <x v="0"/>
    <x v="1"/>
    <s v="QC"/>
    <x v="1"/>
    <x v="8"/>
    <n v="45"/>
    <x v="62"/>
    <n v="0.75"/>
    <x v="21"/>
    <x v="8"/>
  </r>
  <r>
    <x v="0"/>
    <x v="1"/>
    <s v="Account Management"/>
    <x v="1"/>
    <x v="0"/>
    <n v="20"/>
    <x v="62"/>
    <n v="0.33333333333333331"/>
    <x v="21"/>
    <x v="8"/>
  </r>
  <r>
    <x v="0"/>
    <x v="0"/>
    <s v="Account Management"/>
    <x v="1"/>
    <x v="0"/>
    <n v="90"/>
    <x v="62"/>
    <n v="1.5"/>
    <x v="21"/>
    <x v="8"/>
  </r>
  <r>
    <x v="0"/>
    <x v="1"/>
    <s v="Invoice Price Monitor"/>
    <x v="0"/>
    <x v="4"/>
    <n v="150"/>
    <x v="62"/>
    <n v="2.5"/>
    <x v="21"/>
    <x v="8"/>
  </r>
  <r>
    <x v="1"/>
    <x v="3"/>
    <s v="Getflow"/>
    <x v="1"/>
    <x v="8"/>
    <n v="35"/>
    <x v="62"/>
    <n v="0.58333333333333337"/>
    <x v="21"/>
    <x v="8"/>
  </r>
  <r>
    <x v="1"/>
    <x v="7"/>
    <s v="Team Meeting"/>
    <x v="0"/>
    <x v="9"/>
    <n v="25"/>
    <x v="62"/>
    <n v="0.41666666666666669"/>
    <x v="21"/>
    <x v="8"/>
  </r>
  <r>
    <x v="1"/>
    <x v="5"/>
    <s v="Category Sorting"/>
    <x v="1"/>
    <x v="21"/>
    <n v="110"/>
    <x v="62"/>
    <n v="1.8333333333333333"/>
    <x v="21"/>
    <x v="8"/>
  </r>
  <r>
    <x v="1"/>
    <x v="14"/>
    <s v="Client Meeting"/>
    <x v="1"/>
    <x v="17"/>
    <n v="25"/>
    <x v="62"/>
    <n v="0.41666666666666669"/>
    <x v="21"/>
    <x v="8"/>
  </r>
  <r>
    <x v="1"/>
    <x v="5"/>
    <s v="New Listing"/>
    <x v="1"/>
    <x v="8"/>
    <n v="35"/>
    <x v="62"/>
    <n v="0.58333333333333337"/>
    <x v="21"/>
    <x v="8"/>
  </r>
  <r>
    <x v="1"/>
    <x v="3"/>
    <s v="Free Assembly/Paid Assembly"/>
    <x v="1"/>
    <x v="34"/>
    <n v="25"/>
    <x v="62"/>
    <n v="0.41666666666666669"/>
    <x v="21"/>
    <x v="8"/>
  </r>
  <r>
    <x v="1"/>
    <x v="3"/>
    <s v="Daily Stock Update"/>
    <x v="0"/>
    <x v="3"/>
    <n v="110"/>
    <x v="62"/>
    <n v="1.8333333333333333"/>
    <x v="21"/>
    <x v="8"/>
  </r>
  <r>
    <x v="1"/>
    <x v="5"/>
    <s v="Category Sorting"/>
    <x v="1"/>
    <x v="21"/>
    <n v="20"/>
    <x v="62"/>
    <n v="0.33333333333333331"/>
    <x v="21"/>
    <x v="8"/>
  </r>
  <r>
    <x v="1"/>
    <x v="5"/>
    <s v="Monday"/>
    <x v="3"/>
    <x v="8"/>
    <n v="45"/>
    <x v="62"/>
    <n v="0.75"/>
    <x v="21"/>
    <x v="8"/>
  </r>
  <r>
    <x v="1"/>
    <x v="3"/>
    <s v="Stock Review"/>
    <x v="1"/>
    <x v="8"/>
    <n v="35"/>
    <x v="62"/>
    <n v="0.58333333333333337"/>
    <x v="21"/>
    <x v="8"/>
  </r>
  <r>
    <x v="1"/>
    <x v="8"/>
    <s v="Price Review"/>
    <x v="1"/>
    <x v="8"/>
    <n v="30"/>
    <x v="62"/>
    <n v="0.5"/>
    <x v="21"/>
    <x v="8"/>
  </r>
  <r>
    <x v="1"/>
    <x v="9"/>
    <s v="Stock Update"/>
    <x v="1"/>
    <x v="3"/>
    <n v="20"/>
    <x v="62"/>
    <n v="0.33333333333333331"/>
    <x v="21"/>
    <x v="8"/>
  </r>
  <r>
    <x v="0"/>
    <x v="7"/>
    <s v="Team Meeting"/>
    <x v="0"/>
    <x v="9"/>
    <n v="20"/>
    <x v="63"/>
    <n v="0.33333333333333331"/>
    <x v="20"/>
    <x v="9"/>
  </r>
  <r>
    <x v="0"/>
    <x v="6"/>
    <s v="AHS Sheet Update"/>
    <x v="0"/>
    <x v="7"/>
    <n v="60"/>
    <x v="63"/>
    <n v="1"/>
    <x v="20"/>
    <x v="9"/>
  </r>
  <r>
    <x v="0"/>
    <x v="0"/>
    <s v="Mapped Listing buy box and Automated pricing"/>
    <x v="0"/>
    <x v="8"/>
    <n v="40"/>
    <x v="63"/>
    <n v="0.66666666666666663"/>
    <x v="20"/>
    <x v="9"/>
  </r>
  <r>
    <x v="0"/>
    <x v="10"/>
    <s v="Price Match"/>
    <x v="1"/>
    <x v="0"/>
    <n v="60"/>
    <x v="63"/>
    <n v="1"/>
    <x v="20"/>
    <x v="9"/>
  </r>
  <r>
    <x v="0"/>
    <x v="1"/>
    <s v="Invoice Price Monitor"/>
    <x v="0"/>
    <x v="4"/>
    <n v="200"/>
    <x v="63"/>
    <n v="3.3333333333333335"/>
    <x v="20"/>
    <x v="9"/>
  </r>
  <r>
    <x v="0"/>
    <x v="0"/>
    <s v="USA-Reviews not meeting Amazon guidelines"/>
    <x v="2"/>
    <x v="8"/>
    <n v="100"/>
    <x v="63"/>
    <n v="1.6666666666666667"/>
    <x v="20"/>
    <x v="9"/>
  </r>
  <r>
    <x v="1"/>
    <x v="7"/>
    <s v="Team Meeting"/>
    <x v="0"/>
    <x v="9"/>
    <n v="20"/>
    <x v="63"/>
    <n v="0.33333333333333331"/>
    <x v="20"/>
    <x v="9"/>
  </r>
  <r>
    <x v="1"/>
    <x v="9"/>
    <s v="Canada Store Stock Sheet"/>
    <x v="0"/>
    <x v="3"/>
    <n v="25"/>
    <x v="63"/>
    <n v="0.41666666666666669"/>
    <x v="20"/>
    <x v="9"/>
  </r>
  <r>
    <x v="1"/>
    <x v="3"/>
    <s v="Daily Stock Update"/>
    <x v="0"/>
    <x v="3"/>
    <n v="110"/>
    <x v="63"/>
    <n v="1.8333333333333333"/>
    <x v="20"/>
    <x v="9"/>
  </r>
  <r>
    <x v="1"/>
    <x v="3"/>
    <s v="Account Health Review"/>
    <x v="1"/>
    <x v="10"/>
    <n v="30"/>
    <x v="63"/>
    <n v="0.5"/>
    <x v="20"/>
    <x v="9"/>
  </r>
  <r>
    <x v="1"/>
    <x v="3"/>
    <s v="Weekly Feedback on SC &amp; AHS"/>
    <x v="0"/>
    <x v="47"/>
    <n v="25"/>
    <x v="63"/>
    <n v="0.41666666666666669"/>
    <x v="20"/>
    <x v="9"/>
  </r>
  <r>
    <x v="1"/>
    <x v="3"/>
    <s v="Internal Price Match"/>
    <x v="1"/>
    <x v="15"/>
    <n v="40"/>
    <x v="63"/>
    <n v="0.66666666666666663"/>
    <x v="20"/>
    <x v="9"/>
  </r>
  <r>
    <x v="1"/>
    <x v="3"/>
    <s v=" CA Remap"/>
    <x v="3"/>
    <x v="8"/>
    <n v="40"/>
    <x v="63"/>
    <n v="0.66666666666666663"/>
    <x v="20"/>
    <x v="9"/>
  </r>
  <r>
    <x v="1"/>
    <x v="14"/>
    <s v="Client Meeting"/>
    <x v="1"/>
    <x v="17"/>
    <n v="40"/>
    <x v="63"/>
    <n v="0.66666666666666663"/>
    <x v="20"/>
    <x v="9"/>
  </r>
  <r>
    <x v="1"/>
    <x v="8"/>
    <s v="Price Review"/>
    <x v="1"/>
    <x v="8"/>
    <n v="30"/>
    <x v="63"/>
    <n v="0.5"/>
    <x v="20"/>
    <x v="9"/>
  </r>
  <r>
    <x v="1"/>
    <x v="5"/>
    <s v="Listing Optimization"/>
    <x v="1"/>
    <x v="5"/>
    <n v="25"/>
    <x v="63"/>
    <n v="0.41666666666666669"/>
    <x v="20"/>
    <x v="9"/>
  </r>
  <r>
    <x v="1"/>
    <x v="3"/>
    <s v="FBA Stock Review"/>
    <x v="1"/>
    <x v="8"/>
    <n v="20"/>
    <x v="63"/>
    <n v="0.33333333333333331"/>
    <x v="20"/>
    <x v="9"/>
  </r>
  <r>
    <x v="1"/>
    <x v="12"/>
    <s v="Getflow"/>
    <x v="0"/>
    <x v="8"/>
    <n v="30"/>
    <x v="63"/>
    <n v="0.5"/>
    <x v="20"/>
    <x v="9"/>
  </r>
  <r>
    <x v="1"/>
    <x v="12"/>
    <s v="Internal Price Match"/>
    <x v="1"/>
    <x v="8"/>
    <n v="75"/>
    <x v="63"/>
    <n v="1.25"/>
    <x v="20"/>
    <x v="9"/>
  </r>
  <r>
    <x v="0"/>
    <x v="6"/>
    <s v="AHS Sheet Update"/>
    <x v="0"/>
    <x v="7"/>
    <n v="60"/>
    <x v="64"/>
    <n v="1"/>
    <x v="21"/>
    <x v="8"/>
  </r>
  <r>
    <x v="0"/>
    <x v="0"/>
    <s v="Mapped Listing buy box and Automated pricing"/>
    <x v="0"/>
    <x v="8"/>
    <n v="40"/>
    <x v="64"/>
    <n v="0.66666666666666663"/>
    <x v="21"/>
    <x v="8"/>
  </r>
  <r>
    <x v="0"/>
    <x v="18"/>
    <s v="Team Meeting"/>
    <x v="0"/>
    <x v="9"/>
    <n v="20"/>
    <x v="64"/>
    <n v="0.33333333333333331"/>
    <x v="21"/>
    <x v="8"/>
  </r>
  <r>
    <x v="0"/>
    <x v="0"/>
    <s v="Daily Stock Update"/>
    <x v="0"/>
    <x v="3"/>
    <n v="90"/>
    <x v="64"/>
    <n v="1.5"/>
    <x v="21"/>
    <x v="8"/>
  </r>
  <r>
    <x v="0"/>
    <x v="1"/>
    <s v="QC"/>
    <x v="1"/>
    <x v="8"/>
    <n v="60"/>
    <x v="64"/>
    <n v="1"/>
    <x v="21"/>
    <x v="8"/>
  </r>
  <r>
    <x v="0"/>
    <x v="0"/>
    <s v="Listing Optimization"/>
    <x v="1"/>
    <x v="5"/>
    <n v="10"/>
    <x v="64"/>
    <n v="0.16666666666666666"/>
    <x v="21"/>
    <x v="8"/>
  </r>
  <r>
    <x v="0"/>
    <x v="10"/>
    <s v="Account Management"/>
    <x v="1"/>
    <x v="0"/>
    <n v="45"/>
    <x v="64"/>
    <n v="0.75"/>
    <x v="21"/>
    <x v="8"/>
  </r>
  <r>
    <x v="0"/>
    <x v="1"/>
    <s v="Invoice Price Monitor"/>
    <x v="0"/>
    <x v="4"/>
    <n v="150"/>
    <x v="64"/>
    <n v="2.5"/>
    <x v="21"/>
    <x v="8"/>
  </r>
  <r>
    <x v="0"/>
    <x v="1"/>
    <s v="Account Management"/>
    <x v="1"/>
    <x v="0"/>
    <n v="30"/>
    <x v="64"/>
    <n v="0.5"/>
    <x v="21"/>
    <x v="8"/>
  </r>
  <r>
    <x v="1"/>
    <x v="3"/>
    <s v="Getflow"/>
    <x v="1"/>
    <x v="8"/>
    <n v="30"/>
    <x v="64"/>
    <n v="0.5"/>
    <x v="21"/>
    <x v="8"/>
  </r>
  <r>
    <x v="1"/>
    <x v="7"/>
    <s v="Team Meeting"/>
    <x v="0"/>
    <x v="9"/>
    <n v="25"/>
    <x v="64"/>
    <n v="0.41666666666666669"/>
    <x v="21"/>
    <x v="8"/>
  </r>
  <r>
    <x v="1"/>
    <x v="5"/>
    <s v="New Listing"/>
    <x v="1"/>
    <x v="8"/>
    <n v="40"/>
    <x v="64"/>
    <n v="0.66666666666666663"/>
    <x v="21"/>
    <x v="8"/>
  </r>
  <r>
    <x v="1"/>
    <x v="5"/>
    <s v="Category Sorting"/>
    <x v="1"/>
    <x v="21"/>
    <n v="95"/>
    <x v="64"/>
    <n v="1.5833333333333333"/>
    <x v="21"/>
    <x v="8"/>
  </r>
  <r>
    <x v="1"/>
    <x v="3"/>
    <s v="Free Assembly/Paid Assembly"/>
    <x v="3"/>
    <x v="34"/>
    <n v="65"/>
    <x v="64"/>
    <n v="1.0833333333333333"/>
    <x v="21"/>
    <x v="8"/>
  </r>
  <r>
    <x v="1"/>
    <x v="3"/>
    <s v="Daily Stock Update"/>
    <x v="0"/>
    <x v="3"/>
    <n v="110"/>
    <x v="64"/>
    <n v="1.8333333333333333"/>
    <x v="21"/>
    <x v="8"/>
  </r>
  <r>
    <x v="1"/>
    <x v="5"/>
    <s v="Listing Optimization"/>
    <x v="3"/>
    <x v="5"/>
    <n v="45"/>
    <x v="64"/>
    <n v="0.75"/>
    <x v="21"/>
    <x v="8"/>
  </r>
  <r>
    <x v="1"/>
    <x v="5"/>
    <s v="Monday"/>
    <x v="3"/>
    <x v="8"/>
    <n v="40"/>
    <x v="64"/>
    <n v="0.66666666666666663"/>
    <x v="21"/>
    <x v="8"/>
  </r>
  <r>
    <x v="1"/>
    <x v="3"/>
    <s v="Stock Review"/>
    <x v="1"/>
    <x v="8"/>
    <n v="35"/>
    <x v="64"/>
    <n v="0.58333333333333337"/>
    <x v="21"/>
    <x v="8"/>
  </r>
  <r>
    <x v="1"/>
    <x v="8"/>
    <s v="Price Review"/>
    <x v="1"/>
    <x v="8"/>
    <n v="30"/>
    <x v="64"/>
    <n v="0.5"/>
    <x v="21"/>
    <x v="8"/>
  </r>
  <r>
    <x v="0"/>
    <x v="7"/>
    <s v="Team Meeting"/>
    <x v="0"/>
    <x v="9"/>
    <n v="20"/>
    <x v="65"/>
    <n v="0.33333333333333331"/>
    <x v="20"/>
    <x v="9"/>
  </r>
  <r>
    <x v="0"/>
    <x v="6"/>
    <s v="AHS Sheet Update"/>
    <x v="0"/>
    <x v="7"/>
    <n v="60"/>
    <x v="65"/>
    <n v="1"/>
    <x v="20"/>
    <x v="9"/>
  </r>
  <r>
    <x v="0"/>
    <x v="0"/>
    <s v="Mapped Listing buy box and Automated pricing"/>
    <x v="0"/>
    <x v="8"/>
    <n v="40"/>
    <x v="65"/>
    <n v="0.66666666666666663"/>
    <x v="20"/>
    <x v="9"/>
  </r>
  <r>
    <x v="0"/>
    <x v="10"/>
    <s v="Price Match"/>
    <x v="1"/>
    <x v="0"/>
    <n v="60"/>
    <x v="65"/>
    <n v="1"/>
    <x v="20"/>
    <x v="9"/>
  </r>
  <r>
    <x v="0"/>
    <x v="1"/>
    <s v="Invoice Price Monitor"/>
    <x v="0"/>
    <x v="4"/>
    <n v="200"/>
    <x v="65"/>
    <n v="3.3333333333333335"/>
    <x v="20"/>
    <x v="9"/>
  </r>
  <r>
    <x v="0"/>
    <x v="0"/>
    <s v="USA-Reviews not meeting Amazon guidelines"/>
    <x v="2"/>
    <x v="8"/>
    <n v="100"/>
    <x v="65"/>
    <n v="1.6666666666666667"/>
    <x v="20"/>
    <x v="9"/>
  </r>
  <r>
    <x v="0"/>
    <x v="0"/>
    <s v="Daily Stock Update"/>
    <x v="0"/>
    <x v="3"/>
    <n v="90"/>
    <x v="65"/>
    <n v="1.5"/>
    <x v="20"/>
    <x v="9"/>
  </r>
  <r>
    <x v="1"/>
    <x v="7"/>
    <s v="Team Meeting"/>
    <x v="0"/>
    <x v="9"/>
    <n v="20"/>
    <x v="65"/>
    <n v="0.33333333333333331"/>
    <x v="20"/>
    <x v="9"/>
  </r>
  <r>
    <x v="1"/>
    <x v="9"/>
    <s v="Canada Store Stock Sheet"/>
    <x v="0"/>
    <x v="3"/>
    <n v="25"/>
    <x v="65"/>
    <n v="0.41666666666666669"/>
    <x v="20"/>
    <x v="9"/>
  </r>
  <r>
    <x v="1"/>
    <x v="3"/>
    <s v="Daily Stock Update"/>
    <x v="0"/>
    <x v="3"/>
    <n v="110"/>
    <x v="65"/>
    <n v="1.8333333333333333"/>
    <x v="20"/>
    <x v="9"/>
  </r>
  <r>
    <x v="1"/>
    <x v="3"/>
    <s v="Account Health Review"/>
    <x v="1"/>
    <x v="10"/>
    <n v="30"/>
    <x v="65"/>
    <n v="0.5"/>
    <x v="20"/>
    <x v="9"/>
  </r>
  <r>
    <x v="1"/>
    <x v="3"/>
    <s v="Weekly Feedback on SC &amp; AHS"/>
    <x v="0"/>
    <x v="47"/>
    <n v="25"/>
    <x v="65"/>
    <n v="0.41666666666666669"/>
    <x v="20"/>
    <x v="9"/>
  </r>
  <r>
    <x v="1"/>
    <x v="3"/>
    <s v="Internal Price Match"/>
    <x v="3"/>
    <x v="15"/>
    <n v="40"/>
    <x v="65"/>
    <n v="0.66666666666666663"/>
    <x v="20"/>
    <x v="9"/>
  </r>
  <r>
    <x v="1"/>
    <x v="3"/>
    <s v=" CA Remap"/>
    <x v="0"/>
    <x v="12"/>
    <n v="40"/>
    <x v="65"/>
    <n v="0.66666666666666663"/>
    <x v="20"/>
    <x v="9"/>
  </r>
  <r>
    <x v="1"/>
    <x v="3"/>
    <s v=" CA Remap"/>
    <x v="0"/>
    <x v="8"/>
    <n v="40"/>
    <x v="65"/>
    <n v="0.66666666666666663"/>
    <x v="20"/>
    <x v="9"/>
  </r>
  <r>
    <x v="1"/>
    <x v="3"/>
    <s v="Listing Optimization"/>
    <x v="1"/>
    <x v="5"/>
    <n v="25"/>
    <x v="65"/>
    <n v="0.41666666666666669"/>
    <x v="20"/>
    <x v="9"/>
  </r>
  <r>
    <x v="1"/>
    <x v="8"/>
    <s v="Price Review"/>
    <x v="1"/>
    <x v="8"/>
    <n v="30"/>
    <x v="65"/>
    <n v="0.5"/>
    <x v="20"/>
    <x v="9"/>
  </r>
  <r>
    <x v="1"/>
    <x v="5"/>
    <s v="Stock Review"/>
    <x v="3"/>
    <x v="8"/>
    <n v="25"/>
    <x v="65"/>
    <n v="0.41666666666666669"/>
    <x v="20"/>
    <x v="9"/>
  </r>
  <r>
    <x v="1"/>
    <x v="3"/>
    <s v="FBA Reconciliation update"/>
    <x v="2"/>
    <x v="51"/>
    <n v="40"/>
    <x v="65"/>
    <n v="0.66666666666666663"/>
    <x v="20"/>
    <x v="9"/>
  </r>
  <r>
    <x v="1"/>
    <x v="3"/>
    <s v="A+ Content"/>
    <x v="1"/>
    <x v="8"/>
    <n v="20"/>
    <x v="65"/>
    <n v="0.33333333333333331"/>
    <x v="20"/>
    <x v="9"/>
  </r>
  <r>
    <x v="1"/>
    <x v="12"/>
    <s v="Getflow"/>
    <x v="0"/>
    <x v="8"/>
    <n v="30"/>
    <x v="65"/>
    <n v="0.5"/>
    <x v="20"/>
    <x v="9"/>
  </r>
  <r>
    <x v="1"/>
    <x v="12"/>
    <s v="Internal Price Match"/>
    <x v="3"/>
    <x v="8"/>
    <n v="75"/>
    <x v="65"/>
    <n v="1.25"/>
    <x v="20"/>
    <x v="9"/>
  </r>
  <r>
    <x v="1"/>
    <x v="3"/>
    <s v="Getflow"/>
    <x v="0"/>
    <x v="8"/>
    <n v="30"/>
    <x v="66"/>
    <n v="0.5"/>
    <x v="21"/>
    <x v="8"/>
  </r>
  <r>
    <x v="1"/>
    <x v="7"/>
    <s v="Team Meeting"/>
    <x v="0"/>
    <x v="9"/>
    <n v="25"/>
    <x v="66"/>
    <n v="0.41666666666666669"/>
    <x v="21"/>
    <x v="8"/>
  </r>
  <r>
    <x v="1"/>
    <x v="5"/>
    <s v="Listing Optimization"/>
    <x v="1"/>
    <x v="5"/>
    <n v="35"/>
    <x v="66"/>
    <n v="0.58333333333333337"/>
    <x v="21"/>
    <x v="8"/>
  </r>
  <r>
    <x v="1"/>
    <x v="5"/>
    <s v="Category Sorting"/>
    <x v="1"/>
    <x v="21"/>
    <n v="40"/>
    <x v="66"/>
    <n v="0.66666666666666663"/>
    <x v="21"/>
    <x v="8"/>
  </r>
  <r>
    <x v="1"/>
    <x v="3"/>
    <s v="Customer Product Reviews Policy Violations"/>
    <x v="3"/>
    <x v="53"/>
    <n v="30"/>
    <x v="66"/>
    <n v="0.5"/>
    <x v="21"/>
    <x v="8"/>
  </r>
  <r>
    <x v="1"/>
    <x v="3"/>
    <s v="Daily Stock Update"/>
    <x v="0"/>
    <x v="3"/>
    <n v="110"/>
    <x v="66"/>
    <n v="1.8333333333333333"/>
    <x v="21"/>
    <x v="8"/>
  </r>
  <r>
    <x v="1"/>
    <x v="3"/>
    <s v=" CA Remap"/>
    <x v="0"/>
    <x v="12"/>
    <n v="40"/>
    <x v="66"/>
    <n v="0.66666666666666663"/>
    <x v="21"/>
    <x v="8"/>
  </r>
  <r>
    <x v="1"/>
    <x v="3"/>
    <s v=" CA Remap"/>
    <x v="3"/>
    <x v="12"/>
    <n v="40"/>
    <x v="66"/>
    <n v="0.66666666666666663"/>
    <x v="21"/>
    <x v="8"/>
  </r>
  <r>
    <x v="1"/>
    <x v="3"/>
    <s v="A+ Content"/>
    <x v="1"/>
    <x v="8"/>
    <n v="30"/>
    <x v="66"/>
    <n v="0.5"/>
    <x v="21"/>
    <x v="8"/>
  </r>
  <r>
    <x v="1"/>
    <x v="3"/>
    <s v="Fall 'n' Autumn Sale Sheet Update"/>
    <x v="1"/>
    <x v="54"/>
    <n v="35"/>
    <x v="66"/>
    <n v="0.58333333333333337"/>
    <x v="21"/>
    <x v="8"/>
  </r>
  <r>
    <x v="1"/>
    <x v="8"/>
    <s v="Price Review"/>
    <x v="1"/>
    <x v="8"/>
    <n v="30"/>
    <x v="66"/>
    <n v="0.5"/>
    <x v="21"/>
    <x v="8"/>
  </r>
  <r>
    <x v="1"/>
    <x v="5"/>
    <s v="Listing Optimization"/>
    <x v="1"/>
    <x v="8"/>
    <n v="40"/>
    <x v="66"/>
    <n v="0.66666666666666663"/>
    <x v="21"/>
    <x v="8"/>
  </r>
  <r>
    <x v="1"/>
    <x v="9"/>
    <s v="Stock Update"/>
    <x v="1"/>
    <x v="3"/>
    <n v="35"/>
    <x v="66"/>
    <n v="0.58333333333333337"/>
    <x v="21"/>
    <x v="8"/>
  </r>
  <r>
    <x v="0"/>
    <x v="6"/>
    <s v="AHS Sheet Update"/>
    <x v="0"/>
    <x v="7"/>
    <n v="60"/>
    <x v="66"/>
    <n v="1"/>
    <x v="21"/>
    <x v="8"/>
  </r>
  <r>
    <x v="0"/>
    <x v="0"/>
    <s v="Mapped Listing buy box and Automated pricing"/>
    <x v="0"/>
    <x v="8"/>
    <n v="30"/>
    <x v="66"/>
    <n v="0.5"/>
    <x v="21"/>
    <x v="8"/>
  </r>
  <r>
    <x v="0"/>
    <x v="18"/>
    <s v="Team Meeting"/>
    <x v="0"/>
    <x v="9"/>
    <n v="20"/>
    <x v="66"/>
    <n v="0.33333333333333331"/>
    <x v="21"/>
    <x v="8"/>
  </r>
  <r>
    <x v="0"/>
    <x v="0"/>
    <s v="Daily Stock Update"/>
    <x v="0"/>
    <x v="3"/>
    <n v="90"/>
    <x v="66"/>
    <n v="1.5"/>
    <x v="21"/>
    <x v="8"/>
  </r>
  <r>
    <x v="0"/>
    <x v="1"/>
    <s v="Listing Optimization"/>
    <x v="1"/>
    <x v="5"/>
    <n v="45"/>
    <x v="66"/>
    <n v="0.75"/>
    <x v="21"/>
    <x v="8"/>
  </r>
  <r>
    <x v="0"/>
    <x v="1"/>
    <s v="Listing Optimization"/>
    <x v="1"/>
    <x v="5"/>
    <n v="120"/>
    <x v="66"/>
    <n v="2"/>
    <x v="21"/>
    <x v="8"/>
  </r>
  <r>
    <x v="0"/>
    <x v="1"/>
    <s v="Invoice Price Monitor"/>
    <x v="0"/>
    <x v="4"/>
    <n v="120"/>
    <x v="66"/>
    <n v="2"/>
    <x v="21"/>
    <x v="8"/>
  </r>
  <r>
    <x v="0"/>
    <x v="7"/>
    <s v="Team Meeting"/>
    <x v="0"/>
    <x v="9"/>
    <n v="20"/>
    <x v="67"/>
    <n v="0.33333333333333331"/>
    <x v="20"/>
    <x v="9"/>
  </r>
  <r>
    <x v="0"/>
    <x v="6"/>
    <s v="AHS Sheet Update"/>
    <x v="0"/>
    <x v="7"/>
    <n v="60"/>
    <x v="67"/>
    <n v="1"/>
    <x v="20"/>
    <x v="9"/>
  </r>
  <r>
    <x v="0"/>
    <x v="0"/>
    <s v="Mapped Listing buy box and Automated pricing"/>
    <x v="0"/>
    <x v="8"/>
    <n v="50"/>
    <x v="67"/>
    <n v="0.83333333333333337"/>
    <x v="20"/>
    <x v="9"/>
  </r>
  <r>
    <x v="0"/>
    <x v="10"/>
    <s v="Price Match"/>
    <x v="1"/>
    <x v="0"/>
    <n v="60"/>
    <x v="67"/>
    <n v="1"/>
    <x v="20"/>
    <x v="9"/>
  </r>
  <r>
    <x v="0"/>
    <x v="1"/>
    <s v="Invoice Price Monitor"/>
    <x v="0"/>
    <x v="4"/>
    <n v="200"/>
    <x v="67"/>
    <n v="3.3333333333333335"/>
    <x v="20"/>
    <x v="9"/>
  </r>
  <r>
    <x v="0"/>
    <x v="0"/>
    <s v="USA-Reviews not meeting Amazon guidelines"/>
    <x v="2"/>
    <x v="8"/>
    <n v="100"/>
    <x v="67"/>
    <n v="1.6666666666666667"/>
    <x v="20"/>
    <x v="9"/>
  </r>
  <r>
    <x v="0"/>
    <x v="0"/>
    <s v="Daily Stock Update"/>
    <x v="0"/>
    <x v="3"/>
    <n v="90"/>
    <x v="67"/>
    <n v="1.5"/>
    <x v="20"/>
    <x v="9"/>
  </r>
  <r>
    <x v="1"/>
    <x v="7"/>
    <s v="Team Meeting"/>
    <x v="0"/>
    <x v="9"/>
    <n v="20"/>
    <x v="67"/>
    <n v="0.33333333333333331"/>
    <x v="20"/>
    <x v="9"/>
  </r>
  <r>
    <x v="1"/>
    <x v="9"/>
    <s v="Canada Store Stock Sheet"/>
    <x v="0"/>
    <x v="3"/>
    <n v="25"/>
    <x v="67"/>
    <n v="0.41666666666666669"/>
    <x v="20"/>
    <x v="9"/>
  </r>
  <r>
    <x v="1"/>
    <x v="3"/>
    <s v="Daily Stock Update"/>
    <x v="0"/>
    <x v="3"/>
    <n v="90"/>
    <x v="67"/>
    <n v="1.5"/>
    <x v="20"/>
    <x v="9"/>
  </r>
  <r>
    <x v="1"/>
    <x v="3"/>
    <s v="Account Health Review"/>
    <x v="1"/>
    <x v="10"/>
    <n v="30"/>
    <x v="67"/>
    <n v="0.5"/>
    <x v="20"/>
    <x v="9"/>
  </r>
  <r>
    <x v="1"/>
    <x v="3"/>
    <s v="Weekly Feedback on SC &amp; AHS"/>
    <x v="0"/>
    <x v="47"/>
    <n v="25"/>
    <x v="67"/>
    <n v="0.41666666666666669"/>
    <x v="20"/>
    <x v="9"/>
  </r>
  <r>
    <x v="1"/>
    <x v="3"/>
    <s v="Internal Price Match"/>
    <x v="3"/>
    <x v="15"/>
    <n v="75"/>
    <x v="67"/>
    <n v="1.25"/>
    <x v="20"/>
    <x v="9"/>
  </r>
  <r>
    <x v="1"/>
    <x v="3"/>
    <s v="MFN Reconciliation Sheet"/>
    <x v="2"/>
    <x v="11"/>
    <n v="40"/>
    <x v="67"/>
    <n v="0.66666666666666663"/>
    <x v="20"/>
    <x v="9"/>
  </r>
  <r>
    <x v="1"/>
    <x v="3"/>
    <s v="Listing Optimization"/>
    <x v="0"/>
    <x v="8"/>
    <n v="20"/>
    <x v="67"/>
    <n v="0.33333333333333331"/>
    <x v="20"/>
    <x v="9"/>
  </r>
  <r>
    <x v="1"/>
    <x v="8"/>
    <s v="Price Review"/>
    <x v="1"/>
    <x v="8"/>
    <n v="30"/>
    <x v="67"/>
    <n v="0.5"/>
    <x v="20"/>
    <x v="9"/>
  </r>
  <r>
    <x v="1"/>
    <x v="5"/>
    <s v="Stock Review"/>
    <x v="3"/>
    <x v="8"/>
    <n v="25"/>
    <x v="67"/>
    <n v="0.41666666666666669"/>
    <x v="20"/>
    <x v="9"/>
  </r>
  <r>
    <x v="1"/>
    <x v="3"/>
    <s v="FBA Reconciliation update"/>
    <x v="2"/>
    <x v="51"/>
    <n v="40"/>
    <x v="67"/>
    <n v="0.66666666666666663"/>
    <x v="20"/>
    <x v="9"/>
  </r>
  <r>
    <x v="1"/>
    <x v="12"/>
    <s v="Getflow"/>
    <x v="0"/>
    <x v="8"/>
    <n v="30"/>
    <x v="67"/>
    <n v="0.5"/>
    <x v="20"/>
    <x v="9"/>
  </r>
  <r>
    <x v="1"/>
    <x v="12"/>
    <s v="Internal Price Match"/>
    <x v="3"/>
    <x v="15"/>
    <n v="30"/>
    <x v="67"/>
    <n v="0.5"/>
    <x v="20"/>
    <x v="9"/>
  </r>
  <r>
    <x v="1"/>
    <x v="12"/>
    <s v="Task Priority Sheet"/>
    <x v="1"/>
    <x v="25"/>
    <n v="20"/>
    <x v="67"/>
    <n v="0.33333333333333331"/>
    <x v="20"/>
    <x v="9"/>
  </r>
  <r>
    <x v="0"/>
    <x v="6"/>
    <s v="AHS Sheet Update"/>
    <x v="0"/>
    <x v="7"/>
    <n v="60"/>
    <x v="68"/>
    <n v="1"/>
    <x v="21"/>
    <x v="8"/>
  </r>
  <r>
    <x v="0"/>
    <x v="0"/>
    <s v="Mapped Listing buy box and Automated pricing"/>
    <x v="0"/>
    <x v="8"/>
    <n v="45"/>
    <x v="68"/>
    <n v="0.75"/>
    <x v="21"/>
    <x v="8"/>
  </r>
  <r>
    <x v="0"/>
    <x v="18"/>
    <s v="Team Meeting"/>
    <x v="0"/>
    <x v="9"/>
    <n v="20"/>
    <x v="68"/>
    <n v="0.33333333333333331"/>
    <x v="21"/>
    <x v="8"/>
  </r>
  <r>
    <x v="0"/>
    <x v="0"/>
    <s v="Daily Stock Update"/>
    <x v="0"/>
    <x v="3"/>
    <n v="90"/>
    <x v="68"/>
    <n v="1.5"/>
    <x v="21"/>
    <x v="8"/>
  </r>
  <r>
    <x v="0"/>
    <x v="1"/>
    <s v="Listing Optimization"/>
    <x v="1"/>
    <x v="5"/>
    <n v="80"/>
    <x v="68"/>
    <n v="1.3333333333333333"/>
    <x v="21"/>
    <x v="8"/>
  </r>
  <r>
    <x v="0"/>
    <x v="1"/>
    <s v="Invoice Price Monitor"/>
    <x v="0"/>
    <x v="4"/>
    <n v="200"/>
    <x v="68"/>
    <n v="3.3333333333333335"/>
    <x v="21"/>
    <x v="8"/>
  </r>
  <r>
    <x v="1"/>
    <x v="3"/>
    <s v="Getflow"/>
    <x v="0"/>
    <x v="8"/>
    <n v="30"/>
    <x v="68"/>
    <n v="0.5"/>
    <x v="21"/>
    <x v="8"/>
  </r>
  <r>
    <x v="1"/>
    <x v="7"/>
    <s v="Team Meeting"/>
    <x v="0"/>
    <x v="9"/>
    <n v="25"/>
    <x v="68"/>
    <n v="0.41666666666666669"/>
    <x v="21"/>
    <x v="8"/>
  </r>
  <r>
    <x v="1"/>
    <x v="5"/>
    <s v="Listing Optimization"/>
    <x v="1"/>
    <x v="5"/>
    <n v="35"/>
    <x v="68"/>
    <n v="0.58333333333333337"/>
    <x v="21"/>
    <x v="8"/>
  </r>
  <r>
    <x v="1"/>
    <x v="3"/>
    <s v=" CA Remap"/>
    <x v="3"/>
    <x v="12"/>
    <n v="25"/>
    <x v="68"/>
    <n v="0.41666666666666669"/>
    <x v="21"/>
    <x v="8"/>
  </r>
  <r>
    <x v="1"/>
    <x v="3"/>
    <s v=" CA Remap"/>
    <x v="0"/>
    <x v="8"/>
    <n v="30"/>
    <x v="68"/>
    <n v="0.5"/>
    <x v="21"/>
    <x v="8"/>
  </r>
  <r>
    <x v="1"/>
    <x v="3"/>
    <s v="Customer Product Reviews Policy Violations"/>
    <x v="1"/>
    <x v="53"/>
    <n v="40"/>
    <x v="68"/>
    <n v="0.66666666666666663"/>
    <x v="21"/>
    <x v="8"/>
  </r>
  <r>
    <x v="1"/>
    <x v="3"/>
    <s v="Daily Stock Update"/>
    <x v="0"/>
    <x v="3"/>
    <n v="95"/>
    <x v="68"/>
    <n v="1.5833333333333333"/>
    <x v="21"/>
    <x v="8"/>
  </r>
  <r>
    <x v="1"/>
    <x v="3"/>
    <s v=" CA Remap"/>
    <x v="0"/>
    <x v="12"/>
    <n v="65"/>
    <x v="68"/>
    <n v="1.0833333333333333"/>
    <x v="21"/>
    <x v="8"/>
  </r>
  <r>
    <x v="1"/>
    <x v="3"/>
    <s v="FBA Orders -Return Process"/>
    <x v="3"/>
    <x v="19"/>
    <n v="30"/>
    <x v="68"/>
    <n v="0.5"/>
    <x v="21"/>
    <x v="8"/>
  </r>
  <r>
    <x v="1"/>
    <x v="3"/>
    <s v="FBA Reconciliation Sheet"/>
    <x v="2"/>
    <x v="14"/>
    <n v="35"/>
    <x v="68"/>
    <n v="0.58333333333333337"/>
    <x v="21"/>
    <x v="8"/>
  </r>
  <r>
    <x v="1"/>
    <x v="8"/>
    <s v="Price Review"/>
    <x v="1"/>
    <x v="8"/>
    <n v="30"/>
    <x v="68"/>
    <n v="0.5"/>
    <x v="21"/>
    <x v="8"/>
  </r>
  <r>
    <x v="1"/>
    <x v="3"/>
    <s v="Listing Optimization"/>
    <x v="1"/>
    <x v="5"/>
    <n v="35"/>
    <x v="68"/>
    <n v="0.58333333333333337"/>
    <x v="21"/>
    <x v="8"/>
  </r>
  <r>
    <x v="1"/>
    <x v="9"/>
    <s v="Stock Update"/>
    <x v="1"/>
    <x v="3"/>
    <n v="45"/>
    <x v="68"/>
    <n v="0.75"/>
    <x v="21"/>
    <x v="8"/>
  </r>
  <r>
    <x v="0"/>
    <x v="7"/>
    <s v="Team Meeting"/>
    <x v="0"/>
    <x v="9"/>
    <n v="20"/>
    <x v="69"/>
    <n v="0.33333333333333331"/>
    <x v="22"/>
    <x v="9"/>
  </r>
  <r>
    <x v="0"/>
    <x v="6"/>
    <s v="AHS Sheet Update"/>
    <x v="0"/>
    <x v="7"/>
    <n v="60"/>
    <x v="69"/>
    <n v="1"/>
    <x v="22"/>
    <x v="9"/>
  </r>
  <r>
    <x v="0"/>
    <x v="0"/>
    <s v="Mapped Listing buy box and Automated pricing"/>
    <x v="0"/>
    <x v="8"/>
    <n v="20"/>
    <x v="69"/>
    <n v="0.33333333333333331"/>
    <x v="22"/>
    <x v="9"/>
  </r>
  <r>
    <x v="0"/>
    <x v="16"/>
    <s v="External Price Match"/>
    <x v="1"/>
    <x v="0"/>
    <n v="20"/>
    <x v="69"/>
    <n v="0.33333333333333331"/>
    <x v="22"/>
    <x v="9"/>
  </r>
  <r>
    <x v="0"/>
    <x v="17"/>
    <s v="External Price Match"/>
    <x v="1"/>
    <x v="0"/>
    <n v="20"/>
    <x v="69"/>
    <n v="0.33333333333333331"/>
    <x v="22"/>
    <x v="9"/>
  </r>
  <r>
    <x v="0"/>
    <x v="8"/>
    <s v="External Price Match"/>
    <x v="1"/>
    <x v="0"/>
    <n v="20"/>
    <x v="69"/>
    <n v="0.33333333333333331"/>
    <x v="22"/>
    <x v="9"/>
  </r>
  <r>
    <x v="0"/>
    <x v="24"/>
    <s v="External Price Match"/>
    <x v="1"/>
    <x v="0"/>
    <n v="20"/>
    <x v="69"/>
    <n v="0.33333333333333331"/>
    <x v="22"/>
    <x v="9"/>
  </r>
  <r>
    <x v="0"/>
    <x v="1"/>
    <s v="Invoice Price Monitor"/>
    <x v="0"/>
    <x v="4"/>
    <n v="150"/>
    <x v="69"/>
    <n v="2.5"/>
    <x v="22"/>
    <x v="9"/>
  </r>
  <r>
    <x v="0"/>
    <x v="1"/>
    <s v="Client Meeting"/>
    <x v="3"/>
    <x v="17"/>
    <n v="80"/>
    <x v="69"/>
    <n v="1.3333333333333333"/>
    <x v="22"/>
    <x v="9"/>
  </r>
  <r>
    <x v="0"/>
    <x v="0"/>
    <s v="Daily Stock Update"/>
    <x v="0"/>
    <x v="3"/>
    <n v="90"/>
    <x v="69"/>
    <n v="1.5"/>
    <x v="22"/>
    <x v="9"/>
  </r>
  <r>
    <x v="1"/>
    <x v="7"/>
    <s v="Team Meeting"/>
    <x v="0"/>
    <x v="9"/>
    <n v="20"/>
    <x v="69"/>
    <n v="0.33333333333333331"/>
    <x v="22"/>
    <x v="9"/>
  </r>
  <r>
    <x v="1"/>
    <x v="3"/>
    <s v="Internal Price Match"/>
    <x v="3"/>
    <x v="15"/>
    <n v="75"/>
    <x v="69"/>
    <n v="1.25"/>
    <x v="22"/>
    <x v="9"/>
  </r>
  <r>
    <x v="1"/>
    <x v="9"/>
    <s v="Canada Store Stock Sheet"/>
    <x v="0"/>
    <x v="3"/>
    <n v="25"/>
    <x v="69"/>
    <n v="0.41666666666666669"/>
    <x v="22"/>
    <x v="9"/>
  </r>
  <r>
    <x v="1"/>
    <x v="3"/>
    <s v="Daily Stock Update"/>
    <x v="0"/>
    <x v="3"/>
    <n v="90"/>
    <x v="69"/>
    <n v="1.5"/>
    <x v="22"/>
    <x v="9"/>
  </r>
  <r>
    <x v="1"/>
    <x v="3"/>
    <s v="Account Health Review"/>
    <x v="1"/>
    <x v="10"/>
    <n v="30"/>
    <x v="69"/>
    <n v="0.5"/>
    <x v="22"/>
    <x v="9"/>
  </r>
  <r>
    <x v="1"/>
    <x v="3"/>
    <s v="Weekly Feedback on SC &amp; AHS"/>
    <x v="0"/>
    <x v="8"/>
    <n v="25"/>
    <x v="69"/>
    <n v="0.41666666666666669"/>
    <x v="22"/>
    <x v="9"/>
  </r>
  <r>
    <x v="1"/>
    <x v="3"/>
    <s v="Weekly Confirmation Sheet"/>
    <x v="2"/>
    <x v="34"/>
    <n v="35"/>
    <x v="69"/>
    <n v="0.58333333333333337"/>
    <x v="22"/>
    <x v="9"/>
  </r>
  <r>
    <x v="1"/>
    <x v="3"/>
    <s v="Stock Review"/>
    <x v="1"/>
    <x v="8"/>
    <n v="75"/>
    <x v="69"/>
    <n v="1.25"/>
    <x v="22"/>
    <x v="9"/>
  </r>
  <r>
    <x v="1"/>
    <x v="3"/>
    <s v="Client Meeting"/>
    <x v="1"/>
    <x v="17"/>
    <n v="80"/>
    <x v="69"/>
    <n v="1.3333333333333333"/>
    <x v="22"/>
    <x v="9"/>
  </r>
  <r>
    <x v="1"/>
    <x v="3"/>
    <s v="Listing Optimization"/>
    <x v="0"/>
    <x v="8"/>
    <n v="20"/>
    <x v="69"/>
    <n v="0.33333333333333331"/>
    <x v="22"/>
    <x v="9"/>
  </r>
  <r>
    <x v="1"/>
    <x v="12"/>
    <s v="Getflow"/>
    <x v="0"/>
    <x v="8"/>
    <n v="30"/>
    <x v="69"/>
    <n v="0.5"/>
    <x v="22"/>
    <x v="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EBA042E-4FCF-40B6-9477-1AC6C55438CE}" name="PivotTable23"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4">
  <location ref="B92:B163" firstHeaderRow="1" firstDataRow="1" firstDataCol="1"/>
  <pivotFields count="10">
    <pivotField showAll="0">
      <items count="8">
        <item m="1" x="5"/>
        <item m="1" x="3"/>
        <item m="1" x="2"/>
        <item m="1" x="4"/>
        <item m="1" x="6"/>
        <item x="0"/>
        <item x="1"/>
        <item t="default"/>
      </items>
    </pivotField>
    <pivotField showAll="0">
      <items count="47">
        <item x="12"/>
        <item m="1" x="36"/>
        <item x="6"/>
        <item x="4"/>
        <item x="2"/>
        <item x="21"/>
        <item x="20"/>
        <item m="1" x="34"/>
        <item m="1" x="29"/>
        <item m="1" x="31"/>
        <item m="1" x="32"/>
        <item m="1" x="44"/>
        <item x="3"/>
        <item x="11"/>
        <item m="1" x="37"/>
        <item x="0"/>
        <item x="10"/>
        <item x="19"/>
        <item x="23"/>
        <item x="9"/>
        <item x="5"/>
        <item m="1" x="28"/>
        <item x="14"/>
        <item m="1" x="27"/>
        <item m="1" x="43"/>
        <item x="8"/>
        <item x="16"/>
        <item x="1"/>
        <item x="13"/>
        <item m="1" x="38"/>
        <item x="18"/>
        <item m="1" x="33"/>
        <item x="15"/>
        <item m="1" x="39"/>
        <item m="1" x="35"/>
        <item m="1" x="41"/>
        <item m="1" x="40"/>
        <item m="1" x="30"/>
        <item m="1" x="25"/>
        <item m="1" x="42"/>
        <item m="1" x="45"/>
        <item x="24"/>
        <item x="7"/>
        <item x="22"/>
        <item x="17"/>
        <item m="1" x="26"/>
        <item t="default"/>
      </items>
    </pivotField>
    <pivotField showAll="0"/>
    <pivotField showAll="0">
      <items count="18">
        <item x="4"/>
        <item x="0"/>
        <item x="5"/>
        <item m="1" x="15"/>
        <item m="1" x="11"/>
        <item m="1" x="12"/>
        <item m="1" x="7"/>
        <item x="1"/>
        <item m="1" x="10"/>
        <item m="1" x="13"/>
        <item m="1" x="16"/>
        <item m="1" x="14"/>
        <item m="1" x="8"/>
        <item m="1" x="9"/>
        <item x="3"/>
        <item x="2"/>
        <item m="1" x="6"/>
        <item t="default"/>
      </items>
    </pivotField>
    <pivotField showAll="0">
      <items count="122">
        <item m="1" x="93"/>
        <item x="31"/>
        <item x="10"/>
        <item m="1" x="95"/>
        <item x="0"/>
        <item m="1" x="68"/>
        <item m="1" x="99"/>
        <item m="1" x="118"/>
        <item m="1" x="74"/>
        <item m="1" x="70"/>
        <item m="1" x="83"/>
        <item m="1" x="61"/>
        <item m="1" x="69"/>
        <item m="1" x="94"/>
        <item m="1" x="101"/>
        <item x="7"/>
        <item x="43"/>
        <item x="52"/>
        <item x="28"/>
        <item x="50"/>
        <item m="1" x="71"/>
        <item m="1" x="109"/>
        <item x="46"/>
        <item x="38"/>
        <item x="27"/>
        <item x="12"/>
        <item x="18"/>
        <item x="29"/>
        <item m="1" x="117"/>
        <item x="21"/>
        <item m="1" x="97"/>
        <item x="17"/>
        <item m="1" x="56"/>
        <item x="23"/>
        <item x="20"/>
        <item m="1" x="66"/>
        <item m="1" x="108"/>
        <item m="1" x="57"/>
        <item m="1" x="111"/>
        <item m="1" x="100"/>
        <item x="35"/>
        <item x="48"/>
        <item x="26"/>
        <item m="1" x="119"/>
        <item m="1" x="92"/>
        <item x="53"/>
        <item m="1" x="85"/>
        <item m="1" x="73"/>
        <item m="1" x="107"/>
        <item x="33"/>
        <item m="1" x="86"/>
        <item x="45"/>
        <item x="54"/>
        <item x="13"/>
        <item m="1" x="75"/>
        <item m="1" x="60"/>
        <item m="1" x="106"/>
        <item x="19"/>
        <item m="1" x="76"/>
        <item m="1" x="77"/>
        <item x="14"/>
        <item m="1" x="72"/>
        <item x="51"/>
        <item x="16"/>
        <item m="1" x="84"/>
        <item m="1" x="78"/>
        <item m="1" x="98"/>
        <item m="1" x="65"/>
        <item m="1" x="62"/>
        <item m="1" x="59"/>
        <item m="1" x="110"/>
        <item m="1" x="87"/>
        <item x="2"/>
        <item x="15"/>
        <item x="39"/>
        <item m="1" x="88"/>
        <item m="1" x="82"/>
        <item x="5"/>
        <item x="6"/>
        <item x="40"/>
        <item x="42"/>
        <item m="1" x="114"/>
        <item m="1" x="115"/>
        <item m="1" x="64"/>
        <item x="41"/>
        <item x="37"/>
        <item m="1" x="67"/>
        <item x="36"/>
        <item x="11"/>
        <item x="1"/>
        <item m="1" x="90"/>
        <item m="1" x="79"/>
        <item x="4"/>
        <item x="8"/>
        <item m="1" x="80"/>
        <item m="1" x="105"/>
        <item m="1" x="55"/>
        <item x="30"/>
        <item m="1" x="103"/>
        <item m="1" x="96"/>
        <item m="1" x="91"/>
        <item m="1" x="120"/>
        <item x="3"/>
        <item m="1" x="104"/>
        <item m="1" x="112"/>
        <item x="25"/>
        <item x="9"/>
        <item m="1" x="113"/>
        <item m="1" x="116"/>
        <item m="1" x="102"/>
        <item m="1" x="81"/>
        <item m="1" x="63"/>
        <item x="49"/>
        <item m="1" x="89"/>
        <item x="24"/>
        <item x="44"/>
        <item x="34"/>
        <item x="32"/>
        <item x="22"/>
        <item x="47"/>
        <item m="1" x="58"/>
        <item t="default"/>
      </items>
    </pivotField>
    <pivotField showAll="0"/>
    <pivotField axis="axisRow" showAll="0">
      <items count="79">
        <item m="1" x="71"/>
        <item m="1" x="75"/>
        <item m="1" x="74"/>
        <item m="1" x="70"/>
        <item m="1" x="72"/>
        <item m="1" x="76"/>
        <item m="1" x="73"/>
        <item m="1" x="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t="default"/>
      </items>
    </pivotField>
    <pivotField numFmtId="2" showAll="0"/>
    <pivotField numFmtId="14" showAll="0">
      <items count="30">
        <item x="0"/>
        <item x="1"/>
        <item x="2"/>
        <item x="3"/>
        <item x="4"/>
        <item x="5"/>
        <item x="6"/>
        <item x="7"/>
        <item x="8"/>
        <item x="9"/>
        <item x="10"/>
        <item x="11"/>
        <item x="12"/>
        <item x="13"/>
        <item x="14"/>
        <item x="15"/>
        <item x="16"/>
        <item x="17"/>
        <item x="18"/>
        <item x="19"/>
        <item x="20"/>
        <item x="21"/>
        <item x="22"/>
        <item m="1" x="24"/>
        <item m="1" x="27"/>
        <item m="1" x="28"/>
        <item m="1" x="26"/>
        <item m="1" x="25"/>
        <item m="1" x="23"/>
        <item t="default"/>
      </items>
    </pivotField>
    <pivotField showAll="0">
      <items count="13">
        <item x="0"/>
        <item x="1"/>
        <item x="2"/>
        <item x="3"/>
        <item x="4"/>
        <item x="5"/>
        <item x="6"/>
        <item x="7"/>
        <item x="8"/>
        <item x="9"/>
        <item x="10"/>
        <item x="11"/>
        <item t="default"/>
      </items>
    </pivotField>
  </pivotFields>
  <rowFields count="1">
    <field x="6"/>
  </rowFields>
  <rowItems count="71">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t="grand">
      <x/>
    </i>
  </rowItems>
  <colItems count="1">
    <i/>
  </colItems>
  <formats count="35">
    <format dxfId="47">
      <pivotArea type="all" dataOnly="0" outline="0" fieldPosition="0"/>
    </format>
    <format dxfId="46">
      <pivotArea field="0" type="button" dataOnly="0" labelOnly="1" outline="0"/>
    </format>
    <format dxfId="45">
      <pivotArea dataOnly="0" labelOnly="1" grandRow="1" outline="0" fieldPosition="0"/>
    </format>
    <format dxfId="44">
      <pivotArea type="all" dataOnly="0" outline="0" fieldPosition="0"/>
    </format>
    <format dxfId="43">
      <pivotArea outline="0" collapsedLevelsAreSubtotals="1" fieldPosition="0"/>
    </format>
    <format dxfId="42">
      <pivotArea field="6" type="button" dataOnly="0" labelOnly="1" outline="0" axis="axisRow" fieldPosition="0"/>
    </format>
    <format dxfId="41">
      <pivotArea dataOnly="0" labelOnly="1" grandRow="1" outline="0" fieldPosition="0"/>
    </format>
    <format dxfId="40">
      <pivotArea dataOnly="0" labelOnly="1" outline="0" axis="axisValues" fieldPosition="0"/>
    </format>
    <format dxfId="39">
      <pivotArea type="all" dataOnly="0" outline="0" fieldPosition="0"/>
    </format>
    <format dxfId="38">
      <pivotArea field="6" type="button" dataOnly="0" labelOnly="1" outline="0" axis="axisRow" fieldPosition="0"/>
    </format>
    <format dxfId="37">
      <pivotArea dataOnly="0" labelOnly="1" fieldPosition="0">
        <references count="1">
          <reference field="6" count="0"/>
        </references>
      </pivotArea>
    </format>
    <format dxfId="36">
      <pivotArea dataOnly="0" labelOnly="1" grandRow="1" outline="0" fieldPosition="0"/>
    </format>
    <format dxfId="35">
      <pivotArea type="all" dataOnly="0" outline="0" fieldPosition="0"/>
    </format>
    <format dxfId="34">
      <pivotArea field="6" type="button" dataOnly="0" labelOnly="1" outline="0" axis="axisRow" fieldPosition="0"/>
    </format>
    <format dxfId="33">
      <pivotArea dataOnly="0" labelOnly="1" fieldPosition="0">
        <references count="1">
          <reference field="6" count="0"/>
        </references>
      </pivotArea>
    </format>
    <format dxfId="32">
      <pivotArea dataOnly="0" labelOnly="1" grandRow="1" outline="0" fieldPosition="0"/>
    </format>
    <format dxfId="31">
      <pivotArea type="all" dataOnly="0" outline="0" fieldPosition="0"/>
    </format>
    <format dxfId="30">
      <pivotArea field="6" type="button" dataOnly="0" labelOnly="1" outline="0" axis="axisRow" fieldPosition="0"/>
    </format>
    <format dxfId="29">
      <pivotArea dataOnly="0" labelOnly="1" fieldPosition="0">
        <references count="1">
          <reference field="6" count="0"/>
        </references>
      </pivotArea>
    </format>
    <format dxfId="28">
      <pivotArea dataOnly="0" labelOnly="1" grandRow="1" outline="0" fieldPosition="0"/>
    </format>
    <format dxfId="27">
      <pivotArea type="all" dataOnly="0" outline="0" fieldPosition="0"/>
    </format>
    <format dxfId="26">
      <pivotArea field="6" type="button" dataOnly="0" labelOnly="1" outline="0" axis="axisRow" fieldPosition="0"/>
    </format>
    <format dxfId="25">
      <pivotArea dataOnly="0" labelOnly="1" fieldPosition="0">
        <references count="1">
          <reference field="6" count="0"/>
        </references>
      </pivotArea>
    </format>
    <format dxfId="24">
      <pivotArea dataOnly="0" labelOnly="1" grandRow="1" outline="0" fieldPosition="0"/>
    </format>
    <format dxfId="23">
      <pivotArea type="all" dataOnly="0" outline="0" fieldPosition="0"/>
    </format>
    <format dxfId="22">
      <pivotArea field="6" type="button" dataOnly="0" labelOnly="1" outline="0" axis="axisRow" fieldPosition="0"/>
    </format>
    <format dxfId="21">
      <pivotArea dataOnly="0" labelOnly="1" fieldPosition="0">
        <references count="1">
          <reference field="6" count="0"/>
        </references>
      </pivotArea>
    </format>
    <format dxfId="20">
      <pivotArea dataOnly="0" labelOnly="1" grandRow="1" outline="0" fieldPosition="0"/>
    </format>
    <format dxfId="19">
      <pivotArea type="all" dataOnly="0" outline="0" fieldPosition="0"/>
    </format>
    <format dxfId="18">
      <pivotArea field="6" type="button" dataOnly="0" labelOnly="1" outline="0" axis="axisRow" fieldPosition="0"/>
    </format>
    <format dxfId="17">
      <pivotArea dataOnly="0" labelOnly="1" fieldPosition="0">
        <references count="1">
          <reference field="6" count="50">
            <x v="8"/>
            <x v="9"/>
            <x v="10"/>
            <x v="11"/>
            <x v="12"/>
            <x v="13"/>
            <x v="14"/>
            <x v="15"/>
            <x v="16"/>
            <x v="17"/>
            <x v="18"/>
            <x v="19"/>
            <x v="20"/>
            <x v="21"/>
            <x v="22"/>
            <x v="23"/>
            <x v="24"/>
            <x v="25"/>
            <x v="26"/>
            <x v="27"/>
            <x v="28"/>
            <x v="29"/>
            <x v="30"/>
            <x v="31"/>
            <x v="32"/>
            <x v="33"/>
            <x v="34"/>
            <x v="35"/>
            <x v="36"/>
            <x v="37"/>
            <x v="38"/>
            <x v="39"/>
            <x v="40"/>
            <x v="41"/>
            <x v="42"/>
            <x v="43"/>
            <x v="44"/>
            <x v="45"/>
            <x v="46"/>
            <x v="47"/>
            <x v="48"/>
            <x v="49"/>
            <x v="50"/>
            <x v="51"/>
            <x v="52"/>
            <x v="53"/>
            <x v="54"/>
            <x v="55"/>
            <x v="56"/>
            <x v="57"/>
          </reference>
        </references>
      </pivotArea>
    </format>
    <format dxfId="16">
      <pivotArea dataOnly="0" labelOnly="1" fieldPosition="0">
        <references count="1">
          <reference field="6" count="20">
            <x v="58"/>
            <x v="59"/>
            <x v="60"/>
            <x v="61"/>
            <x v="62"/>
            <x v="63"/>
            <x v="64"/>
            <x v="65"/>
            <x v="66"/>
            <x v="67"/>
            <x v="68"/>
            <x v="69"/>
            <x v="70"/>
            <x v="71"/>
            <x v="72"/>
            <x v="73"/>
            <x v="74"/>
            <x v="75"/>
            <x v="76"/>
            <x v="77"/>
          </reference>
        </references>
      </pivotArea>
    </format>
    <format dxfId="15">
      <pivotArea dataOnly="0" labelOnly="1" grandRow="1" outline="0" fieldPosition="0"/>
    </format>
    <format dxfId="14">
      <pivotArea dataOnly="0" labelOnly="1" fieldPosition="0">
        <references count="1">
          <reference field="6" count="50">
            <x v="8"/>
            <x v="9"/>
            <x v="10"/>
            <x v="11"/>
            <x v="12"/>
            <x v="13"/>
            <x v="14"/>
            <x v="15"/>
            <x v="16"/>
            <x v="17"/>
            <x v="18"/>
            <x v="19"/>
            <x v="20"/>
            <x v="21"/>
            <x v="22"/>
            <x v="23"/>
            <x v="24"/>
            <x v="25"/>
            <x v="26"/>
            <x v="27"/>
            <x v="28"/>
            <x v="29"/>
            <x v="30"/>
            <x v="31"/>
            <x v="32"/>
            <x v="33"/>
            <x v="34"/>
            <x v="35"/>
            <x v="36"/>
            <x v="37"/>
            <x v="38"/>
            <x v="39"/>
            <x v="40"/>
            <x v="41"/>
            <x v="42"/>
            <x v="43"/>
            <x v="44"/>
            <x v="45"/>
            <x v="46"/>
            <x v="47"/>
            <x v="48"/>
            <x v="49"/>
            <x v="50"/>
            <x v="51"/>
            <x v="52"/>
            <x v="53"/>
            <x v="54"/>
            <x v="55"/>
            <x v="56"/>
            <x v="57"/>
          </reference>
        </references>
      </pivotArea>
    </format>
    <format dxfId="13">
      <pivotArea dataOnly="0" labelOnly="1" fieldPosition="0">
        <references count="1">
          <reference field="6" count="20">
            <x v="58"/>
            <x v="59"/>
            <x v="60"/>
            <x v="61"/>
            <x v="62"/>
            <x v="63"/>
            <x v="64"/>
            <x v="65"/>
            <x v="66"/>
            <x v="67"/>
            <x v="68"/>
            <x v="69"/>
            <x v="70"/>
            <x v="71"/>
            <x v="72"/>
            <x v="73"/>
            <x v="74"/>
            <x v="75"/>
            <x v="76"/>
            <x v="77"/>
          </reference>
        </references>
      </pivotArea>
    </format>
  </format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D51FAF2-B2A3-4C1E-ADF2-B8A9F3A7EAD9}" name="PivotTable5"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35" rowHeaderCaption="Task Types">
  <location ref="R104:S129" firstHeaderRow="1" firstDataRow="1" firstDataCol="1" rowPageCount="1" colPageCount="1"/>
  <pivotFields count="10">
    <pivotField showAll="0">
      <items count="8">
        <item m="1" x="5"/>
        <item m="1" x="3"/>
        <item m="1" x="2"/>
        <item m="1" x="4"/>
        <item m="1" x="6"/>
        <item x="0"/>
        <item x="1"/>
        <item t="default"/>
      </items>
    </pivotField>
    <pivotField axis="axisRow" showAll="0">
      <items count="47">
        <item x="12"/>
        <item m="1" x="34"/>
        <item m="1" x="29"/>
        <item m="1" x="32"/>
        <item m="1" x="44"/>
        <item x="14"/>
        <item m="1" x="43"/>
        <item m="1" x="38"/>
        <item m="1" x="40"/>
        <item m="1" x="42"/>
        <item m="1" x="45"/>
        <item x="7"/>
        <item m="1" x="26"/>
        <item m="1" x="27"/>
        <item m="1" x="39"/>
        <item m="1" x="41"/>
        <item m="1" x="33"/>
        <item x="2"/>
        <item x="4"/>
        <item x="6"/>
        <item m="1" x="37"/>
        <item m="1" x="25"/>
        <item m="1" x="30"/>
        <item m="1" x="28"/>
        <item x="18"/>
        <item x="21"/>
        <item m="1" x="36"/>
        <item m="1" x="31"/>
        <item m="1" x="35"/>
        <item x="0"/>
        <item x="1"/>
        <item x="3"/>
        <item x="5"/>
        <item x="8"/>
        <item x="9"/>
        <item x="10"/>
        <item x="11"/>
        <item x="13"/>
        <item x="15"/>
        <item x="16"/>
        <item x="17"/>
        <item x="19"/>
        <item x="20"/>
        <item x="22"/>
        <item x="23"/>
        <item x="24"/>
        <item t="default"/>
      </items>
    </pivotField>
    <pivotField showAll="0"/>
    <pivotField showAll="0">
      <items count="18">
        <item x="4"/>
        <item x="0"/>
        <item x="5"/>
        <item m="1" x="15"/>
        <item m="1" x="11"/>
        <item m="1" x="12"/>
        <item m="1" x="7"/>
        <item x="1"/>
        <item m="1" x="10"/>
        <item m="1" x="13"/>
        <item m="1" x="16"/>
        <item m="1" x="14"/>
        <item m="1" x="8"/>
        <item m="1" x="9"/>
        <item x="3"/>
        <item x="2"/>
        <item m="1" x="6"/>
        <item t="default"/>
      </items>
    </pivotField>
    <pivotField axis="axisPage" multipleItemSelectionAllowed="1" showAll="0">
      <items count="122">
        <item m="1" x="68"/>
        <item m="1" x="99"/>
        <item m="1" x="118"/>
        <item m="1" x="74"/>
        <item m="1" x="101"/>
        <item m="1" x="71"/>
        <item m="1" x="109"/>
        <item x="17"/>
        <item m="1" x="56"/>
        <item m="1" x="108"/>
        <item m="1" x="57"/>
        <item m="1" x="111"/>
        <item m="1" x="100"/>
        <item m="1" x="119"/>
        <item m="1" x="92"/>
        <item m="1" x="85"/>
        <item m="1" x="73"/>
        <item x="14"/>
        <item m="1" x="72"/>
        <item m="1" x="65"/>
        <item m="1" x="59"/>
        <item m="1" x="110"/>
        <item m="1" x="87"/>
        <item x="5"/>
        <item x="6"/>
        <item m="1" x="114"/>
        <item m="1" x="115"/>
        <item m="1" x="64"/>
        <item m="1" x="67"/>
        <item x="8"/>
        <item m="1" x="80"/>
        <item m="1" x="105"/>
        <item m="1" x="55"/>
        <item x="3"/>
        <item m="1" x="104"/>
        <item m="1" x="112"/>
        <item x="9"/>
        <item m="1" x="113"/>
        <item m="1" x="116"/>
        <item m="1" x="102"/>
        <item m="1" x="81"/>
        <item m="1" x="63"/>
        <item x="47"/>
        <item m="1" x="58"/>
        <item x="0"/>
        <item x="1"/>
        <item x="2"/>
        <item x="4"/>
        <item m="1" x="82"/>
        <item x="7"/>
        <item m="1" x="95"/>
        <item m="1" x="84"/>
        <item x="15"/>
        <item x="16"/>
        <item x="18"/>
        <item m="1" x="76"/>
        <item x="23"/>
        <item x="22"/>
        <item x="24"/>
        <item x="25"/>
        <item x="26"/>
        <item m="1" x="120"/>
        <item m="1" x="91"/>
        <item x="29"/>
        <item x="30"/>
        <item x="20"/>
        <item x="19"/>
        <item x="31"/>
        <item m="1" x="78"/>
        <item x="32"/>
        <item m="1" x="86"/>
        <item x="33"/>
        <item m="1" x="66"/>
        <item x="34"/>
        <item x="35"/>
        <item x="36"/>
        <item m="1" x="89"/>
        <item m="1" x="97"/>
        <item x="37"/>
        <item m="1" x="88"/>
        <item m="1" x="93"/>
        <item x="10"/>
        <item x="38"/>
        <item m="1" x="79"/>
        <item m="1" x="61"/>
        <item m="1" x="98"/>
        <item m="1" x="75"/>
        <item m="1" x="117"/>
        <item x="40"/>
        <item m="1" x="107"/>
        <item m="1" x="60"/>
        <item x="41"/>
        <item x="42"/>
        <item m="1" x="70"/>
        <item m="1" x="96"/>
        <item x="43"/>
        <item m="1" x="106"/>
        <item x="44"/>
        <item x="45"/>
        <item m="1" x="69"/>
        <item m="1" x="77"/>
        <item m="1" x="94"/>
        <item m="1" x="103"/>
        <item m="1" x="62"/>
        <item x="48"/>
        <item m="1" x="90"/>
        <item x="21"/>
        <item x="51"/>
        <item x="52"/>
        <item m="1" x="83"/>
        <item x="53"/>
        <item x="54"/>
        <item x="11"/>
        <item x="12"/>
        <item x="13"/>
        <item x="27"/>
        <item x="28"/>
        <item x="39"/>
        <item x="46"/>
        <item x="49"/>
        <item x="50"/>
        <item t="default"/>
      </items>
    </pivotField>
    <pivotField showAll="0"/>
    <pivotField showAll="0">
      <items count="79">
        <item m="1" x="71"/>
        <item m="1" x="75"/>
        <item m="1" x="74"/>
        <item m="1" x="70"/>
        <item m="1" x="72"/>
        <item m="1" x="76"/>
        <item m="1" x="73"/>
        <item m="1" x="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t="default"/>
      </items>
    </pivotField>
    <pivotField dataField="1" numFmtId="2" showAll="0"/>
    <pivotField numFmtId="14" showAll="0">
      <items count="30">
        <item x="0"/>
        <item x="1"/>
        <item x="2"/>
        <item x="3"/>
        <item x="4"/>
        <item x="5"/>
        <item x="6"/>
        <item x="7"/>
        <item x="8"/>
        <item x="9"/>
        <item x="10"/>
        <item x="11"/>
        <item x="12"/>
        <item x="13"/>
        <item x="14"/>
        <item x="15"/>
        <item x="16"/>
        <item x="17"/>
        <item x="18"/>
        <item x="19"/>
        <item x="20"/>
        <item x="21"/>
        <item x="22"/>
        <item m="1" x="24"/>
        <item m="1" x="27"/>
        <item m="1" x="28"/>
        <item m="1" x="26"/>
        <item m="1" x="25"/>
        <item m="1" x="23"/>
        <item t="default"/>
      </items>
    </pivotField>
    <pivotField showAll="0">
      <items count="13">
        <item x="0"/>
        <item x="1"/>
        <item x="2"/>
        <item x="3"/>
        <item x="4"/>
        <item x="5"/>
        <item x="6"/>
        <item x="7"/>
        <item x="8"/>
        <item x="9"/>
        <item x="10"/>
        <item x="11"/>
        <item t="default"/>
      </items>
    </pivotField>
  </pivotFields>
  <rowFields count="1">
    <field x="1"/>
  </rowFields>
  <rowItems count="25">
    <i>
      <x/>
    </i>
    <i>
      <x v="5"/>
    </i>
    <i>
      <x v="11"/>
    </i>
    <i>
      <x v="17"/>
    </i>
    <i>
      <x v="18"/>
    </i>
    <i>
      <x v="19"/>
    </i>
    <i>
      <x v="24"/>
    </i>
    <i>
      <x v="25"/>
    </i>
    <i>
      <x v="29"/>
    </i>
    <i>
      <x v="30"/>
    </i>
    <i>
      <x v="31"/>
    </i>
    <i>
      <x v="32"/>
    </i>
    <i>
      <x v="33"/>
    </i>
    <i>
      <x v="34"/>
    </i>
    <i>
      <x v="35"/>
    </i>
    <i>
      <x v="36"/>
    </i>
    <i>
      <x v="37"/>
    </i>
    <i>
      <x v="38"/>
    </i>
    <i>
      <x v="39"/>
    </i>
    <i>
      <x v="40"/>
    </i>
    <i>
      <x v="41"/>
    </i>
    <i>
      <x v="42"/>
    </i>
    <i>
      <x v="43"/>
    </i>
    <i>
      <x v="44"/>
    </i>
    <i>
      <x v="45"/>
    </i>
  </rowItems>
  <colItems count="1">
    <i/>
  </colItems>
  <pageFields count="1">
    <pageField fld="4" hier="-1"/>
  </pageFields>
  <dataFields count="1">
    <dataField name="Total Hours_x000a_" fld="7" baseField="0" baseItem="0" numFmtId="2"/>
  </dataFields>
  <formats count="38">
    <format dxfId="85">
      <pivotArea type="all" dataOnly="0" outline="0" fieldPosition="0"/>
    </format>
    <format dxfId="84">
      <pivotArea field="0" type="button" dataOnly="0" labelOnly="1" outline="0"/>
    </format>
    <format dxfId="83">
      <pivotArea dataOnly="0" labelOnly="1" grandRow="1" outline="0" fieldPosition="0"/>
    </format>
    <format dxfId="82">
      <pivotArea type="all" dataOnly="0" outline="0" fieldPosition="0"/>
    </format>
    <format dxfId="81">
      <pivotArea outline="0" collapsedLevelsAreSubtotals="1" fieldPosition="0"/>
    </format>
    <format dxfId="80">
      <pivotArea field="6" type="button" dataOnly="0" labelOnly="1" outline="0"/>
    </format>
    <format dxfId="79">
      <pivotArea dataOnly="0" labelOnly="1" grandRow="1" outline="0" fieldPosition="0"/>
    </format>
    <format dxfId="78">
      <pivotArea dataOnly="0" labelOnly="1" outline="0" axis="axisValues" fieldPosition="0"/>
    </format>
    <format dxfId="77">
      <pivotArea type="all" dataOnly="0" outline="0" fieldPosition="0"/>
    </format>
    <format dxfId="76">
      <pivotArea outline="0" collapsedLevelsAreSubtotals="1" fieldPosition="0"/>
    </format>
    <format dxfId="75">
      <pivotArea field="1" type="button" dataOnly="0" labelOnly="1" outline="0" axis="axisRow" fieldPosition="0"/>
    </format>
    <format dxfId="74">
      <pivotArea dataOnly="0" labelOnly="1" fieldPosition="0">
        <references count="1">
          <reference field="1" count="0"/>
        </references>
      </pivotArea>
    </format>
    <format dxfId="73">
      <pivotArea dataOnly="0" labelOnly="1" outline="0" axis="axisValues" fieldPosition="0"/>
    </format>
    <format dxfId="72">
      <pivotArea type="all" dataOnly="0" outline="0" fieldPosition="0"/>
    </format>
    <format dxfId="71">
      <pivotArea outline="0" collapsedLevelsAreSubtotals="1" fieldPosition="0"/>
    </format>
    <format dxfId="70">
      <pivotArea field="1" type="button" dataOnly="0" labelOnly="1" outline="0" axis="axisRow" fieldPosition="0"/>
    </format>
    <format dxfId="69">
      <pivotArea dataOnly="0" labelOnly="1" fieldPosition="0">
        <references count="1">
          <reference field="1" count="0"/>
        </references>
      </pivotArea>
    </format>
    <format dxfId="68">
      <pivotArea dataOnly="0" labelOnly="1" outline="0" axis="axisValues" fieldPosition="0"/>
    </format>
    <format dxfId="67">
      <pivotArea type="all" dataOnly="0" outline="0" fieldPosition="0"/>
    </format>
    <format dxfId="66">
      <pivotArea outline="0" collapsedLevelsAreSubtotals="1" fieldPosition="0"/>
    </format>
    <format dxfId="65">
      <pivotArea field="1" type="button" dataOnly="0" labelOnly="1" outline="0" axis="axisRow" fieldPosition="0"/>
    </format>
    <format dxfId="64">
      <pivotArea dataOnly="0" labelOnly="1" fieldPosition="0">
        <references count="1">
          <reference field="1" count="0"/>
        </references>
      </pivotArea>
    </format>
    <format dxfId="63">
      <pivotArea dataOnly="0" labelOnly="1" outline="0" axis="axisValues" fieldPosition="0"/>
    </format>
    <format dxfId="62">
      <pivotArea type="all" dataOnly="0" outline="0" fieldPosition="0"/>
    </format>
    <format dxfId="61">
      <pivotArea outline="0" collapsedLevelsAreSubtotals="1" fieldPosition="0"/>
    </format>
    <format dxfId="60">
      <pivotArea field="1" type="button" dataOnly="0" labelOnly="1" outline="0" axis="axisRow" fieldPosition="0"/>
    </format>
    <format dxfId="59">
      <pivotArea dataOnly="0" labelOnly="1" fieldPosition="0">
        <references count="1">
          <reference field="1" count="0"/>
        </references>
      </pivotArea>
    </format>
    <format dxfId="58">
      <pivotArea dataOnly="0" labelOnly="1" outline="0" axis="axisValues" fieldPosition="0"/>
    </format>
    <format dxfId="57">
      <pivotArea type="all" dataOnly="0" outline="0" fieldPosition="0"/>
    </format>
    <format dxfId="56">
      <pivotArea outline="0" collapsedLevelsAreSubtotals="1" fieldPosition="0"/>
    </format>
    <format dxfId="55">
      <pivotArea field="1" type="button" dataOnly="0" labelOnly="1" outline="0" axis="axisRow" fieldPosition="0"/>
    </format>
    <format dxfId="54">
      <pivotArea dataOnly="0" labelOnly="1" fieldPosition="0">
        <references count="1">
          <reference field="1" count="0"/>
        </references>
      </pivotArea>
    </format>
    <format dxfId="53">
      <pivotArea dataOnly="0" labelOnly="1" outline="0" axis="axisValues" fieldPosition="0"/>
    </format>
    <format dxfId="52">
      <pivotArea type="all" dataOnly="0" outline="0" fieldPosition="0"/>
    </format>
    <format dxfId="51">
      <pivotArea outline="0" collapsedLevelsAreSubtotals="1" fieldPosition="0"/>
    </format>
    <format dxfId="50">
      <pivotArea field="1" type="button" dataOnly="0" labelOnly="1" outline="0" axis="axisRow" fieldPosition="0"/>
    </format>
    <format dxfId="49">
      <pivotArea dataOnly="0" labelOnly="1" fieldPosition="0">
        <references count="1">
          <reference field="1" count="0"/>
        </references>
      </pivotArea>
    </format>
    <format dxfId="48">
      <pivotArea dataOnly="0" labelOnly="1" outline="0" axis="axisValues" fieldPosition="0"/>
    </format>
  </formats>
  <chartFormats count="2">
    <chartFormat chart="34" format="5" series="1">
      <pivotArea type="data" outline="0" fieldPosition="0">
        <references count="1">
          <reference field="4294967294" count="1" selected="0">
            <x v="0"/>
          </reference>
        </references>
      </pivotArea>
    </chartFormat>
    <chartFormat chart="34" format="6">
      <pivotArea type="data" outline="0" fieldPosition="0">
        <references count="2">
          <reference field="4294967294" count="1" selected="0">
            <x v="0"/>
          </reference>
          <reference field="1" count="1" selected="0">
            <x v="13"/>
          </reference>
        </references>
      </pivotArea>
    </chartFormat>
  </chartFormat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AE4B8C5-9147-465D-8316-68A3FA8BEBF8}" name="PivotTable2"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M97:M123" firstHeaderRow="1" firstDataRow="1" firstDataCol="1"/>
  <pivotFields count="10">
    <pivotField showAll="0">
      <items count="8">
        <item m="1" x="5"/>
        <item m="1" x="3"/>
        <item m="1" x="2"/>
        <item m="1" x="4"/>
        <item m="1" x="6"/>
        <item x="0"/>
        <item x="1"/>
        <item t="default"/>
      </items>
    </pivotField>
    <pivotField axis="axisRow" showAll="0">
      <items count="47">
        <item x="12"/>
        <item m="1" x="34"/>
        <item m="1" x="29"/>
        <item m="1" x="32"/>
        <item m="1" x="44"/>
        <item x="14"/>
        <item m="1" x="43"/>
        <item m="1" x="38"/>
        <item m="1" x="40"/>
        <item m="1" x="42"/>
        <item m="1" x="45"/>
        <item x="7"/>
        <item m="1" x="26"/>
        <item m="1" x="27"/>
        <item m="1" x="39"/>
        <item m="1" x="41"/>
        <item m="1" x="33"/>
        <item x="2"/>
        <item x="4"/>
        <item x="6"/>
        <item m="1" x="37"/>
        <item m="1" x="25"/>
        <item m="1" x="30"/>
        <item m="1" x="28"/>
        <item x="18"/>
        <item x="21"/>
        <item m="1" x="36"/>
        <item m="1" x="31"/>
        <item m="1" x="35"/>
        <item x="0"/>
        <item x="1"/>
        <item x="3"/>
        <item x="5"/>
        <item x="8"/>
        <item x="9"/>
        <item x="10"/>
        <item x="11"/>
        <item x="13"/>
        <item x="15"/>
        <item x="16"/>
        <item x="17"/>
        <item x="19"/>
        <item x="20"/>
        <item x="22"/>
        <item x="23"/>
        <item x="24"/>
        <item t="default"/>
      </items>
    </pivotField>
    <pivotField showAll="0"/>
    <pivotField showAll="0">
      <items count="18">
        <item x="4"/>
        <item x="0"/>
        <item x="5"/>
        <item m="1" x="15"/>
        <item m="1" x="11"/>
        <item m="1" x="12"/>
        <item m="1" x="7"/>
        <item x="1"/>
        <item m="1" x="10"/>
        <item m="1" x="13"/>
        <item m="1" x="16"/>
        <item m="1" x="14"/>
        <item m="1" x="8"/>
        <item m="1" x="9"/>
        <item x="3"/>
        <item x="2"/>
        <item m="1" x="6"/>
        <item t="default"/>
      </items>
    </pivotField>
    <pivotField showAll="0">
      <items count="122">
        <item m="1" x="93"/>
        <item x="31"/>
        <item x="10"/>
        <item m="1" x="95"/>
        <item x="0"/>
        <item m="1" x="68"/>
        <item m="1" x="99"/>
        <item m="1" x="118"/>
        <item m="1" x="74"/>
        <item m="1" x="70"/>
        <item m="1" x="83"/>
        <item m="1" x="61"/>
        <item m="1" x="69"/>
        <item m="1" x="94"/>
        <item m="1" x="101"/>
        <item x="7"/>
        <item x="43"/>
        <item x="52"/>
        <item x="28"/>
        <item x="50"/>
        <item m="1" x="71"/>
        <item m="1" x="109"/>
        <item x="46"/>
        <item x="38"/>
        <item x="27"/>
        <item x="12"/>
        <item x="18"/>
        <item x="29"/>
        <item m="1" x="117"/>
        <item x="21"/>
        <item m="1" x="97"/>
        <item x="17"/>
        <item m="1" x="56"/>
        <item x="23"/>
        <item x="20"/>
        <item m="1" x="66"/>
        <item m="1" x="108"/>
        <item m="1" x="57"/>
        <item m="1" x="111"/>
        <item m="1" x="100"/>
        <item x="35"/>
        <item x="48"/>
        <item x="26"/>
        <item m="1" x="119"/>
        <item m="1" x="92"/>
        <item x="53"/>
        <item m="1" x="85"/>
        <item m="1" x="73"/>
        <item m="1" x="107"/>
        <item x="33"/>
        <item m="1" x="86"/>
        <item x="45"/>
        <item x="54"/>
        <item x="13"/>
        <item m="1" x="75"/>
        <item m="1" x="60"/>
        <item m="1" x="106"/>
        <item x="19"/>
        <item m="1" x="76"/>
        <item m="1" x="77"/>
        <item x="14"/>
        <item m="1" x="72"/>
        <item x="51"/>
        <item x="16"/>
        <item m="1" x="84"/>
        <item m="1" x="78"/>
        <item m="1" x="98"/>
        <item m="1" x="65"/>
        <item m="1" x="62"/>
        <item m="1" x="59"/>
        <item m="1" x="110"/>
        <item m="1" x="87"/>
        <item x="2"/>
        <item x="15"/>
        <item x="39"/>
        <item m="1" x="88"/>
        <item m="1" x="82"/>
        <item x="5"/>
        <item x="6"/>
        <item x="40"/>
        <item x="42"/>
        <item m="1" x="114"/>
        <item m="1" x="115"/>
        <item m="1" x="64"/>
        <item x="41"/>
        <item x="37"/>
        <item m="1" x="67"/>
        <item x="36"/>
        <item x="11"/>
        <item x="1"/>
        <item m="1" x="90"/>
        <item m="1" x="79"/>
        <item x="4"/>
        <item x="8"/>
        <item m="1" x="80"/>
        <item m="1" x="105"/>
        <item m="1" x="55"/>
        <item x="30"/>
        <item m="1" x="103"/>
        <item m="1" x="96"/>
        <item m="1" x="91"/>
        <item m="1" x="120"/>
        <item x="3"/>
        <item m="1" x="104"/>
        <item m="1" x="112"/>
        <item x="25"/>
        <item x="9"/>
        <item m="1" x="113"/>
        <item m="1" x="116"/>
        <item m="1" x="102"/>
        <item m="1" x="81"/>
        <item m="1" x="63"/>
        <item x="49"/>
        <item m="1" x="89"/>
        <item x="24"/>
        <item x="44"/>
        <item x="34"/>
        <item x="32"/>
        <item x="22"/>
        <item x="47"/>
        <item m="1" x="58"/>
        <item t="default"/>
      </items>
    </pivotField>
    <pivotField showAll="0"/>
    <pivotField showAll="0">
      <items count="79">
        <item x="0"/>
        <item x="1"/>
        <item x="2"/>
        <item x="3"/>
        <item x="4"/>
        <item x="5"/>
        <item x="6"/>
        <item x="7"/>
        <item x="8"/>
        <item x="9"/>
        <item x="10"/>
        <item x="11"/>
        <item x="12"/>
        <item x="13"/>
        <item x="14"/>
        <item x="15"/>
        <item x="16"/>
        <item x="17"/>
        <item x="18"/>
        <item x="19"/>
        <item x="20"/>
        <item x="21"/>
        <item x="31"/>
        <item x="33"/>
        <item x="36"/>
        <item x="39"/>
        <item x="41"/>
        <item x="46"/>
        <item x="49"/>
        <item x="51"/>
        <item x="54"/>
        <item x="57"/>
        <item x="58"/>
        <item x="60"/>
        <item x="62"/>
        <item x="64"/>
        <item x="66"/>
        <item x="68"/>
        <item x="22"/>
        <item x="23"/>
        <item x="24"/>
        <item x="25"/>
        <item x="32"/>
        <item x="34"/>
        <item x="37"/>
        <item x="42"/>
        <item x="44"/>
        <item x="47"/>
        <item x="50"/>
        <item x="52"/>
        <item x="55"/>
        <item x="59"/>
        <item x="61"/>
        <item x="63"/>
        <item x="65"/>
        <item x="67"/>
        <item x="69"/>
        <item x="26"/>
        <item x="27"/>
        <item x="35"/>
        <item x="38"/>
        <item x="40"/>
        <item x="43"/>
        <item x="45"/>
        <item x="48"/>
        <item x="53"/>
        <item x="56"/>
        <item x="28"/>
        <item x="29"/>
        <item x="30"/>
        <item m="1" x="73"/>
        <item m="1" x="77"/>
        <item m="1" x="71"/>
        <item m="1" x="75"/>
        <item m="1" x="74"/>
        <item m="1" x="70"/>
        <item m="1" x="72"/>
        <item m="1" x="76"/>
        <item t="default"/>
      </items>
    </pivotField>
    <pivotField numFmtId="2" showAll="0"/>
    <pivotField numFmtId="14" showAll="0">
      <items count="30">
        <item x="0"/>
        <item x="1"/>
        <item x="2"/>
        <item x="3"/>
        <item x="4"/>
        <item x="5"/>
        <item x="6"/>
        <item x="7"/>
        <item x="8"/>
        <item x="9"/>
        <item x="10"/>
        <item x="11"/>
        <item x="12"/>
        <item x="13"/>
        <item x="14"/>
        <item x="15"/>
        <item x="16"/>
        <item x="17"/>
        <item x="18"/>
        <item x="19"/>
        <item x="20"/>
        <item x="21"/>
        <item x="22"/>
        <item m="1" x="24"/>
        <item m="1" x="27"/>
        <item m="1" x="28"/>
        <item m="1" x="26"/>
        <item m="1" x="25"/>
        <item m="1" x="23"/>
        <item t="default"/>
      </items>
    </pivotField>
    <pivotField showAll="0">
      <items count="13">
        <item x="0"/>
        <item x="1"/>
        <item x="2"/>
        <item x="3"/>
        <item x="4"/>
        <item x="5"/>
        <item x="6"/>
        <item x="7"/>
        <item x="8"/>
        <item x="9"/>
        <item x="10"/>
        <item x="11"/>
        <item t="default"/>
      </items>
    </pivotField>
  </pivotFields>
  <rowFields count="1">
    <field x="1"/>
  </rowFields>
  <rowItems count="26">
    <i>
      <x/>
    </i>
    <i>
      <x v="5"/>
    </i>
    <i>
      <x v="11"/>
    </i>
    <i>
      <x v="17"/>
    </i>
    <i>
      <x v="18"/>
    </i>
    <i>
      <x v="19"/>
    </i>
    <i>
      <x v="24"/>
    </i>
    <i>
      <x v="25"/>
    </i>
    <i>
      <x v="29"/>
    </i>
    <i>
      <x v="30"/>
    </i>
    <i>
      <x v="31"/>
    </i>
    <i>
      <x v="32"/>
    </i>
    <i>
      <x v="33"/>
    </i>
    <i>
      <x v="34"/>
    </i>
    <i>
      <x v="35"/>
    </i>
    <i>
      <x v="36"/>
    </i>
    <i>
      <x v="37"/>
    </i>
    <i>
      <x v="38"/>
    </i>
    <i>
      <x v="39"/>
    </i>
    <i>
      <x v="40"/>
    </i>
    <i>
      <x v="41"/>
    </i>
    <i>
      <x v="42"/>
    </i>
    <i>
      <x v="43"/>
    </i>
    <i>
      <x v="44"/>
    </i>
    <i>
      <x v="45"/>
    </i>
    <i t="grand">
      <x/>
    </i>
  </rowItems>
  <colItems count="1">
    <i/>
  </colItems>
  <formats count="31">
    <format dxfId="116">
      <pivotArea type="all" dataOnly="0" outline="0" fieldPosition="0"/>
    </format>
    <format dxfId="115">
      <pivotArea field="0" type="button" dataOnly="0" labelOnly="1" outline="0"/>
    </format>
    <format dxfId="114">
      <pivotArea dataOnly="0" labelOnly="1" grandRow="1" outline="0" fieldPosition="0"/>
    </format>
    <format dxfId="113">
      <pivotArea type="all" dataOnly="0" outline="0" fieldPosition="0"/>
    </format>
    <format dxfId="112">
      <pivotArea field="1" type="button" dataOnly="0" labelOnly="1" outline="0" axis="axisRow" fieldPosition="0"/>
    </format>
    <format dxfId="111">
      <pivotArea dataOnly="0" labelOnly="1" fieldPosition="0">
        <references count="1">
          <reference field="1" count="0"/>
        </references>
      </pivotArea>
    </format>
    <format dxfId="110">
      <pivotArea dataOnly="0" labelOnly="1" grandRow="1" outline="0" fieldPosition="0"/>
    </format>
    <format dxfId="109">
      <pivotArea type="all" dataOnly="0" outline="0" fieldPosition="0"/>
    </format>
    <format dxfId="108">
      <pivotArea field="1" type="button" dataOnly="0" labelOnly="1" outline="0" axis="axisRow" fieldPosition="0"/>
    </format>
    <format dxfId="107">
      <pivotArea dataOnly="0" labelOnly="1" fieldPosition="0">
        <references count="1">
          <reference field="1" count="0"/>
        </references>
      </pivotArea>
    </format>
    <format dxfId="106">
      <pivotArea dataOnly="0" labelOnly="1" grandRow="1" outline="0" fieldPosition="0"/>
    </format>
    <format dxfId="105">
      <pivotArea type="all" dataOnly="0" outline="0" fieldPosition="0"/>
    </format>
    <format dxfId="104">
      <pivotArea field="1" type="button" dataOnly="0" labelOnly="1" outline="0" axis="axisRow" fieldPosition="0"/>
    </format>
    <format dxfId="103">
      <pivotArea dataOnly="0" labelOnly="1" fieldPosition="0">
        <references count="1">
          <reference field="1" count="0"/>
        </references>
      </pivotArea>
    </format>
    <format dxfId="102">
      <pivotArea dataOnly="0" labelOnly="1" grandRow="1" outline="0" fieldPosition="0"/>
    </format>
    <format dxfId="101">
      <pivotArea type="all" dataOnly="0" outline="0" fieldPosition="0"/>
    </format>
    <format dxfId="100">
      <pivotArea field="1" type="button" dataOnly="0" labelOnly="1" outline="0" axis="axisRow" fieldPosition="0"/>
    </format>
    <format dxfId="99">
      <pivotArea dataOnly="0" labelOnly="1" fieldPosition="0">
        <references count="1">
          <reference field="1" count="0"/>
        </references>
      </pivotArea>
    </format>
    <format dxfId="98">
      <pivotArea dataOnly="0" labelOnly="1" grandRow="1" outline="0" fieldPosition="0"/>
    </format>
    <format dxfId="97">
      <pivotArea type="all" dataOnly="0" outline="0" fieldPosition="0"/>
    </format>
    <format dxfId="96">
      <pivotArea field="1" type="button" dataOnly="0" labelOnly="1" outline="0" axis="axisRow" fieldPosition="0"/>
    </format>
    <format dxfId="95">
      <pivotArea dataOnly="0" labelOnly="1" fieldPosition="0">
        <references count="1">
          <reference field="1" count="0"/>
        </references>
      </pivotArea>
    </format>
    <format dxfId="94">
      <pivotArea dataOnly="0" labelOnly="1" grandRow="1" outline="0" fieldPosition="0"/>
    </format>
    <format dxfId="93">
      <pivotArea type="all" dataOnly="0" outline="0" fieldPosition="0"/>
    </format>
    <format dxfId="92">
      <pivotArea field="1" type="button" dataOnly="0" labelOnly="1" outline="0" axis="axisRow" fieldPosition="0"/>
    </format>
    <format dxfId="91">
      <pivotArea dataOnly="0" labelOnly="1" fieldPosition="0">
        <references count="1">
          <reference field="1" count="0"/>
        </references>
      </pivotArea>
    </format>
    <format dxfId="90">
      <pivotArea dataOnly="0" labelOnly="1" grandRow="1" outline="0" fieldPosition="0"/>
    </format>
    <format dxfId="89">
      <pivotArea type="all" dataOnly="0" outline="0" fieldPosition="0"/>
    </format>
    <format dxfId="88">
      <pivotArea field="1" type="button" dataOnly="0" labelOnly="1" outline="0" axis="axisRow" fieldPosition="0"/>
    </format>
    <format dxfId="87">
      <pivotArea dataOnly="0" labelOnly="1" fieldPosition="0">
        <references count="1">
          <reference field="1" count="0"/>
        </references>
      </pivotArea>
    </format>
    <format dxfId="86">
      <pivotArea dataOnly="0" labelOnly="1" grandRow="1" outline="0" fieldPosition="0"/>
    </format>
  </format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FF079CE-383B-4A46-B2B8-2E093978824A}"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W105:W108" firstHeaderRow="1" firstDataRow="1" firstDataCol="1"/>
  <pivotFields count="10">
    <pivotField axis="axisRow" showAll="0">
      <items count="8">
        <item m="1" x="5"/>
        <item m="1" x="3"/>
        <item m="1" x="2"/>
        <item m="1" x="4"/>
        <item m="1" x="6"/>
        <item x="0"/>
        <item x="1"/>
        <item t="default"/>
      </items>
    </pivotField>
    <pivotField showAll="0">
      <items count="47">
        <item x="12"/>
        <item m="1" x="36"/>
        <item x="6"/>
        <item x="4"/>
        <item x="2"/>
        <item x="21"/>
        <item x="20"/>
        <item m="1" x="34"/>
        <item m="1" x="29"/>
        <item m="1" x="31"/>
        <item m="1" x="32"/>
        <item m="1" x="44"/>
        <item x="3"/>
        <item x="11"/>
        <item m="1" x="37"/>
        <item x="0"/>
        <item x="10"/>
        <item x="19"/>
        <item x="23"/>
        <item x="9"/>
        <item x="5"/>
        <item m="1" x="28"/>
        <item x="14"/>
        <item m="1" x="27"/>
        <item m="1" x="43"/>
        <item x="8"/>
        <item x="16"/>
        <item x="1"/>
        <item x="13"/>
        <item m="1" x="38"/>
        <item x="18"/>
        <item m="1" x="33"/>
        <item x="15"/>
        <item m="1" x="39"/>
        <item m="1" x="35"/>
        <item m="1" x="41"/>
        <item m="1" x="40"/>
        <item m="1" x="30"/>
        <item m="1" x="25"/>
        <item m="1" x="42"/>
        <item m="1" x="45"/>
        <item x="24"/>
        <item x="7"/>
        <item x="22"/>
        <item x="17"/>
        <item m="1" x="26"/>
        <item t="default"/>
      </items>
    </pivotField>
    <pivotField showAll="0"/>
    <pivotField showAll="0">
      <items count="18">
        <item x="4"/>
        <item x="0"/>
        <item x="5"/>
        <item m="1" x="15"/>
        <item m="1" x="11"/>
        <item m="1" x="12"/>
        <item m="1" x="7"/>
        <item x="1"/>
        <item m="1" x="10"/>
        <item m="1" x="13"/>
        <item m="1" x="16"/>
        <item m="1" x="14"/>
        <item m="1" x="8"/>
        <item m="1" x="9"/>
        <item x="3"/>
        <item x="2"/>
        <item m="1" x="6"/>
        <item t="default"/>
      </items>
    </pivotField>
    <pivotField showAll="0">
      <items count="122">
        <item m="1" x="93"/>
        <item x="31"/>
        <item x="10"/>
        <item m="1" x="95"/>
        <item x="0"/>
        <item m="1" x="68"/>
        <item m="1" x="99"/>
        <item m="1" x="118"/>
        <item m="1" x="74"/>
        <item m="1" x="70"/>
        <item m="1" x="83"/>
        <item m="1" x="61"/>
        <item m="1" x="69"/>
        <item m="1" x="94"/>
        <item m="1" x="101"/>
        <item x="7"/>
        <item x="43"/>
        <item x="52"/>
        <item x="28"/>
        <item x="50"/>
        <item m="1" x="71"/>
        <item m="1" x="109"/>
        <item x="46"/>
        <item x="38"/>
        <item x="27"/>
        <item x="12"/>
        <item x="18"/>
        <item x="29"/>
        <item m="1" x="117"/>
        <item x="21"/>
        <item m="1" x="97"/>
        <item x="17"/>
        <item m="1" x="56"/>
        <item x="23"/>
        <item x="20"/>
        <item m="1" x="66"/>
        <item m="1" x="108"/>
        <item m="1" x="57"/>
        <item m="1" x="111"/>
        <item m="1" x="100"/>
        <item x="35"/>
        <item x="48"/>
        <item x="26"/>
        <item m="1" x="119"/>
        <item m="1" x="92"/>
        <item x="53"/>
        <item m="1" x="85"/>
        <item m="1" x="73"/>
        <item m="1" x="107"/>
        <item x="33"/>
        <item m="1" x="86"/>
        <item x="45"/>
        <item x="54"/>
        <item x="13"/>
        <item m="1" x="75"/>
        <item m="1" x="60"/>
        <item m="1" x="106"/>
        <item x="19"/>
        <item m="1" x="76"/>
        <item m="1" x="77"/>
        <item x="14"/>
        <item m="1" x="72"/>
        <item x="51"/>
        <item x="16"/>
        <item m="1" x="84"/>
        <item m="1" x="78"/>
        <item m="1" x="98"/>
        <item m="1" x="65"/>
        <item m="1" x="62"/>
        <item m="1" x="59"/>
        <item m="1" x="110"/>
        <item m="1" x="87"/>
        <item x="2"/>
        <item x="15"/>
        <item x="39"/>
        <item m="1" x="88"/>
        <item m="1" x="82"/>
        <item x="5"/>
        <item x="6"/>
        <item x="40"/>
        <item x="42"/>
        <item m="1" x="114"/>
        <item m="1" x="115"/>
        <item m="1" x="64"/>
        <item x="41"/>
        <item x="37"/>
        <item m="1" x="67"/>
        <item x="36"/>
        <item x="11"/>
        <item x="1"/>
        <item m="1" x="90"/>
        <item m="1" x="79"/>
        <item x="4"/>
        <item x="8"/>
        <item m="1" x="80"/>
        <item m="1" x="105"/>
        <item m="1" x="55"/>
        <item x="30"/>
        <item m="1" x="103"/>
        <item m="1" x="96"/>
        <item m="1" x="91"/>
        <item m="1" x="120"/>
        <item x="3"/>
        <item m="1" x="104"/>
        <item m="1" x="112"/>
        <item x="25"/>
        <item x="9"/>
        <item m="1" x="113"/>
        <item m="1" x="116"/>
        <item m="1" x="102"/>
        <item m="1" x="81"/>
        <item m="1" x="63"/>
        <item x="49"/>
        <item m="1" x="89"/>
        <item x="24"/>
        <item x="44"/>
        <item x="34"/>
        <item x="32"/>
        <item x="22"/>
        <item x="47"/>
        <item m="1" x="58"/>
        <item t="default"/>
      </items>
    </pivotField>
    <pivotField showAll="0"/>
    <pivotField showAll="0">
      <items count="79">
        <item x="0"/>
        <item x="1"/>
        <item x="2"/>
        <item x="3"/>
        <item x="4"/>
        <item x="5"/>
        <item x="6"/>
        <item x="7"/>
        <item x="8"/>
        <item x="9"/>
        <item x="10"/>
        <item x="11"/>
        <item x="12"/>
        <item x="13"/>
        <item x="14"/>
        <item x="15"/>
        <item x="16"/>
        <item x="17"/>
        <item x="18"/>
        <item x="19"/>
        <item x="20"/>
        <item x="21"/>
        <item x="31"/>
        <item x="33"/>
        <item x="36"/>
        <item x="39"/>
        <item x="41"/>
        <item x="46"/>
        <item x="49"/>
        <item x="51"/>
        <item x="54"/>
        <item x="57"/>
        <item x="58"/>
        <item x="60"/>
        <item x="62"/>
        <item x="64"/>
        <item x="66"/>
        <item x="68"/>
        <item x="22"/>
        <item x="23"/>
        <item x="24"/>
        <item x="25"/>
        <item x="32"/>
        <item x="34"/>
        <item x="37"/>
        <item x="42"/>
        <item x="44"/>
        <item x="47"/>
        <item x="50"/>
        <item x="52"/>
        <item x="55"/>
        <item x="59"/>
        <item x="61"/>
        <item x="63"/>
        <item x="65"/>
        <item x="67"/>
        <item x="69"/>
        <item x="26"/>
        <item x="27"/>
        <item x="35"/>
        <item x="38"/>
        <item x="40"/>
        <item x="43"/>
        <item x="45"/>
        <item x="48"/>
        <item x="53"/>
        <item x="56"/>
        <item x="28"/>
        <item x="29"/>
        <item x="30"/>
        <item m="1" x="73"/>
        <item m="1" x="77"/>
        <item m="1" x="71"/>
        <item m="1" x="75"/>
        <item m="1" x="74"/>
        <item m="1" x="70"/>
        <item m="1" x="72"/>
        <item m="1" x="76"/>
        <item t="default"/>
      </items>
    </pivotField>
    <pivotField numFmtId="2" showAll="0"/>
    <pivotField numFmtId="14" showAll="0">
      <items count="30">
        <item x="0"/>
        <item x="1"/>
        <item x="2"/>
        <item x="3"/>
        <item x="4"/>
        <item x="5"/>
        <item x="6"/>
        <item x="7"/>
        <item x="8"/>
        <item x="9"/>
        <item x="10"/>
        <item x="11"/>
        <item x="12"/>
        <item x="13"/>
        <item x="14"/>
        <item x="15"/>
        <item x="16"/>
        <item x="17"/>
        <item x="18"/>
        <item x="19"/>
        <item x="20"/>
        <item x="21"/>
        <item x="22"/>
        <item m="1" x="24"/>
        <item m="1" x="27"/>
        <item m="1" x="28"/>
        <item m="1" x="26"/>
        <item m="1" x="25"/>
        <item m="1" x="23"/>
        <item t="default"/>
      </items>
    </pivotField>
    <pivotField showAll="0">
      <items count="13">
        <item x="0"/>
        <item x="1"/>
        <item x="2"/>
        <item x="3"/>
        <item x="4"/>
        <item x="5"/>
        <item x="6"/>
        <item x="7"/>
        <item x="8"/>
        <item x="9"/>
        <item x="10"/>
        <item x="11"/>
        <item t="default"/>
      </items>
    </pivotField>
  </pivotFields>
  <rowFields count="1">
    <field x="0"/>
  </rowFields>
  <rowItems count="3">
    <i>
      <x v="5"/>
    </i>
    <i>
      <x v="6"/>
    </i>
    <i t="grand">
      <x/>
    </i>
  </rowItems>
  <colItems count="1">
    <i/>
  </colItems>
  <formats count="28">
    <format dxfId="144">
      <pivotArea type="all" dataOnly="0" outline="0" fieldPosition="0"/>
    </format>
    <format dxfId="143">
      <pivotArea field="0" type="button" dataOnly="0" labelOnly="1" outline="0" axis="axisRow" fieldPosition="0"/>
    </format>
    <format dxfId="142">
      <pivotArea dataOnly="0" labelOnly="1" fieldPosition="0">
        <references count="1">
          <reference field="0" count="0"/>
        </references>
      </pivotArea>
    </format>
    <format dxfId="141">
      <pivotArea dataOnly="0" labelOnly="1" grandRow="1" outline="0" fieldPosition="0"/>
    </format>
    <format dxfId="140">
      <pivotArea type="all" dataOnly="0" outline="0" fieldPosition="0"/>
    </format>
    <format dxfId="139">
      <pivotArea field="0" type="button" dataOnly="0" labelOnly="1" outline="0" axis="axisRow" fieldPosition="0"/>
    </format>
    <format dxfId="138">
      <pivotArea dataOnly="0" labelOnly="1" fieldPosition="0">
        <references count="1">
          <reference field="0" count="0"/>
        </references>
      </pivotArea>
    </format>
    <format dxfId="137">
      <pivotArea dataOnly="0" labelOnly="1" grandRow="1" outline="0" fieldPosition="0"/>
    </format>
    <format dxfId="136">
      <pivotArea type="all" dataOnly="0" outline="0" fieldPosition="0"/>
    </format>
    <format dxfId="135">
      <pivotArea field="0" type="button" dataOnly="0" labelOnly="1" outline="0" axis="axisRow" fieldPosition="0"/>
    </format>
    <format dxfId="134">
      <pivotArea dataOnly="0" labelOnly="1" fieldPosition="0">
        <references count="1">
          <reference field="0" count="0"/>
        </references>
      </pivotArea>
    </format>
    <format dxfId="133">
      <pivotArea dataOnly="0" labelOnly="1" grandRow="1" outline="0" fieldPosition="0"/>
    </format>
    <format dxfId="132">
      <pivotArea type="all" dataOnly="0" outline="0" fieldPosition="0"/>
    </format>
    <format dxfId="131">
      <pivotArea field="0" type="button" dataOnly="0" labelOnly="1" outline="0" axis="axisRow" fieldPosition="0"/>
    </format>
    <format dxfId="130">
      <pivotArea dataOnly="0" labelOnly="1" fieldPosition="0">
        <references count="1">
          <reference field="0" count="0"/>
        </references>
      </pivotArea>
    </format>
    <format dxfId="129">
      <pivotArea dataOnly="0" labelOnly="1" grandRow="1" outline="0" fieldPosition="0"/>
    </format>
    <format dxfId="128">
      <pivotArea type="all" dataOnly="0" outline="0" fieldPosition="0"/>
    </format>
    <format dxfId="127">
      <pivotArea field="0" type="button" dataOnly="0" labelOnly="1" outline="0" axis="axisRow" fieldPosition="0"/>
    </format>
    <format dxfId="126">
      <pivotArea dataOnly="0" labelOnly="1" fieldPosition="0">
        <references count="1">
          <reference field="0" count="0"/>
        </references>
      </pivotArea>
    </format>
    <format dxfId="125">
      <pivotArea dataOnly="0" labelOnly="1" grandRow="1" outline="0" fieldPosition="0"/>
    </format>
    <format dxfId="124">
      <pivotArea type="all" dataOnly="0" outline="0" fieldPosition="0"/>
    </format>
    <format dxfId="123">
      <pivotArea field="0" type="button" dataOnly="0" labelOnly="1" outline="0" axis="axisRow" fieldPosition="0"/>
    </format>
    <format dxfId="122">
      <pivotArea dataOnly="0" labelOnly="1" fieldPosition="0">
        <references count="1">
          <reference field="0" count="0"/>
        </references>
      </pivotArea>
    </format>
    <format dxfId="121">
      <pivotArea dataOnly="0" labelOnly="1" grandRow="1" outline="0" fieldPosition="0"/>
    </format>
    <format dxfId="120">
      <pivotArea type="all" dataOnly="0" outline="0" fieldPosition="0"/>
    </format>
    <format dxfId="119">
      <pivotArea field="0" type="button" dataOnly="0" labelOnly="1" outline="0" axis="axisRow" fieldPosition="0"/>
    </format>
    <format dxfId="118">
      <pivotArea dataOnly="0" labelOnly="1" fieldPosition="0">
        <references count="1">
          <reference field="0" count="0"/>
        </references>
      </pivotArea>
    </format>
    <format dxfId="117">
      <pivotArea dataOnly="0" labelOnly="1" grandRow="1" outline="0" fieldPosition="0"/>
    </format>
  </formats>
  <pivotTableStyleInfo showRowHeaders="0" showColHeaders="0"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5DD63F0-77E7-44BD-91E8-E4E366E2F938}" name="PivotTable27"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compactData="0" multipleFieldFilters="0" chartFormat="29">
  <location ref="AG121:AH123" firstHeaderRow="1" firstDataRow="1" firstDataCol="1"/>
  <pivotFields count="10">
    <pivotField axis="axisRow" compact="0" outline="0" showAll="0" defaultSubtotal="0">
      <items count="7">
        <item sd="0" m="1" x="5"/>
        <item sd="0" m="1" x="3"/>
        <item m="1" x="2"/>
        <item m="1" x="4"/>
        <item m="1" x="6"/>
        <item x="0"/>
        <item x="1"/>
      </items>
    </pivotField>
    <pivotField compact="0" outline="0" showAll="0" defaultSubtotal="0">
      <items count="46">
        <item x="12"/>
        <item m="1" x="36"/>
        <item x="6"/>
        <item x="4"/>
        <item x="2"/>
        <item x="21"/>
        <item x="20"/>
        <item m="1" x="34"/>
        <item m="1" x="29"/>
        <item m="1" x="31"/>
        <item m="1" x="32"/>
        <item m="1" x="44"/>
        <item x="3"/>
        <item x="11"/>
        <item m="1" x="37"/>
        <item x="0"/>
        <item x="10"/>
        <item x="19"/>
        <item x="23"/>
        <item x="9"/>
        <item x="5"/>
        <item m="1" x="28"/>
        <item x="14"/>
        <item m="1" x="27"/>
        <item m="1" x="43"/>
        <item x="8"/>
        <item x="16"/>
        <item x="1"/>
        <item x="13"/>
        <item m="1" x="38"/>
        <item x="18"/>
        <item m="1" x="33"/>
        <item x="15"/>
        <item m="1" x="39"/>
        <item m="1" x="35"/>
        <item m="1" x="41"/>
        <item m="1" x="40"/>
        <item m="1" x="30"/>
        <item m="1" x="25"/>
        <item m="1" x="42"/>
        <item m="1" x="45"/>
        <item x="24"/>
        <item x="7"/>
        <item x="22"/>
        <item x="17"/>
        <item m="1" x="26"/>
      </items>
    </pivotField>
    <pivotField compact="0" outline="0" subtotalTop="0" showAll="0" defaultSubtotal="0"/>
    <pivotField compact="0" outline="0" showAll="0" defaultSubtotal="0">
      <items count="17">
        <item x="4"/>
        <item x="0"/>
        <item x="5"/>
        <item m="1" x="15"/>
        <item m="1" x="11"/>
        <item m="1" x="12"/>
        <item m="1" x="7"/>
        <item x="1"/>
        <item m="1" x="10"/>
        <item m="1" x="13"/>
        <item m="1" x="16"/>
        <item m="1" x="14"/>
        <item m="1" x="8"/>
        <item m="1" x="9"/>
        <item x="3"/>
        <item x="2"/>
        <item m="1" x="6"/>
      </items>
    </pivotField>
    <pivotField compact="0" outline="0" showAll="0" defaultSubtotal="0">
      <items count="121">
        <item m="1" x="93"/>
        <item x="31"/>
        <item x="10"/>
        <item m="1" x="95"/>
        <item x="0"/>
        <item m="1" x="68"/>
        <item m="1" x="99"/>
        <item m="1" x="118"/>
        <item m="1" x="74"/>
        <item m="1" x="70"/>
        <item m="1" x="83"/>
        <item m="1" x="61"/>
        <item m="1" x="69"/>
        <item m="1" x="94"/>
        <item m="1" x="101"/>
        <item x="7"/>
        <item x="43"/>
        <item x="52"/>
        <item x="28"/>
        <item x="50"/>
        <item m="1" x="71"/>
        <item m="1" x="109"/>
        <item x="46"/>
        <item x="38"/>
        <item x="27"/>
        <item x="12"/>
        <item x="18"/>
        <item x="29"/>
        <item m="1" x="117"/>
        <item x="21"/>
        <item m="1" x="97"/>
        <item x="17"/>
        <item m="1" x="56"/>
        <item x="23"/>
        <item x="20"/>
        <item m="1" x="66"/>
        <item m="1" x="108"/>
        <item m="1" x="57"/>
        <item m="1" x="111"/>
        <item m="1" x="100"/>
        <item x="35"/>
        <item x="48"/>
        <item x="26"/>
        <item m="1" x="119"/>
        <item m="1" x="92"/>
        <item x="53"/>
        <item m="1" x="85"/>
        <item m="1" x="73"/>
        <item m="1" x="107"/>
        <item x="33"/>
        <item m="1" x="86"/>
        <item x="45"/>
        <item x="54"/>
        <item x="13"/>
        <item m="1" x="75"/>
        <item m="1" x="60"/>
        <item m="1" x="106"/>
        <item x="19"/>
        <item m="1" x="76"/>
        <item m="1" x="77"/>
        <item x="14"/>
        <item m="1" x="72"/>
        <item x="51"/>
        <item x="16"/>
        <item m="1" x="84"/>
        <item m="1" x="78"/>
        <item m="1" x="98"/>
        <item m="1" x="65"/>
        <item m="1" x="62"/>
        <item m="1" x="59"/>
        <item m="1" x="110"/>
        <item m="1" x="87"/>
        <item x="2"/>
        <item x="15"/>
        <item x="39"/>
        <item m="1" x="88"/>
        <item m="1" x="82"/>
        <item x="5"/>
        <item x="6"/>
        <item x="40"/>
        <item x="42"/>
        <item m="1" x="114"/>
        <item m="1" x="115"/>
        <item m="1" x="64"/>
        <item x="41"/>
        <item x="37"/>
        <item m="1" x="67"/>
        <item x="36"/>
        <item x="11"/>
        <item x="1"/>
        <item m="1" x="90"/>
        <item m="1" x="79"/>
        <item x="4"/>
        <item x="8"/>
        <item m="1" x="80"/>
        <item m="1" x="105"/>
        <item m="1" x="55"/>
        <item x="30"/>
        <item m="1" x="103"/>
        <item m="1" x="96"/>
        <item m="1" x="91"/>
        <item m="1" x="120"/>
        <item x="3"/>
        <item m="1" x="104"/>
        <item m="1" x="112"/>
        <item x="25"/>
        <item x="9"/>
        <item m="1" x="113"/>
        <item m="1" x="116"/>
        <item m="1" x="102"/>
        <item m="1" x="81"/>
        <item m="1" x="63"/>
        <item x="49"/>
        <item m="1" x="89"/>
        <item x="24"/>
        <item x="44"/>
        <item x="34"/>
        <item x="32"/>
        <item x="22"/>
        <item x="47"/>
        <item m="1" x="58"/>
      </items>
    </pivotField>
    <pivotField compact="0" outline="0" showAll="0" defaultSubtotal="0"/>
    <pivotField compact="0" outline="0" showAll="0" defaultSubtotal="0">
      <items count="78">
        <item m="1" x="71"/>
        <item m="1" x="75"/>
        <item m="1" x="74"/>
        <item m="1" x="70"/>
        <item m="1" x="72"/>
        <item m="1" x="76"/>
        <item m="1" x="73"/>
        <item m="1" x="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s>
    </pivotField>
    <pivotField dataField="1" compact="0" numFmtId="2" outline="0" showAll="0" defaultSubtotal="0"/>
    <pivotField compact="0" numFmtId="14" outline="0" subtotalTop="0" showAll="0" defaultSubtotal="0">
      <items count="29">
        <item x="0"/>
        <item x="1"/>
        <item x="2"/>
        <item x="3"/>
        <item x="4"/>
        <item x="5"/>
        <item x="6"/>
        <item x="7"/>
        <item x="8"/>
        <item x="9"/>
        <item x="10"/>
        <item x="11"/>
        <item x="12"/>
        <item x="13"/>
        <item x="14"/>
        <item x="15"/>
        <item x="16"/>
        <item x="17"/>
        <item x="18"/>
        <item x="19"/>
        <item x="20"/>
        <item x="21"/>
        <item x="22"/>
        <item m="1" x="24"/>
        <item m="1" x="27"/>
        <item m="1" x="28"/>
        <item m="1" x="26"/>
        <item m="1" x="25"/>
        <item m="1" x="23"/>
      </items>
    </pivotField>
    <pivotField compact="0" outline="0" subtotalTop="0" showAll="0" defaultSubtotal="0">
      <items count="12">
        <item x="0"/>
        <item x="1"/>
        <item x="2"/>
        <item x="3"/>
        <item x="4"/>
        <item x="5"/>
        <item x="6"/>
        <item x="7"/>
        <item x="8"/>
        <item x="9"/>
        <item x="10"/>
        <item x="11"/>
      </items>
    </pivotField>
  </pivotFields>
  <rowFields count="1">
    <field x="0"/>
  </rowFields>
  <rowItems count="2">
    <i>
      <x v="5"/>
    </i>
    <i>
      <x v="6"/>
    </i>
  </rowItems>
  <colItems count="1">
    <i/>
  </colItems>
  <dataFields count="1">
    <dataField name="Sum of Hours_x000a_" fld="7" baseField="0" baseItem="0" numFmtId="2"/>
  </dataFields>
  <formats count="38">
    <format dxfId="182">
      <pivotArea type="all" dataOnly="0" outline="0" fieldPosition="0"/>
    </format>
    <format dxfId="181">
      <pivotArea field="0" type="button" dataOnly="0" labelOnly="1" outline="0" axis="axisRow" fieldPosition="0"/>
    </format>
    <format dxfId="180">
      <pivotArea dataOnly="0" labelOnly="1" grandRow="1" outline="0" fieldPosition="0"/>
    </format>
    <format dxfId="179">
      <pivotArea type="all" dataOnly="0" outline="0" fieldPosition="0"/>
    </format>
    <format dxfId="178">
      <pivotArea outline="0" collapsedLevelsAreSubtotals="1" fieldPosition="0"/>
    </format>
    <format dxfId="177">
      <pivotArea field="6" type="button" dataOnly="0" labelOnly="1" outline="0"/>
    </format>
    <format dxfId="176">
      <pivotArea dataOnly="0" labelOnly="1" grandRow="1" outline="0" fieldPosition="0"/>
    </format>
    <format dxfId="175">
      <pivotArea dataOnly="0" labelOnly="1" outline="0" axis="axisValues" fieldPosition="0"/>
    </format>
    <format dxfId="174">
      <pivotArea type="all" dataOnly="0" outline="0" fieldPosition="0"/>
    </format>
    <format dxfId="173">
      <pivotArea outline="0" collapsedLevelsAreSubtotals="1" fieldPosition="0"/>
    </format>
    <format dxfId="172">
      <pivotArea field="0" type="button" dataOnly="0" labelOnly="1" outline="0" axis="axisRow" fieldPosition="0"/>
    </format>
    <format dxfId="171">
      <pivotArea dataOnly="0" labelOnly="1" outline="0" fieldPosition="0">
        <references count="1">
          <reference field="0" count="0"/>
        </references>
      </pivotArea>
    </format>
    <format dxfId="170">
      <pivotArea dataOnly="0" labelOnly="1" outline="0" axis="axisValues" fieldPosition="0"/>
    </format>
    <format dxfId="169">
      <pivotArea type="all" dataOnly="0" outline="0" fieldPosition="0"/>
    </format>
    <format dxfId="168">
      <pivotArea outline="0" collapsedLevelsAreSubtotals="1" fieldPosition="0"/>
    </format>
    <format dxfId="167">
      <pivotArea field="0" type="button" dataOnly="0" labelOnly="1" outline="0" axis="axisRow" fieldPosition="0"/>
    </format>
    <format dxfId="166">
      <pivotArea dataOnly="0" labelOnly="1" outline="0" fieldPosition="0">
        <references count="1">
          <reference field="0" count="0"/>
        </references>
      </pivotArea>
    </format>
    <format dxfId="165">
      <pivotArea dataOnly="0" labelOnly="1" outline="0" axis="axisValues" fieldPosition="0"/>
    </format>
    <format dxfId="164">
      <pivotArea type="all" dataOnly="0" outline="0" fieldPosition="0"/>
    </format>
    <format dxfId="163">
      <pivotArea outline="0" collapsedLevelsAreSubtotals="1" fieldPosition="0"/>
    </format>
    <format dxfId="162">
      <pivotArea field="0" type="button" dataOnly="0" labelOnly="1" outline="0" axis="axisRow" fieldPosition="0"/>
    </format>
    <format dxfId="161">
      <pivotArea dataOnly="0" labelOnly="1" outline="0" fieldPosition="0">
        <references count="1">
          <reference field="0" count="0"/>
        </references>
      </pivotArea>
    </format>
    <format dxfId="160">
      <pivotArea dataOnly="0" labelOnly="1" outline="0" axis="axisValues" fieldPosition="0"/>
    </format>
    <format dxfId="159">
      <pivotArea type="all" dataOnly="0" outline="0" fieldPosition="0"/>
    </format>
    <format dxfId="158">
      <pivotArea outline="0" collapsedLevelsAreSubtotals="1" fieldPosition="0"/>
    </format>
    <format dxfId="157">
      <pivotArea field="0" type="button" dataOnly="0" labelOnly="1" outline="0" axis="axisRow" fieldPosition="0"/>
    </format>
    <format dxfId="156">
      <pivotArea dataOnly="0" labelOnly="1" outline="0" fieldPosition="0">
        <references count="1">
          <reference field="0" count="0"/>
        </references>
      </pivotArea>
    </format>
    <format dxfId="155">
      <pivotArea dataOnly="0" labelOnly="1" outline="0" axis="axisValues" fieldPosition="0"/>
    </format>
    <format dxfId="154">
      <pivotArea type="all" dataOnly="0" outline="0" fieldPosition="0"/>
    </format>
    <format dxfId="153">
      <pivotArea outline="0" collapsedLevelsAreSubtotals="1" fieldPosition="0"/>
    </format>
    <format dxfId="152">
      <pivotArea field="0" type="button" dataOnly="0" labelOnly="1" outline="0" axis="axisRow" fieldPosition="0"/>
    </format>
    <format dxfId="151">
      <pivotArea dataOnly="0" labelOnly="1" outline="0" fieldPosition="0">
        <references count="1">
          <reference field="0" count="0"/>
        </references>
      </pivotArea>
    </format>
    <format dxfId="150">
      <pivotArea dataOnly="0" labelOnly="1" outline="0" axis="axisValues" fieldPosition="0"/>
    </format>
    <format dxfId="149">
      <pivotArea type="all" dataOnly="0" outline="0" fieldPosition="0"/>
    </format>
    <format dxfId="148">
      <pivotArea outline="0" collapsedLevelsAreSubtotals="1" fieldPosition="0"/>
    </format>
    <format dxfId="147">
      <pivotArea field="0" type="button" dataOnly="0" labelOnly="1" outline="0" axis="axisRow" fieldPosition="0"/>
    </format>
    <format dxfId="146">
      <pivotArea dataOnly="0" labelOnly="1" outline="0" fieldPosition="0">
        <references count="1">
          <reference field="0" count="0"/>
        </references>
      </pivotArea>
    </format>
    <format dxfId="145">
      <pivotArea dataOnly="0" labelOnly="1" outline="0" axis="axisValues" fieldPosition="0"/>
    </format>
  </formats>
  <chartFormats count="4">
    <chartFormat chart="25" format="1" series="1">
      <pivotArea type="data" outline="0" fieldPosition="0">
        <references count="1">
          <reference field="4294967294" count="1" selected="0">
            <x v="0"/>
          </reference>
        </references>
      </pivotArea>
    </chartFormat>
    <chartFormat chart="26" format="2" series="1">
      <pivotArea type="data" outline="0" fieldPosition="0">
        <references count="1">
          <reference field="4294967294" count="1" selected="0">
            <x v="0"/>
          </reference>
        </references>
      </pivotArea>
    </chartFormat>
    <chartFormat chart="26" format="3">
      <pivotArea type="data" outline="0" fieldPosition="0">
        <references count="2">
          <reference field="4294967294" count="1" selected="0">
            <x v="0"/>
          </reference>
          <reference field="0" count="1" selected="0">
            <x v="1"/>
          </reference>
        </references>
      </pivotArea>
    </chartFormat>
    <chartFormat chart="26" format="4">
      <pivotArea type="data" outline="0" fieldPosition="0">
        <references count="2">
          <reference field="4294967294" count="1" selected="0">
            <x v="0"/>
          </reference>
          <reference field="0" count="1" selected="0">
            <x v="0"/>
          </reference>
        </references>
      </pivotArea>
    </chartFormat>
  </chartFormat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61C739A-4A9B-4527-83F2-0ADDABD2CE23}" name="PivotTable6"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5">
  <location ref="I95:J151" firstHeaderRow="1" firstDataRow="1" firstDataCol="1"/>
  <pivotFields count="10">
    <pivotField showAll="0">
      <items count="8">
        <item m="1" x="5"/>
        <item m="1" x="3"/>
        <item m="1" x="2"/>
        <item m="1" x="4"/>
        <item m="1" x="6"/>
        <item x="0"/>
        <item x="1"/>
        <item t="default"/>
      </items>
    </pivotField>
    <pivotField showAll="0">
      <items count="47">
        <item x="12"/>
        <item m="1" x="36"/>
        <item x="6"/>
        <item x="4"/>
        <item x="2"/>
        <item x="21"/>
        <item x="20"/>
        <item m="1" x="34"/>
        <item m="1" x="29"/>
        <item m="1" x="31"/>
        <item m="1" x="32"/>
        <item m="1" x="44"/>
        <item x="3"/>
        <item x="11"/>
        <item m="1" x="37"/>
        <item x="0"/>
        <item x="10"/>
        <item x="19"/>
        <item x="23"/>
        <item x="9"/>
        <item x="5"/>
        <item m="1" x="28"/>
        <item x="14"/>
        <item m="1" x="27"/>
        <item m="1" x="43"/>
        <item x="8"/>
        <item x="16"/>
        <item x="1"/>
        <item x="13"/>
        <item m="1" x="38"/>
        <item x="18"/>
        <item m="1" x="33"/>
        <item x="15"/>
        <item m="1" x="39"/>
        <item m="1" x="35"/>
        <item m="1" x="41"/>
        <item m="1" x="40"/>
        <item m="1" x="30"/>
        <item m="1" x="25"/>
        <item m="1" x="42"/>
        <item m="1" x="45"/>
        <item x="24"/>
        <item x="7"/>
        <item x="22"/>
        <item x="17"/>
        <item m="1" x="26"/>
        <item t="default"/>
      </items>
    </pivotField>
    <pivotField showAll="0"/>
    <pivotField showAll="0">
      <items count="18">
        <item x="4"/>
        <item x="0"/>
        <item x="5"/>
        <item m="1" x="15"/>
        <item m="1" x="11"/>
        <item m="1" x="12"/>
        <item m="1" x="7"/>
        <item x="1"/>
        <item m="1" x="10"/>
        <item m="1" x="13"/>
        <item m="1" x="16"/>
        <item m="1" x="14"/>
        <item m="1" x="8"/>
        <item m="1" x="9"/>
        <item x="3"/>
        <item x="2"/>
        <item m="1" x="6"/>
        <item t="default"/>
      </items>
    </pivotField>
    <pivotField axis="axisRow" showAll="0">
      <items count="122">
        <item m="1" x="68"/>
        <item m="1" x="118"/>
        <item m="1" x="74"/>
        <item m="1" x="109"/>
        <item x="17"/>
        <item m="1" x="56"/>
        <item m="1" x="108"/>
        <item m="1" x="57"/>
        <item m="1" x="100"/>
        <item m="1" x="119"/>
        <item m="1" x="92"/>
        <item m="1" x="85"/>
        <item m="1" x="73"/>
        <item x="14"/>
        <item m="1" x="72"/>
        <item m="1" x="59"/>
        <item m="1" x="110"/>
        <item m="1" x="87"/>
        <item x="5"/>
        <item x="6"/>
        <item m="1" x="114"/>
        <item m="1" x="115"/>
        <item m="1" x="67"/>
        <item x="8"/>
        <item m="1" x="80"/>
        <item m="1" x="105"/>
        <item m="1" x="55"/>
        <item x="3"/>
        <item m="1" x="104"/>
        <item m="1" x="112"/>
        <item x="9"/>
        <item m="1" x="113"/>
        <item m="1" x="116"/>
        <item m="1" x="102"/>
        <item m="1" x="63"/>
        <item x="47"/>
        <item m="1" x="58"/>
        <item m="1" x="64"/>
        <item m="1" x="71"/>
        <item m="1" x="99"/>
        <item m="1" x="111"/>
        <item m="1" x="81"/>
        <item m="1" x="65"/>
        <item m="1" x="101"/>
        <item x="0"/>
        <item x="1"/>
        <item x="2"/>
        <item x="4"/>
        <item m="1" x="82"/>
        <item x="7"/>
        <item m="1" x="95"/>
        <item m="1" x="84"/>
        <item x="15"/>
        <item x="16"/>
        <item x="18"/>
        <item m="1" x="76"/>
        <item x="23"/>
        <item x="22"/>
        <item x="24"/>
        <item x="25"/>
        <item x="26"/>
        <item m="1" x="120"/>
        <item m="1" x="91"/>
        <item x="29"/>
        <item x="30"/>
        <item x="20"/>
        <item x="19"/>
        <item x="31"/>
        <item m="1" x="78"/>
        <item x="32"/>
        <item m="1" x="86"/>
        <item x="33"/>
        <item m="1" x="66"/>
        <item x="34"/>
        <item x="35"/>
        <item x="36"/>
        <item m="1" x="89"/>
        <item m="1" x="97"/>
        <item x="37"/>
        <item m="1" x="88"/>
        <item m="1" x="93"/>
        <item x="10"/>
        <item x="38"/>
        <item m="1" x="79"/>
        <item m="1" x="61"/>
        <item m="1" x="98"/>
        <item m="1" x="75"/>
        <item m="1" x="117"/>
        <item x="40"/>
        <item m="1" x="107"/>
        <item m="1" x="60"/>
        <item x="41"/>
        <item x="42"/>
        <item m="1" x="70"/>
        <item m="1" x="96"/>
        <item x="43"/>
        <item m="1" x="106"/>
        <item x="44"/>
        <item x="45"/>
        <item m="1" x="69"/>
        <item m="1" x="77"/>
        <item m="1" x="94"/>
        <item m="1" x="103"/>
        <item m="1" x="62"/>
        <item x="48"/>
        <item m="1" x="90"/>
        <item x="21"/>
        <item x="51"/>
        <item x="52"/>
        <item m="1" x="83"/>
        <item x="53"/>
        <item x="54"/>
        <item x="11"/>
        <item x="12"/>
        <item x="13"/>
        <item x="27"/>
        <item x="28"/>
        <item x="39"/>
        <item x="46"/>
        <item x="49"/>
        <item x="50"/>
        <item t="default"/>
      </items>
    </pivotField>
    <pivotField showAll="0"/>
    <pivotField showAll="0">
      <items count="79">
        <item x="0"/>
        <item x="1"/>
        <item x="2"/>
        <item x="3"/>
        <item x="4"/>
        <item x="5"/>
        <item x="6"/>
        <item x="7"/>
        <item x="8"/>
        <item x="9"/>
        <item x="10"/>
        <item x="11"/>
        <item x="12"/>
        <item x="13"/>
        <item x="14"/>
        <item x="15"/>
        <item x="16"/>
        <item x="17"/>
        <item x="18"/>
        <item x="19"/>
        <item x="20"/>
        <item x="21"/>
        <item x="31"/>
        <item x="33"/>
        <item x="36"/>
        <item x="39"/>
        <item x="41"/>
        <item x="46"/>
        <item x="49"/>
        <item x="51"/>
        <item x="54"/>
        <item x="57"/>
        <item x="58"/>
        <item x="60"/>
        <item x="62"/>
        <item x="64"/>
        <item x="66"/>
        <item x="68"/>
        <item x="22"/>
        <item x="23"/>
        <item x="24"/>
        <item x="25"/>
        <item x="32"/>
        <item x="34"/>
        <item x="37"/>
        <item x="42"/>
        <item x="44"/>
        <item x="47"/>
        <item x="50"/>
        <item x="52"/>
        <item x="55"/>
        <item x="59"/>
        <item x="61"/>
        <item x="63"/>
        <item x="65"/>
        <item x="67"/>
        <item x="69"/>
        <item x="26"/>
        <item x="27"/>
        <item x="35"/>
        <item x="38"/>
        <item x="40"/>
        <item x="43"/>
        <item x="45"/>
        <item x="48"/>
        <item x="53"/>
        <item x="56"/>
        <item x="28"/>
        <item x="29"/>
        <item x="30"/>
        <item m="1" x="73"/>
        <item m="1" x="77"/>
        <item m="1" x="71"/>
        <item m="1" x="75"/>
        <item m="1" x="74"/>
        <item m="1" x="70"/>
        <item m="1" x="72"/>
        <item m="1" x="76"/>
        <item t="default"/>
      </items>
    </pivotField>
    <pivotField dataField="1" numFmtId="2" showAll="0"/>
    <pivotField numFmtId="14" showAll="0">
      <items count="30">
        <item x="0"/>
        <item x="1"/>
        <item x="2"/>
        <item x="3"/>
        <item x="4"/>
        <item x="5"/>
        <item x="6"/>
        <item x="7"/>
        <item x="8"/>
        <item x="9"/>
        <item x="10"/>
        <item x="11"/>
        <item x="12"/>
        <item x="13"/>
        <item x="14"/>
        <item x="15"/>
        <item x="16"/>
        <item x="17"/>
        <item x="18"/>
        <item x="19"/>
        <item x="20"/>
        <item x="21"/>
        <item x="22"/>
        <item m="1" x="24"/>
        <item m="1" x="27"/>
        <item m="1" x="28"/>
        <item m="1" x="26"/>
        <item m="1" x="25"/>
        <item m="1" x="23"/>
        <item t="default"/>
      </items>
    </pivotField>
    <pivotField showAll="0">
      <items count="13">
        <item x="0"/>
        <item x="1"/>
        <item x="2"/>
        <item x="3"/>
        <item x="4"/>
        <item x="5"/>
        <item x="6"/>
        <item x="7"/>
        <item x="8"/>
        <item x="9"/>
        <item x="10"/>
        <item x="11"/>
        <item t="default"/>
      </items>
    </pivotField>
  </pivotFields>
  <rowFields count="1">
    <field x="4"/>
  </rowFields>
  <rowItems count="56">
    <i>
      <x v="4"/>
    </i>
    <i>
      <x v="13"/>
    </i>
    <i>
      <x v="18"/>
    </i>
    <i>
      <x v="19"/>
    </i>
    <i>
      <x v="23"/>
    </i>
    <i>
      <x v="27"/>
    </i>
    <i>
      <x v="30"/>
    </i>
    <i>
      <x v="35"/>
    </i>
    <i>
      <x v="44"/>
    </i>
    <i>
      <x v="45"/>
    </i>
    <i>
      <x v="46"/>
    </i>
    <i>
      <x v="47"/>
    </i>
    <i>
      <x v="49"/>
    </i>
    <i>
      <x v="52"/>
    </i>
    <i>
      <x v="53"/>
    </i>
    <i>
      <x v="54"/>
    </i>
    <i>
      <x v="56"/>
    </i>
    <i>
      <x v="57"/>
    </i>
    <i>
      <x v="58"/>
    </i>
    <i>
      <x v="59"/>
    </i>
    <i>
      <x v="60"/>
    </i>
    <i>
      <x v="63"/>
    </i>
    <i>
      <x v="64"/>
    </i>
    <i>
      <x v="65"/>
    </i>
    <i>
      <x v="66"/>
    </i>
    <i>
      <x v="67"/>
    </i>
    <i>
      <x v="69"/>
    </i>
    <i>
      <x v="71"/>
    </i>
    <i>
      <x v="73"/>
    </i>
    <i>
      <x v="74"/>
    </i>
    <i>
      <x v="75"/>
    </i>
    <i>
      <x v="78"/>
    </i>
    <i>
      <x v="81"/>
    </i>
    <i>
      <x v="82"/>
    </i>
    <i>
      <x v="88"/>
    </i>
    <i>
      <x v="91"/>
    </i>
    <i>
      <x v="92"/>
    </i>
    <i>
      <x v="95"/>
    </i>
    <i>
      <x v="97"/>
    </i>
    <i>
      <x v="98"/>
    </i>
    <i>
      <x v="104"/>
    </i>
    <i>
      <x v="106"/>
    </i>
    <i>
      <x v="107"/>
    </i>
    <i>
      <x v="108"/>
    </i>
    <i>
      <x v="110"/>
    </i>
    <i>
      <x v="111"/>
    </i>
    <i>
      <x v="112"/>
    </i>
    <i>
      <x v="113"/>
    </i>
    <i>
      <x v="114"/>
    </i>
    <i>
      <x v="115"/>
    </i>
    <i>
      <x v="116"/>
    </i>
    <i>
      <x v="117"/>
    </i>
    <i>
      <x v="118"/>
    </i>
    <i>
      <x v="119"/>
    </i>
    <i>
      <x v="120"/>
    </i>
    <i t="grand">
      <x/>
    </i>
  </rowItems>
  <colItems count="1">
    <i/>
  </colItems>
  <dataFields count="1">
    <dataField name="Sum of Hours_x000a_" fld="7" baseField="0" baseItem="0" numFmtId="2"/>
  </dataFields>
  <formats count="47">
    <format dxfId="229">
      <pivotArea type="all" dataOnly="0" outline="0" fieldPosition="0"/>
    </format>
    <format dxfId="228">
      <pivotArea field="0" type="button" dataOnly="0" labelOnly="1" outline="0"/>
    </format>
    <format dxfId="227">
      <pivotArea dataOnly="0" labelOnly="1" grandRow="1" outline="0" fieldPosition="0"/>
    </format>
    <format dxfId="226">
      <pivotArea type="all" dataOnly="0" outline="0" fieldPosition="0"/>
    </format>
    <format dxfId="225">
      <pivotArea outline="0" collapsedLevelsAreSubtotals="1" fieldPosition="0"/>
    </format>
    <format dxfId="224">
      <pivotArea field="4" type="button" dataOnly="0" labelOnly="1" outline="0" axis="axisRow" fieldPosition="0"/>
    </format>
    <format dxfId="223">
      <pivotArea dataOnly="0" labelOnly="1" fieldPosition="0">
        <references count="1">
          <reference field="4" count="19">
            <x v="0"/>
            <x v="7"/>
            <x v="8"/>
            <x v="10"/>
            <x v="14"/>
            <x v="17"/>
            <x v="18"/>
            <x v="21"/>
            <x v="23"/>
            <x v="24"/>
            <x v="25"/>
            <x v="26"/>
            <x v="27"/>
            <x v="30"/>
            <x v="31"/>
            <x v="33"/>
            <x v="34"/>
            <x v="35"/>
            <x v="40"/>
          </reference>
        </references>
      </pivotArea>
    </format>
    <format dxfId="222">
      <pivotArea dataOnly="0" labelOnly="1" grandRow="1" outline="0" fieldPosition="0"/>
    </format>
    <format dxfId="221">
      <pivotArea dataOnly="0" labelOnly="1" outline="0" axis="axisValues" fieldPosition="0"/>
    </format>
    <format dxfId="220">
      <pivotArea type="all" dataOnly="0" outline="0" fieldPosition="0"/>
    </format>
    <format dxfId="219">
      <pivotArea outline="0" collapsedLevelsAreSubtotals="1" fieldPosition="0"/>
    </format>
    <format dxfId="218">
      <pivotArea field="4" type="button" dataOnly="0" labelOnly="1" outline="0" axis="axisRow" fieldPosition="0"/>
    </format>
    <format dxfId="217">
      <pivotArea dataOnly="0" labelOnly="1" fieldPosition="0">
        <references count="1">
          <reference field="4" count="19">
            <x v="0"/>
            <x v="7"/>
            <x v="8"/>
            <x v="10"/>
            <x v="14"/>
            <x v="17"/>
            <x v="18"/>
            <x v="21"/>
            <x v="23"/>
            <x v="24"/>
            <x v="25"/>
            <x v="26"/>
            <x v="27"/>
            <x v="30"/>
            <x v="31"/>
            <x v="33"/>
            <x v="34"/>
            <x v="35"/>
            <x v="40"/>
          </reference>
        </references>
      </pivotArea>
    </format>
    <format dxfId="216">
      <pivotArea dataOnly="0" labelOnly="1" grandRow="1" outline="0" fieldPosition="0"/>
    </format>
    <format dxfId="215">
      <pivotArea dataOnly="0" labelOnly="1" outline="0" axis="axisValues" fieldPosition="0"/>
    </format>
    <format dxfId="214">
      <pivotArea type="all" dataOnly="0" outline="0" fieldPosition="0"/>
    </format>
    <format dxfId="213">
      <pivotArea outline="0" collapsedLevelsAreSubtotals="1" fieldPosition="0"/>
    </format>
    <format dxfId="212">
      <pivotArea field="4" type="button" dataOnly="0" labelOnly="1" outline="0" axis="axisRow" fieldPosition="0"/>
    </format>
    <format dxfId="211">
      <pivotArea dataOnly="0" labelOnly="1" fieldPosition="0">
        <references count="1">
          <reference field="4" count="19">
            <x v="0"/>
            <x v="7"/>
            <x v="8"/>
            <x v="10"/>
            <x v="14"/>
            <x v="17"/>
            <x v="18"/>
            <x v="21"/>
            <x v="23"/>
            <x v="24"/>
            <x v="25"/>
            <x v="26"/>
            <x v="27"/>
            <x v="30"/>
            <x v="31"/>
            <x v="33"/>
            <x v="34"/>
            <x v="35"/>
            <x v="40"/>
          </reference>
        </references>
      </pivotArea>
    </format>
    <format dxfId="210">
      <pivotArea dataOnly="0" labelOnly="1" grandRow="1" outline="0" fieldPosition="0"/>
    </format>
    <format dxfId="209">
      <pivotArea dataOnly="0" labelOnly="1" outline="0" axis="axisValues" fieldPosition="0"/>
    </format>
    <format dxfId="208">
      <pivotArea type="all" dataOnly="0" outline="0" fieldPosition="0"/>
    </format>
    <format dxfId="207">
      <pivotArea outline="0" collapsedLevelsAreSubtotals="1" fieldPosition="0"/>
    </format>
    <format dxfId="206">
      <pivotArea field="4" type="button" dataOnly="0" labelOnly="1" outline="0" axis="axisRow" fieldPosition="0"/>
    </format>
    <format dxfId="205">
      <pivotArea dataOnly="0" labelOnly="1" fieldPosition="0">
        <references count="1">
          <reference field="4" count="19">
            <x v="0"/>
            <x v="7"/>
            <x v="8"/>
            <x v="10"/>
            <x v="14"/>
            <x v="17"/>
            <x v="18"/>
            <x v="21"/>
            <x v="23"/>
            <x v="24"/>
            <x v="25"/>
            <x v="26"/>
            <x v="27"/>
            <x v="30"/>
            <x v="31"/>
            <x v="33"/>
            <x v="34"/>
            <x v="35"/>
            <x v="40"/>
          </reference>
        </references>
      </pivotArea>
    </format>
    <format dxfId="204">
      <pivotArea dataOnly="0" labelOnly="1" grandRow="1" outline="0" fieldPosition="0"/>
    </format>
    <format dxfId="203">
      <pivotArea dataOnly="0" labelOnly="1" outline="0" axis="axisValues" fieldPosition="0"/>
    </format>
    <format dxfId="202">
      <pivotArea type="all" dataOnly="0" outline="0" fieldPosition="0"/>
    </format>
    <format dxfId="201">
      <pivotArea outline="0" collapsedLevelsAreSubtotals="1" fieldPosition="0"/>
    </format>
    <format dxfId="200">
      <pivotArea field="4" type="button" dataOnly="0" labelOnly="1" outline="0" axis="axisRow" fieldPosition="0"/>
    </format>
    <format dxfId="199">
      <pivotArea dataOnly="0" labelOnly="1" fieldPosition="0">
        <references count="1">
          <reference field="4" count="0"/>
        </references>
      </pivotArea>
    </format>
    <format dxfId="198">
      <pivotArea dataOnly="0" labelOnly="1" grandRow="1" outline="0" fieldPosition="0"/>
    </format>
    <format dxfId="197">
      <pivotArea dataOnly="0" labelOnly="1" outline="0" axis="axisValues" fieldPosition="0"/>
    </format>
    <format dxfId="196">
      <pivotArea type="all" dataOnly="0" outline="0" fieldPosition="0"/>
    </format>
    <format dxfId="195">
      <pivotArea outline="0" collapsedLevelsAreSubtotals="1" fieldPosition="0"/>
    </format>
    <format dxfId="194">
      <pivotArea field="4" type="button" dataOnly="0" labelOnly="1" outline="0" axis="axisRow" fieldPosition="0"/>
    </format>
    <format dxfId="193">
      <pivotArea dataOnly="0" labelOnly="1" fieldPosition="0">
        <references count="1">
          <reference field="4" count="50">
            <x v="4"/>
            <x v="13"/>
            <x v="18"/>
            <x v="19"/>
            <x v="23"/>
            <x v="27"/>
            <x v="30"/>
            <x v="35"/>
            <x v="39"/>
            <x v="44"/>
            <x v="45"/>
            <x v="46"/>
            <x v="47"/>
            <x v="49"/>
            <x v="51"/>
            <x v="52"/>
            <x v="53"/>
            <x v="54"/>
            <x v="56"/>
            <x v="57"/>
            <x v="58"/>
            <x v="59"/>
            <x v="60"/>
            <x v="61"/>
            <x v="62"/>
            <x v="63"/>
            <x v="64"/>
            <x v="65"/>
            <x v="66"/>
            <x v="67"/>
            <x v="69"/>
            <x v="71"/>
            <x v="73"/>
            <x v="74"/>
            <x v="75"/>
            <x v="78"/>
            <x v="81"/>
            <x v="82"/>
            <x v="83"/>
            <x v="84"/>
            <x v="88"/>
            <x v="91"/>
            <x v="92"/>
            <x v="95"/>
            <x v="97"/>
            <x v="98"/>
            <x v="99"/>
            <x v="101"/>
            <x v="104"/>
            <x v="105"/>
          </reference>
        </references>
      </pivotArea>
    </format>
    <format dxfId="192">
      <pivotArea dataOnly="0" labelOnly="1" fieldPosition="0">
        <references count="1">
          <reference field="4" count="6">
            <x v="106"/>
            <x v="107"/>
            <x v="108"/>
            <x v="110"/>
            <x v="111"/>
            <x v="112"/>
          </reference>
        </references>
      </pivotArea>
    </format>
    <format dxfId="191">
      <pivotArea dataOnly="0" labelOnly="1" grandRow="1" outline="0" fieldPosition="0"/>
    </format>
    <format dxfId="190">
      <pivotArea dataOnly="0" labelOnly="1" outline="0" axis="axisValues" fieldPosition="0"/>
    </format>
    <format dxfId="189">
      <pivotArea type="all" dataOnly="0" outline="0" fieldPosition="0"/>
    </format>
    <format dxfId="188">
      <pivotArea outline="0" collapsedLevelsAreSubtotals="1" fieldPosition="0"/>
    </format>
    <format dxfId="187">
      <pivotArea field="4" type="button" dataOnly="0" labelOnly="1" outline="0" axis="axisRow" fieldPosition="0"/>
    </format>
    <format dxfId="186">
      <pivotArea dataOnly="0" labelOnly="1" fieldPosition="0">
        <references count="1">
          <reference field="4" count="50">
            <x v="4"/>
            <x v="13"/>
            <x v="18"/>
            <x v="19"/>
            <x v="23"/>
            <x v="27"/>
            <x v="30"/>
            <x v="35"/>
            <x v="39"/>
            <x v="44"/>
            <x v="45"/>
            <x v="46"/>
            <x v="47"/>
            <x v="49"/>
            <x v="51"/>
            <x v="52"/>
            <x v="53"/>
            <x v="54"/>
            <x v="56"/>
            <x v="57"/>
            <x v="58"/>
            <x v="59"/>
            <x v="60"/>
            <x v="61"/>
            <x v="62"/>
            <x v="63"/>
            <x v="64"/>
            <x v="65"/>
            <x v="66"/>
            <x v="67"/>
            <x v="69"/>
            <x v="71"/>
            <x v="73"/>
            <x v="74"/>
            <x v="75"/>
            <x v="78"/>
            <x v="81"/>
            <x v="82"/>
            <x v="83"/>
            <x v="84"/>
            <x v="88"/>
            <x v="91"/>
            <x v="92"/>
            <x v="95"/>
            <x v="97"/>
            <x v="98"/>
            <x v="99"/>
            <x v="101"/>
            <x v="104"/>
            <x v="105"/>
          </reference>
        </references>
      </pivotArea>
    </format>
    <format dxfId="185">
      <pivotArea dataOnly="0" labelOnly="1" fieldPosition="0">
        <references count="1">
          <reference field="4" count="6">
            <x v="106"/>
            <x v="107"/>
            <x v="108"/>
            <x v="110"/>
            <x v="111"/>
            <x v="112"/>
          </reference>
        </references>
      </pivotArea>
    </format>
    <format dxfId="184">
      <pivotArea dataOnly="0" labelOnly="1" grandRow="1" outline="0" fieldPosition="0"/>
    </format>
    <format dxfId="183">
      <pivotArea dataOnly="0" labelOnly="1" outline="0" axis="axisValues" fieldPosition="0"/>
    </format>
  </format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BF35D01-38DA-4086-89D1-6EBA1F0E0E64}" name="PivotTable7"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16">
  <location ref="B4:BT30" firstHeaderRow="1" firstDataRow="2" firstDataCol="1"/>
  <pivotFields count="10">
    <pivotField showAll="0">
      <items count="8">
        <item m="1" x="5"/>
        <item m="1" x="3"/>
        <item m="1" x="2"/>
        <item m="1" x="4"/>
        <item m="1" x="6"/>
        <item x="0"/>
        <item x="1"/>
        <item t="default"/>
      </items>
    </pivotField>
    <pivotField axis="axisRow" showAll="0">
      <items count="47">
        <item x="12"/>
        <item m="1" x="34"/>
        <item m="1" x="29"/>
        <item m="1" x="32"/>
        <item m="1" x="44"/>
        <item x="14"/>
        <item m="1" x="43"/>
        <item m="1" x="38"/>
        <item m="1" x="40"/>
        <item m="1" x="42"/>
        <item m="1" x="45"/>
        <item x="7"/>
        <item m="1" x="26"/>
        <item m="1" x="27"/>
        <item m="1" x="39"/>
        <item m="1" x="41"/>
        <item m="1" x="33"/>
        <item x="2"/>
        <item x="4"/>
        <item x="6"/>
        <item m="1" x="37"/>
        <item m="1" x="25"/>
        <item m="1" x="30"/>
        <item m="1" x="28"/>
        <item x="18"/>
        <item x="21"/>
        <item m="1" x="36"/>
        <item m="1" x="31"/>
        <item m="1" x="35"/>
        <item x="0"/>
        <item x="1"/>
        <item x="3"/>
        <item x="5"/>
        <item x="8"/>
        <item x="9"/>
        <item x="10"/>
        <item x="11"/>
        <item x="13"/>
        <item x="15"/>
        <item x="16"/>
        <item x="17"/>
        <item x="19"/>
        <item x="20"/>
        <item x="22"/>
        <item x="23"/>
        <item x="24"/>
        <item t="default"/>
      </items>
    </pivotField>
    <pivotField showAll="0"/>
    <pivotField showAll="0">
      <items count="18">
        <item x="4"/>
        <item x="0"/>
        <item x="5"/>
        <item m="1" x="15"/>
        <item m="1" x="11"/>
        <item m="1" x="12"/>
        <item m="1" x="7"/>
        <item x="1"/>
        <item m="1" x="10"/>
        <item m="1" x="13"/>
        <item m="1" x="16"/>
        <item m="1" x="14"/>
        <item m="1" x="8"/>
        <item m="1" x="9"/>
        <item x="3"/>
        <item x="2"/>
        <item m="1" x="6"/>
        <item t="default"/>
      </items>
    </pivotField>
    <pivotField showAll="0">
      <items count="122">
        <item m="1" x="93"/>
        <item x="31"/>
        <item x="10"/>
        <item m="1" x="95"/>
        <item x="0"/>
        <item m="1" x="68"/>
        <item m="1" x="99"/>
        <item m="1" x="118"/>
        <item m="1" x="74"/>
        <item m="1" x="70"/>
        <item m="1" x="83"/>
        <item m="1" x="61"/>
        <item m="1" x="69"/>
        <item m="1" x="94"/>
        <item m="1" x="101"/>
        <item x="7"/>
        <item x="43"/>
        <item x="52"/>
        <item x="28"/>
        <item x="50"/>
        <item m="1" x="71"/>
        <item m="1" x="109"/>
        <item x="46"/>
        <item x="38"/>
        <item x="27"/>
        <item x="12"/>
        <item x="18"/>
        <item x="29"/>
        <item m="1" x="117"/>
        <item x="21"/>
        <item m="1" x="97"/>
        <item x="17"/>
        <item m="1" x="56"/>
        <item x="23"/>
        <item x="20"/>
        <item m="1" x="66"/>
        <item m="1" x="108"/>
        <item m="1" x="57"/>
        <item m="1" x="111"/>
        <item m="1" x="100"/>
        <item x="35"/>
        <item x="48"/>
        <item x="26"/>
        <item m="1" x="119"/>
        <item m="1" x="92"/>
        <item x="53"/>
        <item m="1" x="85"/>
        <item m="1" x="73"/>
        <item m="1" x="107"/>
        <item x="33"/>
        <item m="1" x="86"/>
        <item x="45"/>
        <item x="54"/>
        <item x="13"/>
        <item m="1" x="75"/>
        <item m="1" x="60"/>
        <item m="1" x="106"/>
        <item x="19"/>
        <item m="1" x="76"/>
        <item m="1" x="77"/>
        <item x="14"/>
        <item m="1" x="72"/>
        <item x="51"/>
        <item x="16"/>
        <item m="1" x="84"/>
        <item m="1" x="78"/>
        <item m="1" x="98"/>
        <item m="1" x="65"/>
        <item m="1" x="62"/>
        <item m="1" x="59"/>
        <item m="1" x="110"/>
        <item m="1" x="87"/>
        <item x="2"/>
        <item x="15"/>
        <item x="39"/>
        <item m="1" x="88"/>
        <item m="1" x="82"/>
        <item x="5"/>
        <item x="6"/>
        <item x="40"/>
        <item x="42"/>
        <item m="1" x="114"/>
        <item m="1" x="115"/>
        <item m="1" x="64"/>
        <item x="41"/>
        <item x="37"/>
        <item m="1" x="67"/>
        <item x="36"/>
        <item x="11"/>
        <item x="1"/>
        <item m="1" x="90"/>
        <item m="1" x="79"/>
        <item x="4"/>
        <item x="8"/>
        <item m="1" x="80"/>
        <item m="1" x="105"/>
        <item m="1" x="55"/>
        <item x="30"/>
        <item m="1" x="103"/>
        <item m="1" x="96"/>
        <item m="1" x="91"/>
        <item m="1" x="120"/>
        <item x="3"/>
        <item m="1" x="104"/>
        <item m="1" x="112"/>
        <item x="25"/>
        <item x="9"/>
        <item m="1" x="113"/>
        <item m="1" x="116"/>
        <item m="1" x="102"/>
        <item m="1" x="81"/>
        <item m="1" x="63"/>
        <item x="49"/>
        <item m="1" x="89"/>
        <item x="24"/>
        <item x="44"/>
        <item x="34"/>
        <item x="32"/>
        <item x="22"/>
        <item x="47"/>
        <item m="1" x="58"/>
        <item t="default"/>
      </items>
    </pivotField>
    <pivotField showAll="0"/>
    <pivotField axis="axisCol" showAll="0">
      <items count="79">
        <item m="1" x="71"/>
        <item m="1" x="75"/>
        <item m="1" x="74"/>
        <item m="1" x="70"/>
        <item m="1" x="72"/>
        <item m="1" x="76"/>
        <item m="1" x="73"/>
        <item m="1" x="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t="default"/>
      </items>
    </pivotField>
    <pivotField dataField="1" numFmtId="2" showAll="0"/>
    <pivotField numFmtId="14" showAll="0">
      <items count="30">
        <item x="0"/>
        <item x="1"/>
        <item x="2"/>
        <item x="3"/>
        <item x="4"/>
        <item x="5"/>
        <item x="6"/>
        <item x="7"/>
        <item x="8"/>
        <item x="9"/>
        <item x="10"/>
        <item x="11"/>
        <item x="12"/>
        <item x="13"/>
        <item x="14"/>
        <item x="15"/>
        <item x="16"/>
        <item x="17"/>
        <item x="18"/>
        <item x="19"/>
        <item x="20"/>
        <item x="21"/>
        <item x="22"/>
        <item m="1" x="24"/>
        <item m="1" x="27"/>
        <item m="1" x="28"/>
        <item m="1" x="26"/>
        <item m="1" x="25"/>
        <item m="1" x="23"/>
        <item t="default"/>
      </items>
    </pivotField>
    <pivotField showAll="0">
      <items count="13">
        <item x="0"/>
        <item x="1"/>
        <item x="2"/>
        <item x="3"/>
        <item x="4"/>
        <item x="5"/>
        <item x="6"/>
        <item x="7"/>
        <item x="8"/>
        <item x="9"/>
        <item x="10"/>
        <item x="11"/>
        <item t="default"/>
      </items>
    </pivotField>
  </pivotFields>
  <rowFields count="1">
    <field x="1"/>
  </rowFields>
  <rowItems count="25">
    <i>
      <x/>
    </i>
    <i>
      <x v="5"/>
    </i>
    <i>
      <x v="11"/>
    </i>
    <i>
      <x v="17"/>
    </i>
    <i>
      <x v="18"/>
    </i>
    <i>
      <x v="19"/>
    </i>
    <i>
      <x v="24"/>
    </i>
    <i>
      <x v="25"/>
    </i>
    <i>
      <x v="29"/>
    </i>
    <i>
      <x v="30"/>
    </i>
    <i>
      <x v="31"/>
    </i>
    <i>
      <x v="32"/>
    </i>
    <i>
      <x v="33"/>
    </i>
    <i>
      <x v="34"/>
    </i>
    <i>
      <x v="35"/>
    </i>
    <i>
      <x v="36"/>
    </i>
    <i>
      <x v="37"/>
    </i>
    <i>
      <x v="38"/>
    </i>
    <i>
      <x v="39"/>
    </i>
    <i>
      <x v="40"/>
    </i>
    <i>
      <x v="41"/>
    </i>
    <i>
      <x v="42"/>
    </i>
    <i>
      <x v="43"/>
    </i>
    <i>
      <x v="44"/>
    </i>
    <i>
      <x v="45"/>
    </i>
  </rowItems>
  <colFields count="1">
    <field x="6"/>
  </colFields>
  <colItems count="70">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colItems>
  <dataFields count="1">
    <dataField name="Sum of Hours_x000a_" fld="7" baseField="0" baseItem="0" numFmtId="2"/>
  </dataFields>
  <formats count="57">
    <format dxfId="286">
      <pivotArea type="all" dataOnly="0" outline="0" fieldPosition="0"/>
    </format>
    <format dxfId="285">
      <pivotArea field="0" type="button" dataOnly="0" labelOnly="1" outline="0"/>
    </format>
    <format dxfId="284">
      <pivotArea dataOnly="0" labelOnly="1" grandRow="1" outline="0" fieldPosition="0"/>
    </format>
    <format dxfId="283">
      <pivotArea type="all" dataOnly="0" outline="0" fieldPosition="0"/>
    </format>
    <format dxfId="282">
      <pivotArea outline="0" collapsedLevelsAreSubtotals="1" fieldPosition="0"/>
    </format>
    <format dxfId="281">
      <pivotArea field="6" type="button" dataOnly="0" labelOnly="1" outline="0" axis="axisCol" fieldPosition="0"/>
    </format>
    <format dxfId="280">
      <pivotArea dataOnly="0" labelOnly="1" grandRow="1" outline="0" fieldPosition="0"/>
    </format>
    <format dxfId="279">
      <pivotArea dataOnly="0" labelOnly="1" outline="0" axis="axisValues" fieldPosition="0"/>
    </format>
    <format dxfId="278">
      <pivotArea type="all" dataOnly="0" outline="0" fieldPosition="0"/>
    </format>
    <format dxfId="277">
      <pivotArea outline="0" collapsedLevelsAreSubtotals="1" fieldPosition="0"/>
    </format>
    <format dxfId="276">
      <pivotArea type="origin" dataOnly="0" labelOnly="1" outline="0" fieldPosition="0"/>
    </format>
    <format dxfId="275">
      <pivotArea field="6" type="button" dataOnly="0" labelOnly="1" outline="0" axis="axisCol" fieldPosition="0"/>
    </format>
    <format dxfId="274">
      <pivotArea type="topRight" dataOnly="0" labelOnly="1" outline="0" fieldPosition="0"/>
    </format>
    <format dxfId="273">
      <pivotArea field="1" type="button" dataOnly="0" labelOnly="1" outline="0" axis="axisRow" fieldPosition="0"/>
    </format>
    <format dxfId="272">
      <pivotArea dataOnly="0" labelOnly="1" fieldPosition="0">
        <references count="1">
          <reference field="1" count="0"/>
        </references>
      </pivotArea>
    </format>
    <format dxfId="271">
      <pivotArea dataOnly="0" labelOnly="1" fieldPosition="0">
        <references count="1">
          <reference field="6" count="0"/>
        </references>
      </pivotArea>
    </format>
    <format dxfId="270">
      <pivotArea type="all" dataOnly="0" outline="0" fieldPosition="0"/>
    </format>
    <format dxfId="269">
      <pivotArea outline="0" collapsedLevelsAreSubtotals="1" fieldPosition="0"/>
    </format>
    <format dxfId="268">
      <pivotArea type="origin" dataOnly="0" labelOnly="1" outline="0" fieldPosition="0"/>
    </format>
    <format dxfId="267">
      <pivotArea field="6" type="button" dataOnly="0" labelOnly="1" outline="0" axis="axisCol" fieldPosition="0"/>
    </format>
    <format dxfId="266">
      <pivotArea type="topRight" dataOnly="0" labelOnly="1" outline="0" fieldPosition="0"/>
    </format>
    <format dxfId="265">
      <pivotArea field="1" type="button" dataOnly="0" labelOnly="1" outline="0" axis="axisRow" fieldPosition="0"/>
    </format>
    <format dxfId="264">
      <pivotArea dataOnly="0" labelOnly="1" fieldPosition="0">
        <references count="1">
          <reference field="1" count="0"/>
        </references>
      </pivotArea>
    </format>
    <format dxfId="263">
      <pivotArea dataOnly="0" labelOnly="1" fieldPosition="0">
        <references count="1">
          <reference field="6" count="0"/>
        </references>
      </pivotArea>
    </format>
    <format dxfId="262">
      <pivotArea type="all" dataOnly="0" outline="0" fieldPosition="0"/>
    </format>
    <format dxfId="261">
      <pivotArea outline="0" collapsedLevelsAreSubtotals="1" fieldPosition="0"/>
    </format>
    <format dxfId="260">
      <pivotArea type="origin" dataOnly="0" labelOnly="1" outline="0" fieldPosition="0"/>
    </format>
    <format dxfId="259">
      <pivotArea field="6" type="button" dataOnly="0" labelOnly="1" outline="0" axis="axisCol" fieldPosition="0"/>
    </format>
    <format dxfId="258">
      <pivotArea type="topRight" dataOnly="0" labelOnly="1" outline="0" fieldPosition="0"/>
    </format>
    <format dxfId="257">
      <pivotArea field="1" type="button" dataOnly="0" labelOnly="1" outline="0" axis="axisRow" fieldPosition="0"/>
    </format>
    <format dxfId="256">
      <pivotArea dataOnly="0" labelOnly="1" fieldPosition="0">
        <references count="1">
          <reference field="1" count="0"/>
        </references>
      </pivotArea>
    </format>
    <format dxfId="255">
      <pivotArea dataOnly="0" labelOnly="1" fieldPosition="0">
        <references count="1">
          <reference field="6" count="0"/>
        </references>
      </pivotArea>
    </format>
    <format dxfId="254">
      <pivotArea type="all" dataOnly="0" outline="0" fieldPosition="0"/>
    </format>
    <format dxfId="253">
      <pivotArea outline="0" collapsedLevelsAreSubtotals="1" fieldPosition="0"/>
    </format>
    <format dxfId="252">
      <pivotArea type="origin" dataOnly="0" labelOnly="1" outline="0" fieldPosition="0"/>
    </format>
    <format dxfId="251">
      <pivotArea field="6" type="button" dataOnly="0" labelOnly="1" outline="0" axis="axisCol" fieldPosition="0"/>
    </format>
    <format dxfId="250">
      <pivotArea type="topRight" dataOnly="0" labelOnly="1" outline="0" fieldPosition="0"/>
    </format>
    <format dxfId="249">
      <pivotArea field="1" type="button" dataOnly="0" labelOnly="1" outline="0" axis="axisRow" fieldPosition="0"/>
    </format>
    <format dxfId="248">
      <pivotArea dataOnly="0" labelOnly="1" fieldPosition="0">
        <references count="1">
          <reference field="1" count="0"/>
        </references>
      </pivotArea>
    </format>
    <format dxfId="247">
      <pivotArea dataOnly="0" labelOnly="1" fieldPosition="0">
        <references count="1">
          <reference field="6" count="0"/>
        </references>
      </pivotArea>
    </format>
    <format dxfId="246">
      <pivotArea type="all" dataOnly="0" outline="0" fieldPosition="0"/>
    </format>
    <format dxfId="245">
      <pivotArea outline="0" collapsedLevelsAreSubtotals="1" fieldPosition="0"/>
    </format>
    <format dxfId="244">
      <pivotArea type="origin" dataOnly="0" labelOnly="1" outline="0" fieldPosition="0"/>
    </format>
    <format dxfId="243">
      <pivotArea field="6" type="button" dataOnly="0" labelOnly="1" outline="0" axis="axisCol" fieldPosition="0"/>
    </format>
    <format dxfId="242">
      <pivotArea type="topRight" dataOnly="0" labelOnly="1" outline="0" fieldPosition="0"/>
    </format>
    <format dxfId="241">
      <pivotArea field="1" type="button" dataOnly="0" labelOnly="1" outline="0" axis="axisRow" fieldPosition="0"/>
    </format>
    <format dxfId="240">
      <pivotArea dataOnly="0" labelOnly="1" fieldPosition="0">
        <references count="1">
          <reference field="1" count="0"/>
        </references>
      </pivotArea>
    </format>
    <format dxfId="239">
      <pivotArea dataOnly="0" labelOnly="1" fieldPosition="0">
        <references count="1">
          <reference field="6" count="0"/>
        </references>
      </pivotArea>
    </format>
    <format dxfId="238">
      <pivotArea type="all" dataOnly="0" outline="0" fieldPosition="0"/>
    </format>
    <format dxfId="237">
      <pivotArea outline="0" collapsedLevelsAreSubtotals="1" fieldPosition="0"/>
    </format>
    <format dxfId="236">
      <pivotArea type="origin" dataOnly="0" labelOnly="1" outline="0" fieldPosition="0"/>
    </format>
    <format dxfId="235">
      <pivotArea field="6" type="button" dataOnly="0" labelOnly="1" outline="0" axis="axisCol" fieldPosition="0"/>
    </format>
    <format dxfId="234">
      <pivotArea type="topRight" dataOnly="0" labelOnly="1" outline="0" fieldPosition="0"/>
    </format>
    <format dxfId="233">
      <pivotArea field="1" type="button" dataOnly="0" labelOnly="1" outline="0" axis="axisRow" fieldPosition="0"/>
    </format>
    <format dxfId="232">
      <pivotArea dataOnly="0" labelOnly="1" fieldPosition="0">
        <references count="1">
          <reference field="1" count="0"/>
        </references>
      </pivotArea>
    </format>
    <format dxfId="231">
      <pivotArea dataOnly="0" labelOnly="1" fieldPosition="0">
        <references count="1">
          <reference field="6" count="50">
            <x v="8"/>
            <x v="9"/>
            <x v="10"/>
            <x v="11"/>
            <x v="12"/>
            <x v="13"/>
            <x v="14"/>
            <x v="15"/>
            <x v="16"/>
            <x v="17"/>
            <x v="18"/>
            <x v="19"/>
            <x v="20"/>
            <x v="21"/>
            <x v="22"/>
            <x v="23"/>
            <x v="24"/>
            <x v="25"/>
            <x v="26"/>
            <x v="27"/>
            <x v="28"/>
            <x v="29"/>
            <x v="30"/>
            <x v="31"/>
            <x v="32"/>
            <x v="33"/>
            <x v="34"/>
            <x v="35"/>
            <x v="36"/>
            <x v="37"/>
            <x v="38"/>
            <x v="39"/>
            <x v="40"/>
            <x v="41"/>
            <x v="42"/>
            <x v="43"/>
            <x v="44"/>
            <x v="45"/>
            <x v="46"/>
            <x v="47"/>
            <x v="48"/>
            <x v="49"/>
            <x v="50"/>
            <x v="51"/>
            <x v="52"/>
            <x v="53"/>
            <x v="54"/>
            <x v="55"/>
            <x v="56"/>
            <x v="57"/>
          </reference>
        </references>
      </pivotArea>
    </format>
    <format dxfId="230">
      <pivotArea dataOnly="0" labelOnly="1" fieldPosition="0">
        <references count="1">
          <reference field="6" count="20">
            <x v="58"/>
            <x v="59"/>
            <x v="60"/>
            <x v="61"/>
            <x v="62"/>
            <x v="63"/>
            <x v="64"/>
            <x v="65"/>
            <x v="66"/>
            <x v="67"/>
            <x v="68"/>
            <x v="69"/>
            <x v="70"/>
            <x v="71"/>
            <x v="72"/>
            <x v="73"/>
            <x v="74"/>
            <x v="75"/>
            <x v="76"/>
            <x v="77"/>
          </reference>
        </references>
      </pivotArea>
    </format>
  </formats>
  <chartFormats count="101">
    <chartFormat chart="15" format="15" series="1">
      <pivotArea type="data" outline="0" fieldPosition="0">
        <references count="2">
          <reference field="4294967294" count="1" selected="0">
            <x v="0"/>
          </reference>
          <reference field="1" count="1" selected="0">
            <x v="2"/>
          </reference>
        </references>
      </pivotArea>
    </chartFormat>
    <chartFormat chart="15" format="16" series="1">
      <pivotArea type="data" outline="0" fieldPosition="0">
        <references count="2">
          <reference field="4294967294" count="1" selected="0">
            <x v="0"/>
          </reference>
          <reference field="1" count="1" selected="0">
            <x v="7"/>
          </reference>
        </references>
      </pivotArea>
    </chartFormat>
    <chartFormat chart="15" format="17" series="1">
      <pivotArea type="data" outline="0" fieldPosition="0">
        <references count="2">
          <reference field="4294967294" count="1" selected="0">
            <x v="0"/>
          </reference>
          <reference field="1" count="1" selected="0">
            <x v="9"/>
          </reference>
        </references>
      </pivotArea>
    </chartFormat>
    <chartFormat chart="15" format="18" series="1">
      <pivotArea type="data" outline="0" fieldPosition="0">
        <references count="2">
          <reference field="4294967294" count="1" selected="0">
            <x v="0"/>
          </reference>
          <reference field="1" count="1" selected="0">
            <x v="11"/>
          </reference>
        </references>
      </pivotArea>
    </chartFormat>
    <chartFormat chart="15" format="19" series="1">
      <pivotArea type="data" outline="0" fieldPosition="0">
        <references count="2">
          <reference field="4294967294" count="1" selected="0">
            <x v="0"/>
          </reference>
          <reference field="1" count="1" selected="0">
            <x v="0"/>
          </reference>
        </references>
      </pivotArea>
    </chartFormat>
    <chartFormat chart="15" format="20" series="1">
      <pivotArea type="data" outline="0" fieldPosition="0">
        <references count="1">
          <reference field="4294967294" count="1" selected="0">
            <x v="0"/>
          </reference>
        </references>
      </pivotArea>
    </chartFormat>
    <chartFormat chart="15" format="25" series="1">
      <pivotArea type="data" outline="0" fieldPosition="0">
        <references count="2">
          <reference field="4294967294" count="1" selected="0">
            <x v="0"/>
          </reference>
          <reference field="6" count="1" selected="0">
            <x v="5"/>
          </reference>
        </references>
      </pivotArea>
    </chartFormat>
    <chartFormat chart="15" format="26" series="1">
      <pivotArea type="data" outline="0" fieldPosition="0">
        <references count="2">
          <reference field="4294967294" count="1" selected="0">
            <x v="0"/>
          </reference>
          <reference field="6" count="1" selected="0">
            <x v="1"/>
          </reference>
        </references>
      </pivotArea>
    </chartFormat>
    <chartFormat chart="15" format="27" series="1">
      <pivotArea type="data" outline="0" fieldPosition="0">
        <references count="2">
          <reference field="4294967294" count="1" selected="0">
            <x v="0"/>
          </reference>
          <reference field="6" count="1" selected="0">
            <x v="2"/>
          </reference>
        </references>
      </pivotArea>
    </chartFormat>
    <chartFormat chart="15" format="28" series="1">
      <pivotArea type="data" outline="0" fieldPosition="0">
        <references count="2">
          <reference field="4294967294" count="1" selected="0">
            <x v="0"/>
          </reference>
          <reference field="6" count="1" selected="0">
            <x v="3"/>
          </reference>
        </references>
      </pivotArea>
    </chartFormat>
    <chartFormat chart="15" format="29" series="1">
      <pivotArea type="data" outline="0" fieldPosition="0">
        <references count="2">
          <reference field="4294967294" count="1" selected="0">
            <x v="0"/>
          </reference>
          <reference field="6" count="1" selected="0">
            <x v="4"/>
          </reference>
        </references>
      </pivotArea>
    </chartFormat>
    <chartFormat chart="15" format="30" series="1">
      <pivotArea type="data" outline="0" fieldPosition="0">
        <references count="2">
          <reference field="4294967294" count="1" selected="0">
            <x v="0"/>
          </reference>
          <reference field="6" count="1" selected="0">
            <x v="0"/>
          </reference>
        </references>
      </pivotArea>
    </chartFormat>
    <chartFormat chart="15" format="31" series="1">
      <pivotArea type="data" outline="0" fieldPosition="0">
        <references count="2">
          <reference field="4294967294" count="1" selected="0">
            <x v="0"/>
          </reference>
          <reference field="6" count="1" selected="0">
            <x v="6"/>
          </reference>
        </references>
      </pivotArea>
    </chartFormat>
    <chartFormat chart="15" format="32" series="1">
      <pivotArea type="data" outline="0" fieldPosition="0">
        <references count="2">
          <reference field="4294967294" count="1" selected="0">
            <x v="0"/>
          </reference>
          <reference field="6" count="1" selected="0">
            <x v="7"/>
          </reference>
        </references>
      </pivotArea>
    </chartFormat>
    <chartFormat chart="15" format="33">
      <pivotArea type="data" outline="0" fieldPosition="0">
        <references count="2">
          <reference field="4294967294" count="1" selected="0">
            <x v="0"/>
          </reference>
          <reference field="1" count="1" selected="0">
            <x v="7"/>
          </reference>
        </references>
      </pivotArea>
    </chartFormat>
    <chartFormat chart="15" format="34">
      <pivotArea type="data" outline="0" fieldPosition="0">
        <references count="2">
          <reference field="4294967294" count="1" selected="0">
            <x v="0"/>
          </reference>
          <reference field="1" count="1" selected="0">
            <x v="4"/>
          </reference>
        </references>
      </pivotArea>
    </chartFormat>
    <chartFormat chart="15" format="35">
      <pivotArea type="data" outline="0" fieldPosition="0">
        <references count="3">
          <reference field="4294967294" count="1" selected="0">
            <x v="0"/>
          </reference>
          <reference field="1" count="1" selected="0">
            <x v="4"/>
          </reference>
          <reference field="6" count="1" selected="0">
            <x v="0"/>
          </reference>
        </references>
      </pivotArea>
    </chartFormat>
    <chartFormat chart="15" format="36">
      <pivotArea type="data" outline="0" fieldPosition="0">
        <references count="3">
          <reference field="4294967294" count="1" selected="0">
            <x v="0"/>
          </reference>
          <reference field="1" count="1" selected="0">
            <x v="7"/>
          </reference>
          <reference field="6" count="1" selected="0">
            <x v="0"/>
          </reference>
        </references>
      </pivotArea>
    </chartFormat>
    <chartFormat chart="15" format="37">
      <pivotArea type="data" outline="0" fieldPosition="0">
        <references count="3">
          <reference field="4294967294" count="1" selected="0">
            <x v="0"/>
          </reference>
          <reference field="1" count="1" selected="0">
            <x v="4"/>
          </reference>
          <reference field="6" count="1" selected="0">
            <x v="1"/>
          </reference>
        </references>
      </pivotArea>
    </chartFormat>
    <chartFormat chart="15" format="38">
      <pivotArea type="data" outline="0" fieldPosition="0">
        <references count="3">
          <reference field="4294967294" count="1" selected="0">
            <x v="0"/>
          </reference>
          <reference field="1" count="1" selected="0">
            <x v="7"/>
          </reference>
          <reference field="6" count="1" selected="0">
            <x v="1"/>
          </reference>
        </references>
      </pivotArea>
    </chartFormat>
    <chartFormat chart="15" format="39">
      <pivotArea type="data" outline="0" fieldPosition="0">
        <references count="3">
          <reference field="4294967294" count="1" selected="0">
            <x v="0"/>
          </reference>
          <reference field="1" count="1" selected="0">
            <x v="4"/>
          </reference>
          <reference field="6" count="1" selected="0">
            <x v="2"/>
          </reference>
        </references>
      </pivotArea>
    </chartFormat>
    <chartFormat chart="15" format="40">
      <pivotArea type="data" outline="0" fieldPosition="0">
        <references count="3">
          <reference field="4294967294" count="1" selected="0">
            <x v="0"/>
          </reference>
          <reference field="1" count="1" selected="0">
            <x v="7"/>
          </reference>
          <reference field="6" count="1" selected="0">
            <x v="2"/>
          </reference>
        </references>
      </pivotArea>
    </chartFormat>
    <chartFormat chart="15" format="41">
      <pivotArea type="data" outline="0" fieldPosition="0">
        <references count="3">
          <reference field="4294967294" count="1" selected="0">
            <x v="0"/>
          </reference>
          <reference field="1" count="1" selected="0">
            <x v="4"/>
          </reference>
          <reference field="6" count="1" selected="0">
            <x v="3"/>
          </reference>
        </references>
      </pivotArea>
    </chartFormat>
    <chartFormat chart="15" format="42">
      <pivotArea type="data" outline="0" fieldPosition="0">
        <references count="3">
          <reference field="4294967294" count="1" selected="0">
            <x v="0"/>
          </reference>
          <reference field="1" count="1" selected="0">
            <x v="7"/>
          </reference>
          <reference field="6" count="1" selected="0">
            <x v="3"/>
          </reference>
        </references>
      </pivotArea>
    </chartFormat>
    <chartFormat chart="15" format="43">
      <pivotArea type="data" outline="0" fieldPosition="0">
        <references count="3">
          <reference field="4294967294" count="1" selected="0">
            <x v="0"/>
          </reference>
          <reference field="1" count="1" selected="0">
            <x v="4"/>
          </reference>
          <reference field="6" count="1" selected="0">
            <x v="4"/>
          </reference>
        </references>
      </pivotArea>
    </chartFormat>
    <chartFormat chart="15" format="44">
      <pivotArea type="data" outline="0" fieldPosition="0">
        <references count="3">
          <reference field="4294967294" count="1" selected="0">
            <x v="0"/>
          </reference>
          <reference field="1" count="1" selected="0">
            <x v="7"/>
          </reference>
          <reference field="6" count="1" selected="0">
            <x v="4"/>
          </reference>
        </references>
      </pivotArea>
    </chartFormat>
    <chartFormat chart="15" format="45">
      <pivotArea type="data" outline="0" fieldPosition="0">
        <references count="3">
          <reference field="4294967294" count="1" selected="0">
            <x v="0"/>
          </reference>
          <reference field="1" count="1" selected="0">
            <x v="4"/>
          </reference>
          <reference field="6" count="1" selected="0">
            <x v="6"/>
          </reference>
        </references>
      </pivotArea>
    </chartFormat>
    <chartFormat chart="15" format="46">
      <pivotArea type="data" outline="0" fieldPosition="0">
        <references count="3">
          <reference field="4294967294" count="1" selected="0">
            <x v="0"/>
          </reference>
          <reference field="1" count="1" selected="0">
            <x v="7"/>
          </reference>
          <reference field="6" count="1" selected="0">
            <x v="6"/>
          </reference>
        </references>
      </pivotArea>
    </chartFormat>
    <chartFormat chart="15" format="47">
      <pivotArea type="data" outline="0" fieldPosition="0">
        <references count="3">
          <reference field="4294967294" count="1" selected="0">
            <x v="0"/>
          </reference>
          <reference field="1" count="1" selected="0">
            <x v="4"/>
          </reference>
          <reference field="6" count="1" selected="0">
            <x v="7"/>
          </reference>
        </references>
      </pivotArea>
    </chartFormat>
    <chartFormat chart="15" format="48">
      <pivotArea type="data" outline="0" fieldPosition="0">
        <references count="3">
          <reference field="4294967294" count="1" selected="0">
            <x v="0"/>
          </reference>
          <reference field="1" count="1" selected="0">
            <x v="7"/>
          </reference>
          <reference field="6" count="1" selected="0">
            <x v="7"/>
          </reference>
        </references>
      </pivotArea>
    </chartFormat>
    <chartFormat chart="15" format="50" series="1">
      <pivotArea type="data" outline="0" fieldPosition="0">
        <references count="2">
          <reference field="4294967294" count="1" selected="0">
            <x v="0"/>
          </reference>
          <reference field="1" count="1" selected="0">
            <x v="13"/>
          </reference>
        </references>
      </pivotArea>
    </chartFormat>
    <chartFormat chart="15" format="51" series="1">
      <pivotArea type="data" outline="0" fieldPosition="0">
        <references count="2">
          <reference field="4294967294" count="1" selected="0">
            <x v="0"/>
          </reference>
          <reference field="1" count="1" selected="0">
            <x v="14"/>
          </reference>
        </references>
      </pivotArea>
    </chartFormat>
    <chartFormat chart="15" format="52" series="1">
      <pivotArea type="data" outline="0" fieldPosition="0">
        <references count="2">
          <reference field="4294967294" count="1" selected="0">
            <x v="0"/>
          </reference>
          <reference field="6" count="1" selected="0">
            <x v="15"/>
          </reference>
        </references>
      </pivotArea>
    </chartFormat>
    <chartFormat chart="15" format="53" series="1">
      <pivotArea type="data" outline="0" fieldPosition="0">
        <references count="2">
          <reference field="4294967294" count="1" selected="0">
            <x v="0"/>
          </reference>
          <reference field="6" count="1" selected="0">
            <x v="16"/>
          </reference>
        </references>
      </pivotArea>
    </chartFormat>
    <chartFormat chart="15" format="54" series="1">
      <pivotArea type="data" outline="0" fieldPosition="0">
        <references count="2">
          <reference field="4294967294" count="1" selected="0">
            <x v="0"/>
          </reference>
          <reference field="6" count="1" selected="0">
            <x v="17"/>
          </reference>
        </references>
      </pivotArea>
    </chartFormat>
    <chartFormat chart="15" format="55" series="1">
      <pivotArea type="data" outline="0" fieldPosition="0">
        <references count="2">
          <reference field="4294967294" count="1" selected="0">
            <x v="0"/>
          </reference>
          <reference field="6" count="1" selected="0">
            <x v="18"/>
          </reference>
        </references>
      </pivotArea>
    </chartFormat>
    <chartFormat chart="15" format="56" series="1">
      <pivotArea type="data" outline="0" fieldPosition="0">
        <references count="2">
          <reference field="4294967294" count="1" selected="0">
            <x v="0"/>
          </reference>
          <reference field="6" count="1" selected="0">
            <x v="19"/>
          </reference>
        </references>
      </pivotArea>
    </chartFormat>
    <chartFormat chart="15" format="57" series="1">
      <pivotArea type="data" outline="0" fieldPosition="0">
        <references count="2">
          <reference field="4294967294" count="1" selected="0">
            <x v="0"/>
          </reference>
          <reference field="6" count="1" selected="0">
            <x v="20"/>
          </reference>
        </references>
      </pivotArea>
    </chartFormat>
    <chartFormat chart="15" format="58" series="1">
      <pivotArea type="data" outline="0" fieldPosition="0">
        <references count="2">
          <reference field="4294967294" count="1" selected="0">
            <x v="0"/>
          </reference>
          <reference field="6" count="1" selected="0">
            <x v="21"/>
          </reference>
        </references>
      </pivotArea>
    </chartFormat>
    <chartFormat chart="15" format="59" series="1">
      <pivotArea type="data" outline="0" fieldPosition="0">
        <references count="2">
          <reference field="4294967294" count="1" selected="0">
            <x v="0"/>
          </reference>
          <reference field="6" count="1" selected="0">
            <x v="22"/>
          </reference>
        </references>
      </pivotArea>
    </chartFormat>
    <chartFormat chart="15" format="60" series="1">
      <pivotArea type="data" outline="0" fieldPosition="0">
        <references count="2">
          <reference field="4294967294" count="1" selected="0">
            <x v="0"/>
          </reference>
          <reference field="6" count="1" selected="0">
            <x v="23"/>
          </reference>
        </references>
      </pivotArea>
    </chartFormat>
    <chartFormat chart="15" format="61" series="1">
      <pivotArea type="data" outline="0" fieldPosition="0">
        <references count="2">
          <reference field="4294967294" count="1" selected="0">
            <x v="0"/>
          </reference>
          <reference field="6" count="1" selected="0">
            <x v="24"/>
          </reference>
        </references>
      </pivotArea>
    </chartFormat>
    <chartFormat chart="15" format="62" series="1">
      <pivotArea type="data" outline="0" fieldPosition="0">
        <references count="2">
          <reference field="4294967294" count="1" selected="0">
            <x v="0"/>
          </reference>
          <reference field="6" count="1" selected="0">
            <x v="25"/>
          </reference>
        </references>
      </pivotArea>
    </chartFormat>
    <chartFormat chart="15" format="63" series="1">
      <pivotArea type="data" outline="0" fieldPosition="0">
        <references count="2">
          <reference field="4294967294" count="1" selected="0">
            <x v="0"/>
          </reference>
          <reference field="6" count="1" selected="0">
            <x v="26"/>
          </reference>
        </references>
      </pivotArea>
    </chartFormat>
    <chartFormat chart="15" format="64" series="1">
      <pivotArea type="data" outline="0" fieldPosition="0">
        <references count="2">
          <reference field="4294967294" count="1" selected="0">
            <x v="0"/>
          </reference>
          <reference field="6" count="1" selected="0">
            <x v="27"/>
          </reference>
        </references>
      </pivotArea>
    </chartFormat>
    <chartFormat chart="15" format="65" series="1">
      <pivotArea type="data" outline="0" fieldPosition="0">
        <references count="2">
          <reference field="4294967294" count="1" selected="0">
            <x v="0"/>
          </reference>
          <reference field="6" count="1" selected="0">
            <x v="28"/>
          </reference>
        </references>
      </pivotArea>
    </chartFormat>
    <chartFormat chart="15" format="66" series="1">
      <pivotArea type="data" outline="0" fieldPosition="0">
        <references count="2">
          <reference field="4294967294" count="1" selected="0">
            <x v="0"/>
          </reference>
          <reference field="6" count="1" selected="0">
            <x v="29"/>
          </reference>
        </references>
      </pivotArea>
    </chartFormat>
    <chartFormat chart="15" format="67" series="1">
      <pivotArea type="data" outline="0" fieldPosition="0">
        <references count="2">
          <reference field="4294967294" count="1" selected="0">
            <x v="0"/>
          </reference>
          <reference field="6" count="1" selected="0">
            <x v="30"/>
          </reference>
        </references>
      </pivotArea>
    </chartFormat>
    <chartFormat chart="15" format="68" series="1">
      <pivotArea type="data" outline="0" fieldPosition="0">
        <references count="2">
          <reference field="4294967294" count="1" selected="0">
            <x v="0"/>
          </reference>
          <reference field="6" count="1" selected="0">
            <x v="31"/>
          </reference>
        </references>
      </pivotArea>
    </chartFormat>
    <chartFormat chart="15" format="69" series="1">
      <pivotArea type="data" outline="0" fieldPosition="0">
        <references count="2">
          <reference field="4294967294" count="1" selected="0">
            <x v="0"/>
          </reference>
          <reference field="6" count="1" selected="0">
            <x v="32"/>
          </reference>
        </references>
      </pivotArea>
    </chartFormat>
    <chartFormat chart="15" format="70" series="1">
      <pivotArea type="data" outline="0" fieldPosition="0">
        <references count="2">
          <reference field="4294967294" count="1" selected="0">
            <x v="0"/>
          </reference>
          <reference field="6" count="1" selected="0">
            <x v="33"/>
          </reference>
        </references>
      </pivotArea>
    </chartFormat>
    <chartFormat chart="15" format="71" series="1">
      <pivotArea type="data" outline="0" fieldPosition="0">
        <references count="2">
          <reference field="4294967294" count="1" selected="0">
            <x v="0"/>
          </reference>
          <reference field="6" count="1" selected="0">
            <x v="34"/>
          </reference>
        </references>
      </pivotArea>
    </chartFormat>
    <chartFormat chart="15" format="72" series="1">
      <pivotArea type="data" outline="0" fieldPosition="0">
        <references count="2">
          <reference field="4294967294" count="1" selected="0">
            <x v="0"/>
          </reference>
          <reference field="6" count="1" selected="0">
            <x v="35"/>
          </reference>
        </references>
      </pivotArea>
    </chartFormat>
    <chartFormat chart="15" format="73" series="1">
      <pivotArea type="data" outline="0" fieldPosition="0">
        <references count="2">
          <reference field="4294967294" count="1" selected="0">
            <x v="0"/>
          </reference>
          <reference field="6" count="1" selected="0">
            <x v="36"/>
          </reference>
        </references>
      </pivotArea>
    </chartFormat>
    <chartFormat chart="15" format="74" series="1">
      <pivotArea type="data" outline="0" fieldPosition="0">
        <references count="2">
          <reference field="4294967294" count="1" selected="0">
            <x v="0"/>
          </reference>
          <reference field="6" count="1" selected="0">
            <x v="37"/>
          </reference>
        </references>
      </pivotArea>
    </chartFormat>
    <chartFormat chart="15" format="75" series="1">
      <pivotArea type="data" outline="0" fieldPosition="0">
        <references count="2">
          <reference field="4294967294" count="1" selected="0">
            <x v="0"/>
          </reference>
          <reference field="6" count="1" selected="0">
            <x v="38"/>
          </reference>
        </references>
      </pivotArea>
    </chartFormat>
    <chartFormat chart="15" format="115" series="1">
      <pivotArea type="data" outline="0" fieldPosition="0">
        <references count="2">
          <reference field="4294967294" count="1" selected="0">
            <x v="0"/>
          </reference>
          <reference field="6" count="1" selected="0">
            <x v="9"/>
          </reference>
        </references>
      </pivotArea>
    </chartFormat>
    <chartFormat chart="15" format="116" series="1">
      <pivotArea type="data" outline="0" fieldPosition="0">
        <references count="2">
          <reference field="4294967294" count="1" selected="0">
            <x v="0"/>
          </reference>
          <reference field="6" count="1" selected="0">
            <x v="10"/>
          </reference>
        </references>
      </pivotArea>
    </chartFormat>
    <chartFormat chart="15" format="117" series="1">
      <pivotArea type="data" outline="0" fieldPosition="0">
        <references count="2">
          <reference field="4294967294" count="1" selected="0">
            <x v="0"/>
          </reference>
          <reference field="6" count="1" selected="0">
            <x v="11"/>
          </reference>
        </references>
      </pivotArea>
    </chartFormat>
    <chartFormat chart="15" format="118" series="1">
      <pivotArea type="data" outline="0" fieldPosition="0">
        <references count="2">
          <reference field="4294967294" count="1" selected="0">
            <x v="0"/>
          </reference>
          <reference field="6" count="1" selected="0">
            <x v="12"/>
          </reference>
        </references>
      </pivotArea>
    </chartFormat>
    <chartFormat chart="15" format="119" series="1">
      <pivotArea type="data" outline="0" fieldPosition="0">
        <references count="2">
          <reference field="4294967294" count="1" selected="0">
            <x v="0"/>
          </reference>
          <reference field="6" count="1" selected="0">
            <x v="13"/>
          </reference>
        </references>
      </pivotArea>
    </chartFormat>
    <chartFormat chart="15" format="120" series="1">
      <pivotArea type="data" outline="0" fieldPosition="0">
        <references count="2">
          <reference field="4294967294" count="1" selected="0">
            <x v="0"/>
          </reference>
          <reference field="6" count="1" selected="0">
            <x v="14"/>
          </reference>
        </references>
      </pivotArea>
    </chartFormat>
    <chartFormat chart="15" format="121" series="1">
      <pivotArea type="data" outline="0" fieldPosition="0">
        <references count="2">
          <reference field="4294967294" count="1" selected="0">
            <x v="0"/>
          </reference>
          <reference field="6" count="1" selected="0">
            <x v="39"/>
          </reference>
        </references>
      </pivotArea>
    </chartFormat>
    <chartFormat chart="15" format="122" series="1">
      <pivotArea type="data" outline="0" fieldPosition="0">
        <references count="2">
          <reference field="4294967294" count="1" selected="0">
            <x v="0"/>
          </reference>
          <reference field="6" count="1" selected="0">
            <x v="40"/>
          </reference>
        </references>
      </pivotArea>
    </chartFormat>
    <chartFormat chart="15" format="123" series="1">
      <pivotArea type="data" outline="0" fieldPosition="0">
        <references count="2">
          <reference field="4294967294" count="1" selected="0">
            <x v="0"/>
          </reference>
          <reference field="6" count="1" selected="0">
            <x v="41"/>
          </reference>
        </references>
      </pivotArea>
    </chartFormat>
    <chartFormat chart="15" format="124" series="1">
      <pivotArea type="data" outline="0" fieldPosition="0">
        <references count="2">
          <reference field="4294967294" count="1" selected="0">
            <x v="0"/>
          </reference>
          <reference field="6" count="1" selected="0">
            <x v="42"/>
          </reference>
        </references>
      </pivotArea>
    </chartFormat>
    <chartFormat chart="15" format="125" series="1">
      <pivotArea type="data" outline="0" fieldPosition="0">
        <references count="2">
          <reference field="4294967294" count="1" selected="0">
            <x v="0"/>
          </reference>
          <reference field="6" count="1" selected="0">
            <x v="43"/>
          </reference>
        </references>
      </pivotArea>
    </chartFormat>
    <chartFormat chart="15" format="126" series="1">
      <pivotArea type="data" outline="0" fieldPosition="0">
        <references count="2">
          <reference field="4294967294" count="1" selected="0">
            <x v="0"/>
          </reference>
          <reference field="6" count="1" selected="0">
            <x v="44"/>
          </reference>
        </references>
      </pivotArea>
    </chartFormat>
    <chartFormat chart="15" format="127" series="1">
      <pivotArea type="data" outline="0" fieldPosition="0">
        <references count="2">
          <reference field="4294967294" count="1" selected="0">
            <x v="0"/>
          </reference>
          <reference field="6" count="1" selected="0">
            <x v="45"/>
          </reference>
        </references>
      </pivotArea>
    </chartFormat>
    <chartFormat chart="15" format="128" series="1">
      <pivotArea type="data" outline="0" fieldPosition="0">
        <references count="2">
          <reference field="4294967294" count="1" selected="0">
            <x v="0"/>
          </reference>
          <reference field="6" count="1" selected="0">
            <x v="46"/>
          </reference>
        </references>
      </pivotArea>
    </chartFormat>
    <chartFormat chart="15" format="129" series="1">
      <pivotArea type="data" outline="0" fieldPosition="0">
        <references count="2">
          <reference field="4294967294" count="1" selected="0">
            <x v="0"/>
          </reference>
          <reference field="6" count="1" selected="0">
            <x v="47"/>
          </reference>
        </references>
      </pivotArea>
    </chartFormat>
    <chartFormat chart="15" format="130" series="1">
      <pivotArea type="data" outline="0" fieldPosition="0">
        <references count="2">
          <reference field="4294967294" count="1" selected="0">
            <x v="0"/>
          </reference>
          <reference field="6" count="1" selected="0">
            <x v="48"/>
          </reference>
        </references>
      </pivotArea>
    </chartFormat>
    <chartFormat chart="15" format="131" series="1">
      <pivotArea type="data" outline="0" fieldPosition="0">
        <references count="2">
          <reference field="4294967294" count="1" selected="0">
            <x v="0"/>
          </reference>
          <reference field="6" count="1" selected="0">
            <x v="49"/>
          </reference>
        </references>
      </pivotArea>
    </chartFormat>
    <chartFormat chart="15" format="132" series="1">
      <pivotArea type="data" outline="0" fieldPosition="0">
        <references count="2">
          <reference field="4294967294" count="1" selected="0">
            <x v="0"/>
          </reference>
          <reference field="6" count="1" selected="0">
            <x v="50"/>
          </reference>
        </references>
      </pivotArea>
    </chartFormat>
    <chartFormat chart="15" format="133" series="1">
      <pivotArea type="data" outline="0" fieldPosition="0">
        <references count="2">
          <reference field="4294967294" count="1" selected="0">
            <x v="0"/>
          </reference>
          <reference field="6" count="1" selected="0">
            <x v="51"/>
          </reference>
        </references>
      </pivotArea>
    </chartFormat>
    <chartFormat chart="15" format="134" series="1">
      <pivotArea type="data" outline="0" fieldPosition="0">
        <references count="2">
          <reference field="4294967294" count="1" selected="0">
            <x v="0"/>
          </reference>
          <reference field="6" count="1" selected="0">
            <x v="52"/>
          </reference>
        </references>
      </pivotArea>
    </chartFormat>
    <chartFormat chart="15" format="135" series="1">
      <pivotArea type="data" outline="0" fieldPosition="0">
        <references count="2">
          <reference field="4294967294" count="1" selected="0">
            <x v="0"/>
          </reference>
          <reference field="6" count="1" selected="0">
            <x v="53"/>
          </reference>
        </references>
      </pivotArea>
    </chartFormat>
    <chartFormat chart="15" format="136" series="1">
      <pivotArea type="data" outline="0" fieldPosition="0">
        <references count="2">
          <reference field="4294967294" count="1" selected="0">
            <x v="0"/>
          </reference>
          <reference field="6" count="1" selected="0">
            <x v="54"/>
          </reference>
        </references>
      </pivotArea>
    </chartFormat>
    <chartFormat chart="15" format="137" series="1">
      <pivotArea type="data" outline="0" fieldPosition="0">
        <references count="2">
          <reference field="4294967294" count="1" selected="0">
            <x v="0"/>
          </reference>
          <reference field="6" count="1" selected="0">
            <x v="55"/>
          </reference>
        </references>
      </pivotArea>
    </chartFormat>
    <chartFormat chart="15" format="138" series="1">
      <pivotArea type="data" outline="0" fieldPosition="0">
        <references count="2">
          <reference field="4294967294" count="1" selected="0">
            <x v="0"/>
          </reference>
          <reference field="6" count="1" selected="0">
            <x v="56"/>
          </reference>
        </references>
      </pivotArea>
    </chartFormat>
    <chartFormat chart="15" format="139" series="1">
      <pivotArea type="data" outline="0" fieldPosition="0">
        <references count="2">
          <reference field="4294967294" count="1" selected="0">
            <x v="0"/>
          </reference>
          <reference field="6" count="1" selected="0">
            <x v="57"/>
          </reference>
        </references>
      </pivotArea>
    </chartFormat>
    <chartFormat chart="15" format="140" series="1">
      <pivotArea type="data" outline="0" fieldPosition="0">
        <references count="2">
          <reference field="4294967294" count="1" selected="0">
            <x v="0"/>
          </reference>
          <reference field="6" count="1" selected="0">
            <x v="58"/>
          </reference>
        </references>
      </pivotArea>
    </chartFormat>
    <chartFormat chart="15" format="141" series="1">
      <pivotArea type="data" outline="0" fieldPosition="0">
        <references count="2">
          <reference field="4294967294" count="1" selected="0">
            <x v="0"/>
          </reference>
          <reference field="6" count="1" selected="0">
            <x v="59"/>
          </reference>
        </references>
      </pivotArea>
    </chartFormat>
    <chartFormat chart="15" format="142" series="1">
      <pivotArea type="data" outline="0" fieldPosition="0">
        <references count="2">
          <reference field="4294967294" count="1" selected="0">
            <x v="0"/>
          </reference>
          <reference field="6" count="1" selected="0">
            <x v="60"/>
          </reference>
        </references>
      </pivotArea>
    </chartFormat>
    <chartFormat chart="15" format="143" series="1">
      <pivotArea type="data" outline="0" fieldPosition="0">
        <references count="2">
          <reference field="4294967294" count="1" selected="0">
            <x v="0"/>
          </reference>
          <reference field="6" count="1" selected="0">
            <x v="61"/>
          </reference>
        </references>
      </pivotArea>
    </chartFormat>
    <chartFormat chart="15" format="144" series="1">
      <pivotArea type="data" outline="0" fieldPosition="0">
        <references count="2">
          <reference field="4294967294" count="1" selected="0">
            <x v="0"/>
          </reference>
          <reference field="6" count="1" selected="0">
            <x v="62"/>
          </reference>
        </references>
      </pivotArea>
    </chartFormat>
    <chartFormat chart="15" format="145" series="1">
      <pivotArea type="data" outline="0" fieldPosition="0">
        <references count="2">
          <reference field="4294967294" count="1" selected="0">
            <x v="0"/>
          </reference>
          <reference field="6" count="1" selected="0">
            <x v="63"/>
          </reference>
        </references>
      </pivotArea>
    </chartFormat>
    <chartFormat chart="15" format="146" series="1">
      <pivotArea type="data" outline="0" fieldPosition="0">
        <references count="2">
          <reference field="4294967294" count="1" selected="0">
            <x v="0"/>
          </reference>
          <reference field="6" count="1" selected="0">
            <x v="64"/>
          </reference>
        </references>
      </pivotArea>
    </chartFormat>
    <chartFormat chart="15" format="147" series="1">
      <pivotArea type="data" outline="0" fieldPosition="0">
        <references count="2">
          <reference field="4294967294" count="1" selected="0">
            <x v="0"/>
          </reference>
          <reference field="6" count="1" selected="0">
            <x v="65"/>
          </reference>
        </references>
      </pivotArea>
    </chartFormat>
    <chartFormat chart="15" format="148" series="1">
      <pivotArea type="data" outline="0" fieldPosition="0">
        <references count="2">
          <reference field="4294967294" count="1" selected="0">
            <x v="0"/>
          </reference>
          <reference field="6" count="1" selected="0">
            <x v="66"/>
          </reference>
        </references>
      </pivotArea>
    </chartFormat>
    <chartFormat chart="15" format="149" series="1">
      <pivotArea type="data" outline="0" fieldPosition="0">
        <references count="2">
          <reference field="4294967294" count="1" selected="0">
            <x v="0"/>
          </reference>
          <reference field="6" count="1" selected="0">
            <x v="67"/>
          </reference>
        </references>
      </pivotArea>
    </chartFormat>
    <chartFormat chart="15" format="150" series="1">
      <pivotArea type="data" outline="0" fieldPosition="0">
        <references count="2">
          <reference field="4294967294" count="1" selected="0">
            <x v="0"/>
          </reference>
          <reference field="6" count="1" selected="0">
            <x v="68"/>
          </reference>
        </references>
      </pivotArea>
    </chartFormat>
    <chartFormat chart="15" format="151" series="1">
      <pivotArea type="data" outline="0" fieldPosition="0">
        <references count="2">
          <reference field="4294967294" count="1" selected="0">
            <x v="0"/>
          </reference>
          <reference field="6" count="1" selected="0">
            <x v="69"/>
          </reference>
        </references>
      </pivotArea>
    </chartFormat>
    <chartFormat chart="15" format="152" series="1">
      <pivotArea type="data" outline="0" fieldPosition="0">
        <references count="2">
          <reference field="4294967294" count="1" selected="0">
            <x v="0"/>
          </reference>
          <reference field="6" count="1" selected="0">
            <x v="70"/>
          </reference>
        </references>
      </pivotArea>
    </chartFormat>
    <chartFormat chart="15" format="153" series="1">
      <pivotArea type="data" outline="0" fieldPosition="0">
        <references count="2">
          <reference field="4294967294" count="1" selected="0">
            <x v="0"/>
          </reference>
          <reference field="6" count="1" selected="0">
            <x v="71"/>
          </reference>
        </references>
      </pivotArea>
    </chartFormat>
    <chartFormat chart="15" format="154" series="1">
      <pivotArea type="data" outline="0" fieldPosition="0">
        <references count="2">
          <reference field="4294967294" count="1" selected="0">
            <x v="0"/>
          </reference>
          <reference field="6" count="1" selected="0">
            <x v="72"/>
          </reference>
        </references>
      </pivotArea>
    </chartFormat>
    <chartFormat chart="15" format="155" series="1">
      <pivotArea type="data" outline="0" fieldPosition="0">
        <references count="2">
          <reference field="4294967294" count="1" selected="0">
            <x v="0"/>
          </reference>
          <reference field="6" count="1" selected="0">
            <x v="73"/>
          </reference>
        </references>
      </pivotArea>
    </chartFormat>
    <chartFormat chart="15" format="156" series="1">
      <pivotArea type="data" outline="0" fieldPosition="0">
        <references count="2">
          <reference field="4294967294" count="1" selected="0">
            <x v="0"/>
          </reference>
          <reference field="6" count="1" selected="0">
            <x v="74"/>
          </reference>
        </references>
      </pivotArea>
    </chartFormat>
    <chartFormat chart="15" format="157" series="1">
      <pivotArea type="data" outline="0" fieldPosition="0">
        <references count="2">
          <reference field="4294967294" count="1" selected="0">
            <x v="0"/>
          </reference>
          <reference field="6" count="1" selected="0">
            <x v="75"/>
          </reference>
        </references>
      </pivotArea>
    </chartFormat>
    <chartFormat chart="15" format="158" series="1">
      <pivotArea type="data" outline="0" fieldPosition="0">
        <references count="2">
          <reference field="4294967294" count="1" selected="0">
            <x v="0"/>
          </reference>
          <reference field="6" count="1" selected="0">
            <x v="76"/>
          </reference>
        </references>
      </pivotArea>
    </chartFormat>
    <chartFormat chart="15" format="159" series="1">
      <pivotArea type="data" outline="0" fieldPosition="0">
        <references count="2">
          <reference field="4294967294" count="1" selected="0">
            <x v="0"/>
          </reference>
          <reference field="6" count="1" selected="0">
            <x v="7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51D12BA-82FD-4BB9-9EA1-316AF17BC122}" name="PivotTable8"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compactData="0" multipleFieldFilters="0" chartFormat="24">
  <location ref="B226:BT239" firstHeaderRow="1" firstDataRow="2" firstDataCol="1"/>
  <pivotFields count="10">
    <pivotField compact="0" outline="0" showAll="0">
      <items count="8">
        <item m="1" x="5"/>
        <item m="1" x="3"/>
        <item m="1" x="2"/>
        <item m="1" x="4"/>
        <item m="1" x="6"/>
        <item x="0"/>
        <item x="1"/>
        <item t="default"/>
      </items>
    </pivotField>
    <pivotField compact="0" outline="0" showAll="0">
      <items count="47">
        <item x="12"/>
        <item m="1" x="34"/>
        <item m="1" x="29"/>
        <item m="1" x="32"/>
        <item m="1" x="44"/>
        <item x="14"/>
        <item m="1" x="43"/>
        <item m="1" x="38"/>
        <item m="1" x="40"/>
        <item m="1" x="42"/>
        <item m="1" x="45"/>
        <item x="7"/>
        <item m="1" x="26"/>
        <item m="1" x="27"/>
        <item m="1" x="39"/>
        <item m="1" x="41"/>
        <item m="1" x="33"/>
        <item x="2"/>
        <item x="4"/>
        <item x="6"/>
        <item m="1" x="37"/>
        <item m="1" x="25"/>
        <item m="1" x="30"/>
        <item m="1" x="28"/>
        <item x="18"/>
        <item x="21"/>
        <item m="1" x="36"/>
        <item m="1" x="31"/>
        <item m="1" x="35"/>
        <item x="0"/>
        <item x="1"/>
        <item x="3"/>
        <item x="5"/>
        <item x="8"/>
        <item x="9"/>
        <item x="10"/>
        <item x="11"/>
        <item x="13"/>
        <item x="15"/>
        <item x="16"/>
        <item x="17"/>
        <item x="19"/>
        <item x="20"/>
        <item x="22"/>
        <item x="23"/>
        <item x="24"/>
        <item t="default"/>
      </items>
    </pivotField>
    <pivotField compact="0" outline="0" showAll="0"/>
    <pivotField compact="0" outline="0" showAll="0">
      <items count="18">
        <item x="4"/>
        <item x="0"/>
        <item x="5"/>
        <item m="1" x="15"/>
        <item m="1" x="11"/>
        <item m="1" x="12"/>
        <item m="1" x="7"/>
        <item x="1"/>
        <item m="1" x="10"/>
        <item m="1" x="13"/>
        <item m="1" x="16"/>
        <item m="1" x="14"/>
        <item m="1" x="8"/>
        <item m="1" x="9"/>
        <item x="3"/>
        <item x="2"/>
        <item m="1" x="6"/>
        <item t="default"/>
      </items>
    </pivotField>
    <pivotField compact="0" outline="0" showAll="0">
      <items count="122">
        <item m="1" x="93"/>
        <item x="31"/>
        <item x="10"/>
        <item m="1" x="95"/>
        <item x="0"/>
        <item m="1" x="68"/>
        <item m="1" x="99"/>
        <item m="1" x="118"/>
        <item m="1" x="74"/>
        <item m="1" x="70"/>
        <item m="1" x="83"/>
        <item m="1" x="61"/>
        <item m="1" x="69"/>
        <item m="1" x="94"/>
        <item m="1" x="101"/>
        <item x="7"/>
        <item x="43"/>
        <item x="52"/>
        <item x="28"/>
        <item x="50"/>
        <item m="1" x="71"/>
        <item m="1" x="109"/>
        <item x="46"/>
        <item x="38"/>
        <item x="27"/>
        <item x="12"/>
        <item x="18"/>
        <item x="29"/>
        <item m="1" x="117"/>
        <item x="21"/>
        <item m="1" x="97"/>
        <item x="17"/>
        <item m="1" x="56"/>
        <item x="23"/>
        <item x="20"/>
        <item m="1" x="66"/>
        <item m="1" x="108"/>
        <item m="1" x="57"/>
        <item m="1" x="111"/>
        <item m="1" x="100"/>
        <item x="35"/>
        <item x="48"/>
        <item x="26"/>
        <item m="1" x="119"/>
        <item m="1" x="92"/>
        <item x="53"/>
        <item m="1" x="85"/>
        <item m="1" x="73"/>
        <item m="1" x="107"/>
        <item x="33"/>
        <item m="1" x="86"/>
        <item x="45"/>
        <item x="54"/>
        <item x="13"/>
        <item m="1" x="75"/>
        <item m="1" x="60"/>
        <item m="1" x="106"/>
        <item x="19"/>
        <item m="1" x="76"/>
        <item m="1" x="77"/>
        <item x="14"/>
        <item m="1" x="72"/>
        <item x="51"/>
        <item x="16"/>
        <item m="1" x="84"/>
        <item m="1" x="78"/>
        <item m="1" x="98"/>
        <item m="1" x="65"/>
        <item m="1" x="62"/>
        <item m="1" x="59"/>
        <item m="1" x="110"/>
        <item m="1" x="87"/>
        <item x="2"/>
        <item x="15"/>
        <item x="39"/>
        <item m="1" x="88"/>
        <item m="1" x="82"/>
        <item x="5"/>
        <item x="6"/>
        <item x="40"/>
        <item x="42"/>
        <item m="1" x="114"/>
        <item m="1" x="115"/>
        <item m="1" x="64"/>
        <item x="41"/>
        <item x="37"/>
        <item m="1" x="67"/>
        <item x="36"/>
        <item x="11"/>
        <item x="1"/>
        <item m="1" x="90"/>
        <item m="1" x="79"/>
        <item x="4"/>
        <item x="8"/>
        <item m="1" x="80"/>
        <item m="1" x="105"/>
        <item m="1" x="55"/>
        <item x="30"/>
        <item m="1" x="103"/>
        <item m="1" x="96"/>
        <item m="1" x="91"/>
        <item m="1" x="120"/>
        <item x="3"/>
        <item m="1" x="104"/>
        <item m="1" x="112"/>
        <item x="25"/>
        <item x="9"/>
        <item m="1" x="113"/>
        <item m="1" x="116"/>
        <item m="1" x="102"/>
        <item m="1" x="81"/>
        <item m="1" x="63"/>
        <item x="49"/>
        <item m="1" x="89"/>
        <item x="24"/>
        <item x="44"/>
        <item x="34"/>
        <item x="32"/>
        <item x="22"/>
        <item x="47"/>
        <item m="1" x="58"/>
        <item t="default"/>
      </items>
    </pivotField>
    <pivotField compact="0" outline="0" showAll="0"/>
    <pivotField axis="axisCol" compact="0" outline="0" showAll="0">
      <items count="79">
        <item m="1" x="71"/>
        <item m="1" x="75"/>
        <item m="1" x="74"/>
        <item m="1" x="70"/>
        <item m="1" x="72"/>
        <item m="1" x="76"/>
        <item m="1" x="73"/>
        <item m="1" x="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t="default"/>
      </items>
    </pivotField>
    <pivotField compact="0" numFmtId="2" outline="0" showAll="0"/>
    <pivotField compact="0" numFmtId="14" outline="0" showAll="0">
      <items count="30">
        <item x="0"/>
        <item x="1"/>
        <item x="2"/>
        <item x="3"/>
        <item x="4"/>
        <item x="5"/>
        <item x="6"/>
        <item x="7"/>
        <item x="8"/>
        <item x="9"/>
        <item x="10"/>
        <item x="11"/>
        <item x="12"/>
        <item x="13"/>
        <item x="14"/>
        <item x="15"/>
        <item x="16"/>
        <item x="17"/>
        <item x="18"/>
        <item x="19"/>
        <item x="20"/>
        <item x="21"/>
        <item x="22"/>
        <item m="1" x="24"/>
        <item m="1" x="27"/>
        <item m="1" x="28"/>
        <item m="1" x="26"/>
        <item m="1" x="25"/>
        <item m="1" x="23"/>
        <item t="default"/>
      </items>
    </pivotField>
    <pivotField axis="axisRow" compact="0" outline="0" showAll="0">
      <items count="13">
        <item x="0"/>
        <item x="1"/>
        <item x="2"/>
        <item x="3"/>
        <item x="4"/>
        <item x="5"/>
        <item x="6"/>
        <item x="7"/>
        <item x="8"/>
        <item x="9"/>
        <item x="10"/>
        <item x="11"/>
        <item t="default"/>
      </items>
    </pivotField>
  </pivotFields>
  <rowFields count="1">
    <field x="9"/>
  </rowFields>
  <rowItems count="12">
    <i>
      <x/>
    </i>
    <i>
      <x v="1"/>
    </i>
    <i>
      <x v="2"/>
    </i>
    <i>
      <x v="3"/>
    </i>
    <i>
      <x v="4"/>
    </i>
    <i>
      <x v="5"/>
    </i>
    <i>
      <x v="6"/>
    </i>
    <i>
      <x v="7"/>
    </i>
    <i>
      <x v="8"/>
    </i>
    <i>
      <x v="9"/>
    </i>
    <i>
      <x v="10"/>
    </i>
    <i>
      <x v="11"/>
    </i>
  </rowItems>
  <colFields count="1">
    <field x="6"/>
  </colFields>
  <colItems count="70">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colItems>
  <formats count="57">
    <format dxfId="343">
      <pivotArea type="all" dataOnly="0" outline="0" fieldPosition="0"/>
    </format>
    <format dxfId="342">
      <pivotArea field="0" type="button" dataOnly="0" labelOnly="1" outline="0"/>
    </format>
    <format dxfId="341">
      <pivotArea dataOnly="0" labelOnly="1" grandRow="1" outline="0" fieldPosition="0"/>
    </format>
    <format dxfId="340">
      <pivotArea type="all" dataOnly="0" outline="0" fieldPosition="0"/>
    </format>
    <format dxfId="339">
      <pivotArea outline="0" collapsedLevelsAreSubtotals="1" fieldPosition="0"/>
    </format>
    <format dxfId="338">
      <pivotArea field="6" type="button" dataOnly="0" labelOnly="1" outline="0" axis="axisCol" fieldPosition="0"/>
    </format>
    <format dxfId="337">
      <pivotArea dataOnly="0" labelOnly="1" grandRow="1" outline="0" fieldPosition="0"/>
    </format>
    <format dxfId="336">
      <pivotArea dataOnly="0" labelOnly="1" outline="0" axis="axisValues" fieldPosition="0"/>
    </format>
    <format dxfId="335">
      <pivotArea outline="0" collapsedLevelsAreSubtotals="1" fieldPosition="0"/>
    </format>
    <format dxfId="334">
      <pivotArea outline="0" collapsedLevelsAreSubtotals="1" fieldPosition="0"/>
    </format>
    <format dxfId="333">
      <pivotArea field="1" type="button" dataOnly="0" labelOnly="1" outline="0"/>
    </format>
    <format dxfId="332">
      <pivotArea dataOnly="0" labelOnly="1" fieldPosition="0">
        <references count="1">
          <reference field="6" count="0"/>
        </references>
      </pivotArea>
    </format>
    <format dxfId="331">
      <pivotArea type="all" dataOnly="0" outline="0" fieldPosition="0"/>
    </format>
    <format dxfId="330">
      <pivotArea outline="0" collapsedLevelsAreSubtotals="1" fieldPosition="0"/>
    </format>
    <format dxfId="329">
      <pivotArea type="origin" dataOnly="0" labelOnly="1" outline="0" fieldPosition="0"/>
    </format>
    <format dxfId="328">
      <pivotArea field="6" type="button" dataOnly="0" labelOnly="1" outline="0" axis="axisCol" fieldPosition="0"/>
    </format>
    <format dxfId="327">
      <pivotArea type="topRight" dataOnly="0" labelOnly="1" outline="0" fieldPosition="0"/>
    </format>
    <format dxfId="326">
      <pivotArea field="1" type="button" dataOnly="0" labelOnly="1" outline="0"/>
    </format>
    <format dxfId="325">
      <pivotArea dataOnly="0" labelOnly="1" outline="0" fieldPosition="0">
        <references count="1">
          <reference field="6" count="0"/>
        </references>
      </pivotArea>
    </format>
    <format dxfId="324">
      <pivotArea type="all" dataOnly="0" outline="0" fieldPosition="0"/>
    </format>
    <format dxfId="323">
      <pivotArea outline="0" collapsedLevelsAreSubtotals="1" fieldPosition="0"/>
    </format>
    <format dxfId="322">
      <pivotArea type="origin" dataOnly="0" labelOnly="1" outline="0" fieldPosition="0"/>
    </format>
    <format dxfId="321">
      <pivotArea field="6" type="button" dataOnly="0" labelOnly="1" outline="0" axis="axisCol" fieldPosition="0"/>
    </format>
    <format dxfId="320">
      <pivotArea type="topRight" dataOnly="0" labelOnly="1" outline="0" fieldPosition="0"/>
    </format>
    <format dxfId="319">
      <pivotArea field="1" type="button" dataOnly="0" labelOnly="1" outline="0"/>
    </format>
    <format dxfId="318">
      <pivotArea dataOnly="0" labelOnly="1" outline="0" fieldPosition="0">
        <references count="1">
          <reference field="6" count="0"/>
        </references>
      </pivotArea>
    </format>
    <format dxfId="317">
      <pivotArea type="all" dataOnly="0" outline="0" fieldPosition="0"/>
    </format>
    <format dxfId="316">
      <pivotArea outline="0" collapsedLevelsAreSubtotals="1" fieldPosition="0"/>
    </format>
    <format dxfId="315">
      <pivotArea type="origin" dataOnly="0" labelOnly="1" outline="0" fieldPosition="0"/>
    </format>
    <format dxfId="314">
      <pivotArea field="6" type="button" dataOnly="0" labelOnly="1" outline="0" axis="axisCol" fieldPosition="0"/>
    </format>
    <format dxfId="313">
      <pivotArea type="topRight" dataOnly="0" labelOnly="1" outline="0" fieldPosition="0"/>
    </format>
    <format dxfId="312">
      <pivotArea field="1" type="button" dataOnly="0" labelOnly="1" outline="0"/>
    </format>
    <format dxfId="311">
      <pivotArea dataOnly="0" labelOnly="1" outline="0" fieldPosition="0">
        <references count="1">
          <reference field="6" count="0"/>
        </references>
      </pivotArea>
    </format>
    <format dxfId="310">
      <pivotArea type="all" dataOnly="0" outline="0" fieldPosition="0"/>
    </format>
    <format dxfId="309">
      <pivotArea outline="0" collapsedLevelsAreSubtotals="1" fieldPosition="0"/>
    </format>
    <format dxfId="308">
      <pivotArea type="origin" dataOnly="0" labelOnly="1" outline="0" fieldPosition="0"/>
    </format>
    <format dxfId="307">
      <pivotArea field="6" type="button" dataOnly="0" labelOnly="1" outline="0" axis="axisCol" fieldPosition="0"/>
    </format>
    <format dxfId="306">
      <pivotArea type="topRight" dataOnly="0" labelOnly="1" outline="0" fieldPosition="0"/>
    </format>
    <format dxfId="305">
      <pivotArea field="1" type="button" dataOnly="0" labelOnly="1" outline="0"/>
    </format>
    <format dxfId="304">
      <pivotArea dataOnly="0" labelOnly="1" outline="0" fieldPosition="0">
        <references count="1">
          <reference field="6" count="0"/>
        </references>
      </pivotArea>
    </format>
    <format dxfId="303">
      <pivotArea type="all" dataOnly="0" outline="0" fieldPosition="0"/>
    </format>
    <format dxfId="302">
      <pivotArea outline="0" collapsedLevelsAreSubtotals="1" fieldPosition="0"/>
    </format>
    <format dxfId="301">
      <pivotArea type="origin" dataOnly="0" labelOnly="1" outline="0" fieldPosition="0"/>
    </format>
    <format dxfId="300">
      <pivotArea field="6" type="button" dataOnly="0" labelOnly="1" outline="0" axis="axisCol" fieldPosition="0"/>
    </format>
    <format dxfId="299">
      <pivotArea type="topRight" dataOnly="0" labelOnly="1" outline="0" fieldPosition="0"/>
    </format>
    <format dxfId="298">
      <pivotArea field="1" type="button" dataOnly="0" labelOnly="1" outline="0"/>
    </format>
    <format dxfId="297">
      <pivotArea dataOnly="0" labelOnly="1" outline="0" fieldPosition="0">
        <references count="1">
          <reference field="6" count="0"/>
        </references>
      </pivotArea>
    </format>
    <format dxfId="296">
      <pivotArea type="all" dataOnly="0" outline="0" fieldPosition="0"/>
    </format>
    <format dxfId="295">
      <pivotArea outline="0" collapsedLevelsAreSubtotals="1" fieldPosition="0"/>
    </format>
    <format dxfId="294">
      <pivotArea type="origin" dataOnly="0" labelOnly="1" outline="0" fieldPosition="0"/>
    </format>
    <format dxfId="293">
      <pivotArea field="6" type="button" dataOnly="0" labelOnly="1" outline="0" axis="axisCol" fieldPosition="0"/>
    </format>
    <format dxfId="292">
      <pivotArea type="topRight" dataOnly="0" labelOnly="1" outline="0" fieldPosition="0"/>
    </format>
    <format dxfId="291">
      <pivotArea field="1" type="button" dataOnly="0" labelOnly="1" outline="0"/>
    </format>
    <format dxfId="290">
      <pivotArea dataOnly="0" labelOnly="1" outline="0" fieldPosition="0">
        <references count="1">
          <reference field="6" count="50">
            <x v="8"/>
            <x v="9"/>
            <x v="10"/>
            <x v="11"/>
            <x v="12"/>
            <x v="13"/>
            <x v="14"/>
            <x v="15"/>
            <x v="16"/>
            <x v="17"/>
            <x v="18"/>
            <x v="19"/>
            <x v="20"/>
            <x v="21"/>
            <x v="22"/>
            <x v="23"/>
            <x v="24"/>
            <x v="25"/>
            <x v="26"/>
            <x v="27"/>
            <x v="28"/>
            <x v="29"/>
            <x v="30"/>
            <x v="31"/>
            <x v="32"/>
            <x v="33"/>
            <x v="34"/>
            <x v="35"/>
            <x v="36"/>
            <x v="37"/>
            <x v="38"/>
            <x v="39"/>
            <x v="40"/>
            <x v="41"/>
            <x v="42"/>
            <x v="43"/>
            <x v="44"/>
            <x v="45"/>
            <x v="46"/>
            <x v="47"/>
            <x v="48"/>
            <x v="49"/>
            <x v="50"/>
            <x v="51"/>
            <x v="52"/>
            <x v="53"/>
            <x v="54"/>
            <x v="55"/>
            <x v="56"/>
            <x v="57"/>
          </reference>
        </references>
      </pivotArea>
    </format>
    <format dxfId="289">
      <pivotArea dataOnly="0" labelOnly="1" outline="0" fieldPosition="0">
        <references count="1">
          <reference field="6" count="20">
            <x v="58"/>
            <x v="59"/>
            <x v="60"/>
            <x v="61"/>
            <x v="62"/>
            <x v="63"/>
            <x v="64"/>
            <x v="65"/>
            <x v="66"/>
            <x v="67"/>
            <x v="68"/>
            <x v="69"/>
            <x v="70"/>
            <x v="71"/>
            <x v="72"/>
            <x v="73"/>
            <x v="74"/>
            <x v="75"/>
            <x v="76"/>
            <x v="77"/>
          </reference>
        </references>
      </pivotArea>
    </format>
    <format dxfId="288">
      <pivotArea dataOnly="0" labelOnly="1" outline="0" fieldPosition="0">
        <references count="1">
          <reference field="6" count="50">
            <x v="8"/>
            <x v="9"/>
            <x v="10"/>
            <x v="11"/>
            <x v="12"/>
            <x v="13"/>
            <x v="15"/>
            <x v="16"/>
            <x v="17"/>
            <x v="18"/>
            <x v="19"/>
            <x v="20"/>
            <x v="21"/>
            <x v="22"/>
            <x v="23"/>
            <x v="24"/>
            <x v="25"/>
            <x v="26"/>
            <x v="27"/>
            <x v="28"/>
            <x v="29"/>
            <x v="31"/>
            <x v="32"/>
            <x v="33"/>
            <x v="34"/>
            <x v="35"/>
            <x v="36"/>
            <x v="37"/>
            <x v="38"/>
            <x v="39"/>
            <x v="40"/>
            <x v="41"/>
            <x v="42"/>
            <x v="43"/>
            <x v="44"/>
            <x v="45"/>
            <x v="46"/>
            <x v="47"/>
            <x v="48"/>
            <x v="49"/>
            <x v="50"/>
            <x v="51"/>
            <x v="52"/>
            <x v="53"/>
            <x v="54"/>
            <x v="55"/>
            <x v="57"/>
            <x v="58"/>
            <x v="59"/>
            <x v="60"/>
          </reference>
        </references>
      </pivotArea>
    </format>
    <format dxfId="287">
      <pivotArea dataOnly="0" labelOnly="1" outline="0" fieldPosition="0">
        <references count="1">
          <reference field="6" count="17">
            <x v="61"/>
            <x v="62"/>
            <x v="63"/>
            <x v="64"/>
            <x v="65"/>
            <x v="66"/>
            <x v="67"/>
            <x v="68"/>
            <x v="69"/>
            <x v="70"/>
            <x v="71"/>
            <x v="72"/>
            <x v="73"/>
            <x v="74"/>
            <x v="75"/>
            <x v="76"/>
            <x v="77"/>
          </reference>
        </references>
      </pivotArea>
    </format>
  </format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5B8E1AD8-1B0E-4A42-B9F9-402CBC5D3B20}" name="PivotTable24"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compactData="0" multipleFieldFilters="0" chartFormat="24">
  <location ref="B46:BT72" firstHeaderRow="1" firstDataRow="2" firstDataCol="1"/>
  <pivotFields count="10">
    <pivotField compact="0" outline="0" showAll="0">
      <items count="8">
        <item m="1" x="5"/>
        <item m="1" x="3"/>
        <item m="1" x="2"/>
        <item m="1" x="4"/>
        <item m="1" x="6"/>
        <item x="0"/>
        <item x="1"/>
        <item t="default"/>
      </items>
    </pivotField>
    <pivotField axis="axisRow" compact="0" outline="0" showAll="0">
      <items count="47">
        <item x="12"/>
        <item m="1" x="34"/>
        <item m="1" x="29"/>
        <item m="1" x="32"/>
        <item m="1" x="44"/>
        <item x="14"/>
        <item m="1" x="43"/>
        <item m="1" x="38"/>
        <item m="1" x="40"/>
        <item m="1" x="42"/>
        <item m="1" x="45"/>
        <item x="7"/>
        <item m="1" x="26"/>
        <item m="1" x="27"/>
        <item m="1" x="39"/>
        <item m="1" x="41"/>
        <item m="1" x="33"/>
        <item x="2"/>
        <item x="4"/>
        <item x="6"/>
        <item m="1" x="37"/>
        <item m="1" x="25"/>
        <item m="1" x="30"/>
        <item m="1" x="28"/>
        <item x="18"/>
        <item x="21"/>
        <item m="1" x="36"/>
        <item m="1" x="31"/>
        <item m="1" x="35"/>
        <item x="0"/>
        <item x="1"/>
        <item x="3"/>
        <item x="5"/>
        <item x="8"/>
        <item x="9"/>
        <item x="10"/>
        <item x="11"/>
        <item x="13"/>
        <item x="15"/>
        <item x="16"/>
        <item x="17"/>
        <item x="19"/>
        <item x="20"/>
        <item x="22"/>
        <item x="23"/>
        <item x="24"/>
        <item t="default"/>
      </items>
    </pivotField>
    <pivotField compact="0" outline="0" showAll="0"/>
    <pivotField compact="0" outline="0" showAll="0">
      <items count="18">
        <item x="4"/>
        <item x="0"/>
        <item x="5"/>
        <item m="1" x="15"/>
        <item m="1" x="11"/>
        <item m="1" x="12"/>
        <item m="1" x="7"/>
        <item x="1"/>
        <item m="1" x="10"/>
        <item m="1" x="13"/>
        <item m="1" x="16"/>
        <item m="1" x="14"/>
        <item m="1" x="8"/>
        <item m="1" x="9"/>
        <item x="3"/>
        <item x="2"/>
        <item m="1" x="6"/>
        <item t="default"/>
      </items>
    </pivotField>
    <pivotField compact="0" outline="0" showAll="0">
      <items count="122">
        <item m="1" x="93"/>
        <item x="31"/>
        <item x="10"/>
        <item m="1" x="95"/>
        <item x="0"/>
        <item m="1" x="68"/>
        <item m="1" x="99"/>
        <item m="1" x="118"/>
        <item m="1" x="74"/>
        <item m="1" x="70"/>
        <item m="1" x="83"/>
        <item m="1" x="61"/>
        <item m="1" x="69"/>
        <item m="1" x="94"/>
        <item m="1" x="101"/>
        <item x="7"/>
        <item x="43"/>
        <item x="52"/>
        <item x="28"/>
        <item x="50"/>
        <item m="1" x="71"/>
        <item m="1" x="109"/>
        <item x="46"/>
        <item x="38"/>
        <item x="27"/>
        <item x="12"/>
        <item x="18"/>
        <item x="29"/>
        <item m="1" x="117"/>
        <item x="21"/>
        <item m="1" x="97"/>
        <item x="17"/>
        <item m="1" x="56"/>
        <item x="23"/>
        <item x="20"/>
        <item m="1" x="66"/>
        <item m="1" x="108"/>
        <item m="1" x="57"/>
        <item m="1" x="111"/>
        <item m="1" x="100"/>
        <item x="35"/>
        <item x="48"/>
        <item x="26"/>
        <item m="1" x="119"/>
        <item m="1" x="92"/>
        <item x="53"/>
        <item m="1" x="85"/>
        <item m="1" x="73"/>
        <item m="1" x="107"/>
        <item x="33"/>
        <item m="1" x="86"/>
        <item x="45"/>
        <item x="54"/>
        <item x="13"/>
        <item m="1" x="75"/>
        <item m="1" x="60"/>
        <item m="1" x="106"/>
        <item x="19"/>
        <item m="1" x="76"/>
        <item m="1" x="77"/>
        <item x="14"/>
        <item m="1" x="72"/>
        <item x="51"/>
        <item x="16"/>
        <item m="1" x="84"/>
        <item m="1" x="78"/>
        <item m="1" x="98"/>
        <item m="1" x="65"/>
        <item m="1" x="62"/>
        <item m="1" x="59"/>
        <item m="1" x="110"/>
        <item m="1" x="87"/>
        <item x="2"/>
        <item x="15"/>
        <item x="39"/>
        <item m="1" x="88"/>
        <item m="1" x="82"/>
        <item x="5"/>
        <item x="6"/>
        <item x="40"/>
        <item x="42"/>
        <item m="1" x="114"/>
        <item m="1" x="115"/>
        <item m="1" x="64"/>
        <item x="41"/>
        <item x="37"/>
        <item m="1" x="67"/>
        <item x="36"/>
        <item x="11"/>
        <item x="1"/>
        <item m="1" x="90"/>
        <item m="1" x="79"/>
        <item x="4"/>
        <item x="8"/>
        <item m="1" x="80"/>
        <item m="1" x="105"/>
        <item m="1" x="55"/>
        <item x="30"/>
        <item m="1" x="103"/>
        <item m="1" x="96"/>
        <item m="1" x="91"/>
        <item m="1" x="120"/>
        <item x="3"/>
        <item m="1" x="104"/>
        <item m="1" x="112"/>
        <item x="25"/>
        <item x="9"/>
        <item m="1" x="113"/>
        <item m="1" x="116"/>
        <item m="1" x="102"/>
        <item m="1" x="81"/>
        <item m="1" x="63"/>
        <item x="49"/>
        <item m="1" x="89"/>
        <item x="24"/>
        <item x="44"/>
        <item x="34"/>
        <item x="32"/>
        <item x="22"/>
        <item x="47"/>
        <item m="1" x="58"/>
        <item t="default"/>
      </items>
    </pivotField>
    <pivotField compact="0" outline="0" showAll="0"/>
    <pivotField axis="axisCol" compact="0" outline="0" showAll="0">
      <items count="79">
        <item m="1" x="71"/>
        <item m="1" x="75"/>
        <item m="1" x="74"/>
        <item m="1" x="70"/>
        <item m="1" x="72"/>
        <item m="1" x="76"/>
        <item m="1" x="73"/>
        <item m="1" x="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t="default"/>
      </items>
    </pivotField>
    <pivotField dataField="1" compact="0" numFmtId="2" outline="0" showAll="0"/>
    <pivotField compact="0" numFmtId="14" outline="0" showAll="0">
      <items count="30">
        <item x="0"/>
        <item x="1"/>
        <item x="2"/>
        <item x="3"/>
        <item x="4"/>
        <item x="5"/>
        <item x="6"/>
        <item x="7"/>
        <item x="8"/>
        <item x="9"/>
        <item x="10"/>
        <item x="11"/>
        <item x="12"/>
        <item x="13"/>
        <item x="14"/>
        <item x="15"/>
        <item x="16"/>
        <item x="17"/>
        <item x="18"/>
        <item x="19"/>
        <item x="20"/>
        <item x="21"/>
        <item x="22"/>
        <item m="1" x="24"/>
        <item m="1" x="27"/>
        <item m="1" x="28"/>
        <item m="1" x="26"/>
        <item m="1" x="25"/>
        <item m="1" x="23"/>
        <item t="default"/>
      </items>
    </pivotField>
    <pivotField compact="0" outline="0" showAll="0">
      <items count="13">
        <item x="0"/>
        <item x="1"/>
        <item x="2"/>
        <item x="3"/>
        <item x="4"/>
        <item x="5"/>
        <item x="6"/>
        <item x="7"/>
        <item x="8"/>
        <item x="9"/>
        <item x="10"/>
        <item x="11"/>
        <item t="default"/>
      </items>
    </pivotField>
  </pivotFields>
  <rowFields count="1">
    <field x="1"/>
  </rowFields>
  <rowItems count="25">
    <i>
      <x/>
    </i>
    <i>
      <x v="5"/>
    </i>
    <i>
      <x v="11"/>
    </i>
    <i>
      <x v="17"/>
    </i>
    <i>
      <x v="18"/>
    </i>
    <i>
      <x v="19"/>
    </i>
    <i>
      <x v="24"/>
    </i>
    <i>
      <x v="25"/>
    </i>
    <i>
      <x v="29"/>
    </i>
    <i>
      <x v="30"/>
    </i>
    <i>
      <x v="31"/>
    </i>
    <i>
      <x v="32"/>
    </i>
    <i>
      <x v="33"/>
    </i>
    <i>
      <x v="34"/>
    </i>
    <i>
      <x v="35"/>
    </i>
    <i>
      <x v="36"/>
    </i>
    <i>
      <x v="37"/>
    </i>
    <i>
      <x v="38"/>
    </i>
    <i>
      <x v="39"/>
    </i>
    <i>
      <x v="40"/>
    </i>
    <i>
      <x v="41"/>
    </i>
    <i>
      <x v="42"/>
    </i>
    <i>
      <x v="43"/>
    </i>
    <i>
      <x v="44"/>
    </i>
    <i>
      <x v="45"/>
    </i>
  </rowItems>
  <colFields count="1">
    <field x="6"/>
  </colFields>
  <colItems count="70">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colItems>
  <dataFields count="1">
    <dataField name="Sum of Hours_x000a_" fld="7" baseField="0" baseItem="0" numFmtId="2"/>
  </dataFields>
  <formats count="62">
    <format dxfId="405">
      <pivotArea type="all" dataOnly="0" outline="0" fieldPosition="0"/>
    </format>
    <format dxfId="404">
      <pivotArea field="0" type="button" dataOnly="0" labelOnly="1" outline="0"/>
    </format>
    <format dxfId="403">
      <pivotArea dataOnly="0" labelOnly="1" grandRow="1" outline="0" fieldPosition="0"/>
    </format>
    <format dxfId="402">
      <pivotArea type="all" dataOnly="0" outline="0" fieldPosition="0"/>
    </format>
    <format dxfId="401">
      <pivotArea outline="0" collapsedLevelsAreSubtotals="1" fieldPosition="0"/>
    </format>
    <format dxfId="400">
      <pivotArea field="6" type="button" dataOnly="0" labelOnly="1" outline="0" axis="axisCol" fieldPosition="0"/>
    </format>
    <format dxfId="399">
      <pivotArea dataOnly="0" labelOnly="1" grandRow="1" outline="0" fieldPosition="0"/>
    </format>
    <format dxfId="398">
      <pivotArea dataOnly="0" labelOnly="1" outline="0" axis="axisValues" fieldPosition="0"/>
    </format>
    <format dxfId="397">
      <pivotArea outline="0" collapsedLevelsAreSubtotals="1" fieldPosition="0"/>
    </format>
    <format dxfId="396">
      <pivotArea outline="0" collapsedLevelsAreSubtotals="1" fieldPosition="0"/>
    </format>
    <format dxfId="395">
      <pivotArea field="1" type="button" dataOnly="0" labelOnly="1" outline="0" axis="axisRow" fieldPosition="0"/>
    </format>
    <format dxfId="394">
      <pivotArea dataOnly="0" labelOnly="1" fieldPosition="0">
        <references count="1">
          <reference field="1" count="9">
            <x v="0"/>
            <x v="2"/>
            <x v="3"/>
            <x v="4"/>
            <x v="5"/>
            <x v="7"/>
            <x v="8"/>
            <x v="9"/>
            <x v="11"/>
          </reference>
        </references>
      </pivotArea>
    </format>
    <format dxfId="393">
      <pivotArea dataOnly="0" labelOnly="1" fieldPosition="0">
        <references count="1">
          <reference field="6" count="0"/>
        </references>
      </pivotArea>
    </format>
    <format dxfId="392">
      <pivotArea type="all" dataOnly="0" outline="0" fieldPosition="0"/>
    </format>
    <format dxfId="391">
      <pivotArea outline="0" collapsedLevelsAreSubtotals="1" fieldPosition="0"/>
    </format>
    <format dxfId="390">
      <pivotArea type="origin" dataOnly="0" labelOnly="1" outline="0" fieldPosition="0"/>
    </format>
    <format dxfId="389">
      <pivotArea field="6" type="button" dataOnly="0" labelOnly="1" outline="0" axis="axisCol" fieldPosition="0"/>
    </format>
    <format dxfId="388">
      <pivotArea type="topRight" dataOnly="0" labelOnly="1" outline="0" fieldPosition="0"/>
    </format>
    <format dxfId="387">
      <pivotArea field="1" type="button" dataOnly="0" labelOnly="1" outline="0" axis="axisRow" fieldPosition="0"/>
    </format>
    <format dxfId="386">
      <pivotArea dataOnly="0" labelOnly="1" outline="0" fieldPosition="0">
        <references count="1">
          <reference field="1" count="0"/>
        </references>
      </pivotArea>
    </format>
    <format dxfId="385">
      <pivotArea dataOnly="0" labelOnly="1" outline="0" fieldPosition="0">
        <references count="1">
          <reference field="6" count="0"/>
        </references>
      </pivotArea>
    </format>
    <format dxfId="384">
      <pivotArea type="all" dataOnly="0" outline="0" fieldPosition="0"/>
    </format>
    <format dxfId="383">
      <pivotArea outline="0" collapsedLevelsAreSubtotals="1" fieldPosition="0"/>
    </format>
    <format dxfId="382">
      <pivotArea type="origin" dataOnly="0" labelOnly="1" outline="0" fieldPosition="0"/>
    </format>
    <format dxfId="381">
      <pivotArea field="6" type="button" dataOnly="0" labelOnly="1" outline="0" axis="axisCol" fieldPosition="0"/>
    </format>
    <format dxfId="380">
      <pivotArea type="topRight" dataOnly="0" labelOnly="1" outline="0" fieldPosition="0"/>
    </format>
    <format dxfId="379">
      <pivotArea field="1" type="button" dataOnly="0" labelOnly="1" outline="0" axis="axisRow" fieldPosition="0"/>
    </format>
    <format dxfId="378">
      <pivotArea dataOnly="0" labelOnly="1" outline="0" fieldPosition="0">
        <references count="1">
          <reference field="1" count="0"/>
        </references>
      </pivotArea>
    </format>
    <format dxfId="377">
      <pivotArea dataOnly="0" labelOnly="1" outline="0" fieldPosition="0">
        <references count="1">
          <reference field="6" count="0"/>
        </references>
      </pivotArea>
    </format>
    <format dxfId="376">
      <pivotArea type="all" dataOnly="0" outline="0" fieldPosition="0"/>
    </format>
    <format dxfId="375">
      <pivotArea outline="0" collapsedLevelsAreSubtotals="1" fieldPosition="0"/>
    </format>
    <format dxfId="374">
      <pivotArea type="origin" dataOnly="0" labelOnly="1" outline="0" fieldPosition="0"/>
    </format>
    <format dxfId="373">
      <pivotArea field="6" type="button" dataOnly="0" labelOnly="1" outline="0" axis="axisCol" fieldPosition="0"/>
    </format>
    <format dxfId="372">
      <pivotArea type="topRight" dataOnly="0" labelOnly="1" outline="0" fieldPosition="0"/>
    </format>
    <format dxfId="371">
      <pivotArea field="1" type="button" dataOnly="0" labelOnly="1" outline="0" axis="axisRow" fieldPosition="0"/>
    </format>
    <format dxfId="370">
      <pivotArea dataOnly="0" labelOnly="1" outline="0" fieldPosition="0">
        <references count="1">
          <reference field="1" count="0"/>
        </references>
      </pivotArea>
    </format>
    <format dxfId="369">
      <pivotArea dataOnly="0" labelOnly="1" outline="0" fieldPosition="0">
        <references count="1">
          <reference field="6" count="0"/>
        </references>
      </pivotArea>
    </format>
    <format dxfId="368">
      <pivotArea type="all" dataOnly="0" outline="0" fieldPosition="0"/>
    </format>
    <format dxfId="367">
      <pivotArea outline="0" collapsedLevelsAreSubtotals="1" fieldPosition="0"/>
    </format>
    <format dxfId="366">
      <pivotArea type="origin" dataOnly="0" labelOnly="1" outline="0" fieldPosition="0"/>
    </format>
    <format dxfId="365">
      <pivotArea field="6" type="button" dataOnly="0" labelOnly="1" outline="0" axis="axisCol" fieldPosition="0"/>
    </format>
    <format dxfId="364">
      <pivotArea type="topRight" dataOnly="0" labelOnly="1" outline="0" fieldPosition="0"/>
    </format>
    <format dxfId="363">
      <pivotArea field="1" type="button" dataOnly="0" labelOnly="1" outline="0" axis="axisRow" fieldPosition="0"/>
    </format>
    <format dxfId="362">
      <pivotArea dataOnly="0" labelOnly="1" outline="0" fieldPosition="0">
        <references count="1">
          <reference field="1" count="0"/>
        </references>
      </pivotArea>
    </format>
    <format dxfId="361">
      <pivotArea dataOnly="0" labelOnly="1" outline="0" fieldPosition="0">
        <references count="1">
          <reference field="6" count="0"/>
        </references>
      </pivotArea>
    </format>
    <format dxfId="360">
      <pivotArea type="all" dataOnly="0" outline="0" fieldPosition="0"/>
    </format>
    <format dxfId="359">
      <pivotArea outline="0" collapsedLevelsAreSubtotals="1" fieldPosition="0"/>
    </format>
    <format dxfId="358">
      <pivotArea type="origin" dataOnly="0" labelOnly="1" outline="0" fieldPosition="0"/>
    </format>
    <format dxfId="357">
      <pivotArea field="6" type="button" dataOnly="0" labelOnly="1" outline="0" axis="axisCol" fieldPosition="0"/>
    </format>
    <format dxfId="356">
      <pivotArea type="topRight" dataOnly="0" labelOnly="1" outline="0" fieldPosition="0"/>
    </format>
    <format dxfId="355">
      <pivotArea field="1" type="button" dataOnly="0" labelOnly="1" outline="0" axis="axisRow" fieldPosition="0"/>
    </format>
    <format dxfId="354">
      <pivotArea dataOnly="0" labelOnly="1" outline="0" fieldPosition="0">
        <references count="1">
          <reference field="1" count="0"/>
        </references>
      </pivotArea>
    </format>
    <format dxfId="353">
      <pivotArea dataOnly="0" labelOnly="1" outline="0" fieldPosition="0">
        <references count="1">
          <reference field="6" count="0"/>
        </references>
      </pivotArea>
    </format>
    <format dxfId="352">
      <pivotArea type="all" dataOnly="0" outline="0" fieldPosition="0"/>
    </format>
    <format dxfId="351">
      <pivotArea outline="0" collapsedLevelsAreSubtotals="1" fieldPosition="0"/>
    </format>
    <format dxfId="350">
      <pivotArea type="origin" dataOnly="0" labelOnly="1" outline="0" fieldPosition="0"/>
    </format>
    <format dxfId="349">
      <pivotArea field="6" type="button" dataOnly="0" labelOnly="1" outline="0" axis="axisCol" fieldPosition="0"/>
    </format>
    <format dxfId="348">
      <pivotArea type="topRight" dataOnly="0" labelOnly="1" outline="0" fieldPosition="0"/>
    </format>
    <format dxfId="347">
      <pivotArea field="1" type="button" dataOnly="0" labelOnly="1" outline="0" axis="axisRow" fieldPosition="0"/>
    </format>
    <format dxfId="346">
      <pivotArea dataOnly="0" labelOnly="1" outline="0" fieldPosition="0">
        <references count="1">
          <reference field="1" count="0"/>
        </references>
      </pivotArea>
    </format>
    <format dxfId="345">
      <pivotArea dataOnly="0" labelOnly="1" outline="0" fieldPosition="0">
        <references count="1">
          <reference field="6" count="50">
            <x v="8"/>
            <x v="9"/>
            <x v="10"/>
            <x v="11"/>
            <x v="12"/>
            <x v="13"/>
            <x v="14"/>
            <x v="15"/>
            <x v="16"/>
            <x v="17"/>
            <x v="18"/>
            <x v="19"/>
            <x v="20"/>
            <x v="21"/>
            <x v="22"/>
            <x v="23"/>
            <x v="24"/>
            <x v="25"/>
            <x v="26"/>
            <x v="27"/>
            <x v="28"/>
            <x v="29"/>
            <x v="30"/>
            <x v="31"/>
            <x v="32"/>
            <x v="33"/>
            <x v="34"/>
            <x v="35"/>
            <x v="36"/>
            <x v="37"/>
            <x v="38"/>
            <x v="39"/>
            <x v="40"/>
            <x v="41"/>
            <x v="42"/>
            <x v="43"/>
            <x v="44"/>
            <x v="45"/>
            <x v="46"/>
            <x v="47"/>
            <x v="48"/>
            <x v="49"/>
            <x v="50"/>
            <x v="51"/>
            <x v="52"/>
            <x v="53"/>
            <x v="54"/>
            <x v="55"/>
            <x v="56"/>
            <x v="57"/>
          </reference>
        </references>
      </pivotArea>
    </format>
    <format dxfId="344">
      <pivotArea dataOnly="0" labelOnly="1" outline="0" fieldPosition="0">
        <references count="1">
          <reference field="6" count="20">
            <x v="58"/>
            <x v="59"/>
            <x v="60"/>
            <x v="61"/>
            <x v="62"/>
            <x v="63"/>
            <x v="64"/>
            <x v="65"/>
            <x v="66"/>
            <x v="67"/>
            <x v="68"/>
            <x v="69"/>
            <x v="70"/>
            <x v="71"/>
            <x v="72"/>
            <x v="73"/>
            <x v="74"/>
            <x v="75"/>
            <x v="76"/>
            <x v="77"/>
          </reference>
        </references>
      </pivotArea>
    </format>
  </formats>
  <chartFormats count="1888">
    <chartFormat chart="15" format="15" series="1">
      <pivotArea type="data" outline="0" fieldPosition="0">
        <references count="2">
          <reference field="4294967294" count="1" selected="0">
            <x v="0"/>
          </reference>
          <reference field="1" count="1" selected="0">
            <x v="2"/>
          </reference>
        </references>
      </pivotArea>
    </chartFormat>
    <chartFormat chart="15" format="16" series="1">
      <pivotArea type="data" outline="0" fieldPosition="0">
        <references count="2">
          <reference field="4294967294" count="1" selected="0">
            <x v="0"/>
          </reference>
          <reference field="1" count="1" selected="0">
            <x v="7"/>
          </reference>
        </references>
      </pivotArea>
    </chartFormat>
    <chartFormat chart="15" format="17" series="1">
      <pivotArea type="data" outline="0" fieldPosition="0">
        <references count="2">
          <reference field="4294967294" count="1" selected="0">
            <x v="0"/>
          </reference>
          <reference field="1" count="1" selected="0">
            <x v="9"/>
          </reference>
        </references>
      </pivotArea>
    </chartFormat>
    <chartFormat chart="15" format="18" series="1">
      <pivotArea type="data" outline="0" fieldPosition="0">
        <references count="2">
          <reference field="4294967294" count="1" selected="0">
            <x v="0"/>
          </reference>
          <reference field="1" count="1" selected="0">
            <x v="11"/>
          </reference>
        </references>
      </pivotArea>
    </chartFormat>
    <chartFormat chart="15" format="19" series="1">
      <pivotArea type="data" outline="0" fieldPosition="0">
        <references count="2">
          <reference field="4294967294" count="1" selected="0">
            <x v="0"/>
          </reference>
          <reference field="1" count="1" selected="0">
            <x v="0"/>
          </reference>
        </references>
      </pivotArea>
    </chartFormat>
    <chartFormat chart="13" format="5" series="1">
      <pivotArea type="data" outline="0" fieldPosition="0">
        <references count="2">
          <reference field="4294967294" count="1" selected="0">
            <x v="0"/>
          </reference>
          <reference field="1" count="1" selected="0">
            <x v="2"/>
          </reference>
        </references>
      </pivotArea>
    </chartFormat>
    <chartFormat chart="13" format="6" series="1">
      <pivotArea type="data" outline="0" fieldPosition="0">
        <references count="2">
          <reference field="4294967294" count="1" selected="0">
            <x v="0"/>
          </reference>
          <reference field="1" count="1" selected="0">
            <x v="7"/>
          </reference>
        </references>
      </pivotArea>
    </chartFormat>
    <chartFormat chart="13" format="7" series="1">
      <pivotArea type="data" outline="0" fieldPosition="0">
        <references count="2">
          <reference field="4294967294" count="1" selected="0">
            <x v="0"/>
          </reference>
          <reference field="1" count="1" selected="0">
            <x v="9"/>
          </reference>
        </references>
      </pivotArea>
    </chartFormat>
    <chartFormat chart="13" format="8" series="1">
      <pivotArea type="data" outline="0" fieldPosition="0">
        <references count="2">
          <reference field="4294967294" count="1" selected="0">
            <x v="0"/>
          </reference>
          <reference field="1" count="1" selected="0">
            <x v="11"/>
          </reference>
        </references>
      </pivotArea>
    </chartFormat>
    <chartFormat chart="13" format="9" series="1">
      <pivotArea type="data" outline="0" fieldPosition="0">
        <references count="2">
          <reference field="4294967294" count="1" selected="0">
            <x v="0"/>
          </reference>
          <reference field="1" count="1" selected="0">
            <x v="0"/>
          </reference>
        </references>
      </pivotArea>
    </chartFormat>
    <chartFormat chart="15" format="20" series="1">
      <pivotArea type="data" outline="0" fieldPosition="0">
        <references count="1">
          <reference field="4294967294" count="1" selected="0">
            <x v="0"/>
          </reference>
        </references>
      </pivotArea>
    </chartFormat>
    <chartFormat chart="13" format="10" series="1">
      <pivotArea type="data" outline="0" fieldPosition="0">
        <references count="1">
          <reference field="4294967294" count="1" selected="0">
            <x v="0"/>
          </reference>
        </references>
      </pivotArea>
    </chartFormat>
    <chartFormat chart="23" format="137" series="1">
      <pivotArea type="data" outline="0" fieldPosition="0">
        <references count="1">
          <reference field="4294967294" count="1" selected="0">
            <x v="0"/>
          </reference>
        </references>
      </pivotArea>
    </chartFormat>
    <chartFormat chart="23" format="138">
      <pivotArea type="data" outline="0" fieldPosition="0">
        <references count="2">
          <reference field="4294967294" count="1" selected="0">
            <x v="0"/>
          </reference>
          <reference field="1" count="1" selected="0">
            <x v="0"/>
          </reference>
        </references>
      </pivotArea>
    </chartFormat>
    <chartFormat chart="23" format="139">
      <pivotArea type="data" outline="0" fieldPosition="0">
        <references count="2">
          <reference field="4294967294" count="1" selected="0">
            <x v="0"/>
          </reference>
          <reference field="1" count="1" selected="0">
            <x v="11"/>
          </reference>
        </references>
      </pivotArea>
    </chartFormat>
    <chartFormat chart="23" format="140">
      <pivotArea type="data" outline="0" fieldPosition="0">
        <references count="2">
          <reference field="4294967294" count="1" selected="0">
            <x v="0"/>
          </reference>
          <reference field="1" count="1" selected="0">
            <x v="8"/>
          </reference>
        </references>
      </pivotArea>
    </chartFormat>
    <chartFormat chart="23" format="141">
      <pivotArea type="data" outline="0" fieldPosition="0">
        <references count="2">
          <reference field="4294967294" count="1" selected="0">
            <x v="0"/>
          </reference>
          <reference field="1" count="1" selected="0">
            <x v="4"/>
          </reference>
        </references>
      </pivotArea>
    </chartFormat>
    <chartFormat chart="23" format="142">
      <pivotArea type="data" outline="0" fieldPosition="0">
        <references count="2">
          <reference field="4294967294" count="1" selected="0">
            <x v="0"/>
          </reference>
          <reference field="1" count="1" selected="0">
            <x v="9"/>
          </reference>
        </references>
      </pivotArea>
    </chartFormat>
    <chartFormat chart="23" format="147" series="1">
      <pivotArea type="data" outline="0" fieldPosition="0">
        <references count="2">
          <reference field="4294967294" count="1" selected="0">
            <x v="0"/>
          </reference>
          <reference field="6" count="1" selected="0">
            <x v="5"/>
          </reference>
        </references>
      </pivotArea>
    </chartFormat>
    <chartFormat chart="23" format="148" series="1">
      <pivotArea type="data" outline="0" fieldPosition="0">
        <references count="2">
          <reference field="4294967294" count="1" selected="0">
            <x v="0"/>
          </reference>
          <reference field="6" count="1" selected="0">
            <x v="1"/>
          </reference>
        </references>
      </pivotArea>
    </chartFormat>
    <chartFormat chart="23" format="149" series="1">
      <pivotArea type="data" outline="0" fieldPosition="0">
        <references count="2">
          <reference field="4294967294" count="1" selected="0">
            <x v="0"/>
          </reference>
          <reference field="6" count="1" selected="0">
            <x v="2"/>
          </reference>
        </references>
      </pivotArea>
    </chartFormat>
    <chartFormat chart="23" format="150" series="1">
      <pivotArea type="data" outline="0" fieldPosition="0">
        <references count="2">
          <reference field="4294967294" count="1" selected="0">
            <x v="0"/>
          </reference>
          <reference field="6" count="1" selected="0">
            <x v="3"/>
          </reference>
        </references>
      </pivotArea>
    </chartFormat>
    <chartFormat chart="23" format="151" series="1">
      <pivotArea type="data" outline="0" fieldPosition="0">
        <references count="2">
          <reference field="4294967294" count="1" selected="0">
            <x v="0"/>
          </reference>
          <reference field="6" count="1" selected="0">
            <x v="4"/>
          </reference>
        </references>
      </pivotArea>
    </chartFormat>
    <chartFormat chart="23" format="152" series="1">
      <pivotArea type="data" outline="0" fieldPosition="0">
        <references count="2">
          <reference field="4294967294" count="1" selected="0">
            <x v="0"/>
          </reference>
          <reference field="6" count="1" selected="0">
            <x v="0"/>
          </reference>
        </references>
      </pivotArea>
    </chartFormat>
    <chartFormat chart="23" format="153">
      <pivotArea type="data" outline="0" fieldPosition="0">
        <references count="3">
          <reference field="4294967294" count="1" selected="0">
            <x v="0"/>
          </reference>
          <reference field="1" count="1" selected="0">
            <x v="1"/>
          </reference>
          <reference field="6" count="1" selected="0">
            <x v="0"/>
          </reference>
        </references>
      </pivotArea>
    </chartFormat>
    <chartFormat chart="23" format="154">
      <pivotArea type="data" outline="0" fieldPosition="0">
        <references count="3">
          <reference field="4294967294" count="1" selected="0">
            <x v="0"/>
          </reference>
          <reference field="1" count="1" selected="0">
            <x v="2"/>
          </reference>
          <reference field="6" count="1" selected="0">
            <x v="0"/>
          </reference>
        </references>
      </pivotArea>
    </chartFormat>
    <chartFormat chart="23" format="155">
      <pivotArea type="data" outline="0" fieldPosition="0">
        <references count="3">
          <reference field="4294967294" count="1" selected="0">
            <x v="0"/>
          </reference>
          <reference field="1" count="1" selected="0">
            <x v="3"/>
          </reference>
          <reference field="6" count="1" selected="0">
            <x v="0"/>
          </reference>
        </references>
      </pivotArea>
    </chartFormat>
    <chartFormat chart="23" format="156">
      <pivotArea type="data" outline="0" fieldPosition="0">
        <references count="3">
          <reference field="4294967294" count="1" selected="0">
            <x v="0"/>
          </reference>
          <reference field="1" count="1" selected="0">
            <x v="5"/>
          </reference>
          <reference field="6" count="1" selected="0">
            <x v="0"/>
          </reference>
        </references>
      </pivotArea>
    </chartFormat>
    <chartFormat chart="23" format="157">
      <pivotArea type="data" outline="0" fieldPosition="0">
        <references count="3">
          <reference field="4294967294" count="1" selected="0">
            <x v="0"/>
          </reference>
          <reference field="1" count="1" selected="0">
            <x v="6"/>
          </reference>
          <reference field="6" count="1" selected="0">
            <x v="0"/>
          </reference>
        </references>
      </pivotArea>
    </chartFormat>
    <chartFormat chart="23" format="158">
      <pivotArea type="data" outline="0" fieldPosition="0">
        <references count="3">
          <reference field="4294967294" count="1" selected="0">
            <x v="0"/>
          </reference>
          <reference field="1" count="1" selected="0">
            <x v="7"/>
          </reference>
          <reference field="6" count="1" selected="0">
            <x v="0"/>
          </reference>
        </references>
      </pivotArea>
    </chartFormat>
    <chartFormat chart="23" format="159">
      <pivotArea type="data" outline="0" fieldPosition="0">
        <references count="3">
          <reference field="4294967294" count="1" selected="0">
            <x v="0"/>
          </reference>
          <reference field="1" count="1" selected="0">
            <x v="10"/>
          </reference>
          <reference field="6" count="1" selected="0">
            <x v="0"/>
          </reference>
        </references>
      </pivotArea>
    </chartFormat>
    <chartFormat chart="23" format="160">
      <pivotArea type="data" outline="0" fieldPosition="0">
        <references count="3">
          <reference field="4294967294" count="1" selected="0">
            <x v="0"/>
          </reference>
          <reference field="1" count="1" selected="0">
            <x v="1"/>
          </reference>
          <reference field="6" count="1" selected="0">
            <x v="1"/>
          </reference>
        </references>
      </pivotArea>
    </chartFormat>
    <chartFormat chart="23" format="161">
      <pivotArea type="data" outline="0" fieldPosition="0">
        <references count="3">
          <reference field="4294967294" count="1" selected="0">
            <x v="0"/>
          </reference>
          <reference field="1" count="1" selected="0">
            <x v="2"/>
          </reference>
          <reference field="6" count="1" selected="0">
            <x v="1"/>
          </reference>
        </references>
      </pivotArea>
    </chartFormat>
    <chartFormat chart="23" format="162">
      <pivotArea type="data" outline="0" fieldPosition="0">
        <references count="3">
          <reference field="4294967294" count="1" selected="0">
            <x v="0"/>
          </reference>
          <reference field="1" count="1" selected="0">
            <x v="3"/>
          </reference>
          <reference field="6" count="1" selected="0">
            <x v="1"/>
          </reference>
        </references>
      </pivotArea>
    </chartFormat>
    <chartFormat chart="23" format="163">
      <pivotArea type="data" outline="0" fieldPosition="0">
        <references count="3">
          <reference field="4294967294" count="1" selected="0">
            <x v="0"/>
          </reference>
          <reference field="1" count="1" selected="0">
            <x v="5"/>
          </reference>
          <reference field="6" count="1" selected="0">
            <x v="1"/>
          </reference>
        </references>
      </pivotArea>
    </chartFormat>
    <chartFormat chart="23" format="164">
      <pivotArea type="data" outline="0" fieldPosition="0">
        <references count="3">
          <reference field="4294967294" count="1" selected="0">
            <x v="0"/>
          </reference>
          <reference field="1" count="1" selected="0">
            <x v="6"/>
          </reference>
          <reference field="6" count="1" selected="0">
            <x v="1"/>
          </reference>
        </references>
      </pivotArea>
    </chartFormat>
    <chartFormat chart="23" format="165">
      <pivotArea type="data" outline="0" fieldPosition="0">
        <references count="3">
          <reference field="4294967294" count="1" selected="0">
            <x v="0"/>
          </reference>
          <reference field="1" count="1" selected="0">
            <x v="7"/>
          </reference>
          <reference field="6" count="1" selected="0">
            <x v="1"/>
          </reference>
        </references>
      </pivotArea>
    </chartFormat>
    <chartFormat chart="23" format="166">
      <pivotArea type="data" outline="0" fieldPosition="0">
        <references count="3">
          <reference field="4294967294" count="1" selected="0">
            <x v="0"/>
          </reference>
          <reference field="1" count="1" selected="0">
            <x v="10"/>
          </reference>
          <reference field="6" count="1" selected="0">
            <x v="1"/>
          </reference>
        </references>
      </pivotArea>
    </chartFormat>
    <chartFormat chart="23" format="167">
      <pivotArea type="data" outline="0" fieldPosition="0">
        <references count="3">
          <reference field="4294967294" count="1" selected="0">
            <x v="0"/>
          </reference>
          <reference field="1" count="1" selected="0">
            <x v="1"/>
          </reference>
          <reference field="6" count="1" selected="0">
            <x v="2"/>
          </reference>
        </references>
      </pivotArea>
    </chartFormat>
    <chartFormat chart="23" format="168">
      <pivotArea type="data" outline="0" fieldPosition="0">
        <references count="3">
          <reference field="4294967294" count="1" selected="0">
            <x v="0"/>
          </reference>
          <reference field="1" count="1" selected="0">
            <x v="2"/>
          </reference>
          <reference field="6" count="1" selected="0">
            <x v="2"/>
          </reference>
        </references>
      </pivotArea>
    </chartFormat>
    <chartFormat chart="23" format="169">
      <pivotArea type="data" outline="0" fieldPosition="0">
        <references count="3">
          <reference field="4294967294" count="1" selected="0">
            <x v="0"/>
          </reference>
          <reference field="1" count="1" selected="0">
            <x v="3"/>
          </reference>
          <reference field="6" count="1" selected="0">
            <x v="2"/>
          </reference>
        </references>
      </pivotArea>
    </chartFormat>
    <chartFormat chart="23" format="170">
      <pivotArea type="data" outline="0" fieldPosition="0">
        <references count="3">
          <reference field="4294967294" count="1" selected="0">
            <x v="0"/>
          </reference>
          <reference field="1" count="1" selected="0">
            <x v="5"/>
          </reference>
          <reference field="6" count="1" selected="0">
            <x v="2"/>
          </reference>
        </references>
      </pivotArea>
    </chartFormat>
    <chartFormat chart="23" format="171">
      <pivotArea type="data" outline="0" fieldPosition="0">
        <references count="3">
          <reference field="4294967294" count="1" selected="0">
            <x v="0"/>
          </reference>
          <reference field="1" count="1" selected="0">
            <x v="6"/>
          </reference>
          <reference field="6" count="1" selected="0">
            <x v="2"/>
          </reference>
        </references>
      </pivotArea>
    </chartFormat>
    <chartFormat chart="23" format="172">
      <pivotArea type="data" outline="0" fieldPosition="0">
        <references count="3">
          <reference field="4294967294" count="1" selected="0">
            <x v="0"/>
          </reference>
          <reference field="1" count="1" selected="0">
            <x v="7"/>
          </reference>
          <reference field="6" count="1" selected="0">
            <x v="2"/>
          </reference>
        </references>
      </pivotArea>
    </chartFormat>
    <chartFormat chart="23" format="173">
      <pivotArea type="data" outline="0" fieldPosition="0">
        <references count="3">
          <reference field="4294967294" count="1" selected="0">
            <x v="0"/>
          </reference>
          <reference field="1" count="1" selected="0">
            <x v="10"/>
          </reference>
          <reference field="6" count="1" selected="0">
            <x v="2"/>
          </reference>
        </references>
      </pivotArea>
    </chartFormat>
    <chartFormat chart="23" format="174">
      <pivotArea type="data" outline="0" fieldPosition="0">
        <references count="3">
          <reference field="4294967294" count="1" selected="0">
            <x v="0"/>
          </reference>
          <reference field="1" count="1" selected="0">
            <x v="1"/>
          </reference>
          <reference field="6" count="1" selected="0">
            <x v="3"/>
          </reference>
        </references>
      </pivotArea>
    </chartFormat>
    <chartFormat chart="23" format="175">
      <pivotArea type="data" outline="0" fieldPosition="0">
        <references count="3">
          <reference field="4294967294" count="1" selected="0">
            <x v="0"/>
          </reference>
          <reference field="1" count="1" selected="0">
            <x v="2"/>
          </reference>
          <reference field="6" count="1" selected="0">
            <x v="3"/>
          </reference>
        </references>
      </pivotArea>
    </chartFormat>
    <chartFormat chart="23" format="176">
      <pivotArea type="data" outline="0" fieldPosition="0">
        <references count="3">
          <reference field="4294967294" count="1" selected="0">
            <x v="0"/>
          </reference>
          <reference field="1" count="1" selected="0">
            <x v="3"/>
          </reference>
          <reference field="6" count="1" selected="0">
            <x v="3"/>
          </reference>
        </references>
      </pivotArea>
    </chartFormat>
    <chartFormat chart="23" format="177">
      <pivotArea type="data" outline="0" fieldPosition="0">
        <references count="3">
          <reference field="4294967294" count="1" selected="0">
            <x v="0"/>
          </reference>
          <reference field="1" count="1" selected="0">
            <x v="5"/>
          </reference>
          <reference field="6" count="1" selected="0">
            <x v="3"/>
          </reference>
        </references>
      </pivotArea>
    </chartFormat>
    <chartFormat chart="23" format="178">
      <pivotArea type="data" outline="0" fieldPosition="0">
        <references count="3">
          <reference field="4294967294" count="1" selected="0">
            <x v="0"/>
          </reference>
          <reference field="1" count="1" selected="0">
            <x v="6"/>
          </reference>
          <reference field="6" count="1" selected="0">
            <x v="3"/>
          </reference>
        </references>
      </pivotArea>
    </chartFormat>
    <chartFormat chart="23" format="179">
      <pivotArea type="data" outline="0" fieldPosition="0">
        <references count="3">
          <reference field="4294967294" count="1" selected="0">
            <x v="0"/>
          </reference>
          <reference field="1" count="1" selected="0">
            <x v="7"/>
          </reference>
          <reference field="6" count="1" selected="0">
            <x v="3"/>
          </reference>
        </references>
      </pivotArea>
    </chartFormat>
    <chartFormat chart="23" format="180">
      <pivotArea type="data" outline="0" fieldPosition="0">
        <references count="3">
          <reference field="4294967294" count="1" selected="0">
            <x v="0"/>
          </reference>
          <reference field="1" count="1" selected="0">
            <x v="10"/>
          </reference>
          <reference field="6" count="1" selected="0">
            <x v="3"/>
          </reference>
        </references>
      </pivotArea>
    </chartFormat>
    <chartFormat chart="23" format="181">
      <pivotArea type="data" outline="0" fieldPosition="0">
        <references count="3">
          <reference field="4294967294" count="1" selected="0">
            <x v="0"/>
          </reference>
          <reference field="1" count="1" selected="0">
            <x v="1"/>
          </reference>
          <reference field="6" count="1" selected="0">
            <x v="4"/>
          </reference>
        </references>
      </pivotArea>
    </chartFormat>
    <chartFormat chart="23" format="182">
      <pivotArea type="data" outline="0" fieldPosition="0">
        <references count="3">
          <reference field="4294967294" count="1" selected="0">
            <x v="0"/>
          </reference>
          <reference field="1" count="1" selected="0">
            <x v="2"/>
          </reference>
          <reference field="6" count="1" selected="0">
            <x v="4"/>
          </reference>
        </references>
      </pivotArea>
    </chartFormat>
    <chartFormat chart="23" format="183">
      <pivotArea type="data" outline="0" fieldPosition="0">
        <references count="3">
          <reference field="4294967294" count="1" selected="0">
            <x v="0"/>
          </reference>
          <reference field="1" count="1" selected="0">
            <x v="3"/>
          </reference>
          <reference field="6" count="1" selected="0">
            <x v="4"/>
          </reference>
        </references>
      </pivotArea>
    </chartFormat>
    <chartFormat chart="23" format="184">
      <pivotArea type="data" outline="0" fieldPosition="0">
        <references count="3">
          <reference field="4294967294" count="1" selected="0">
            <x v="0"/>
          </reference>
          <reference field="1" count="1" selected="0">
            <x v="5"/>
          </reference>
          <reference field="6" count="1" selected="0">
            <x v="4"/>
          </reference>
        </references>
      </pivotArea>
    </chartFormat>
    <chartFormat chart="23" format="185">
      <pivotArea type="data" outline="0" fieldPosition="0">
        <references count="3">
          <reference field="4294967294" count="1" selected="0">
            <x v="0"/>
          </reference>
          <reference field="1" count="1" selected="0">
            <x v="6"/>
          </reference>
          <reference field="6" count="1" selected="0">
            <x v="4"/>
          </reference>
        </references>
      </pivotArea>
    </chartFormat>
    <chartFormat chart="23" format="186">
      <pivotArea type="data" outline="0" fieldPosition="0">
        <references count="3">
          <reference field="4294967294" count="1" selected="0">
            <x v="0"/>
          </reference>
          <reference field="1" count="1" selected="0">
            <x v="7"/>
          </reference>
          <reference field="6" count="1" selected="0">
            <x v="4"/>
          </reference>
        </references>
      </pivotArea>
    </chartFormat>
    <chartFormat chart="23" format="187">
      <pivotArea type="data" outline="0" fieldPosition="0">
        <references count="3">
          <reference field="4294967294" count="1" selected="0">
            <x v="0"/>
          </reference>
          <reference field="1" count="1" selected="0">
            <x v="10"/>
          </reference>
          <reference field="6" count="1" selected="0">
            <x v="4"/>
          </reference>
        </references>
      </pivotArea>
    </chartFormat>
    <chartFormat chart="23" format="188">
      <pivotArea type="data" outline="0" fieldPosition="0">
        <references count="3">
          <reference field="4294967294" count="1" selected="0">
            <x v="0"/>
          </reference>
          <reference field="1" count="1" selected="0">
            <x v="4"/>
          </reference>
          <reference field="6" count="1" selected="0">
            <x v="0"/>
          </reference>
        </references>
      </pivotArea>
    </chartFormat>
    <chartFormat chart="23" format="189">
      <pivotArea type="data" outline="0" fieldPosition="0">
        <references count="3">
          <reference field="4294967294" count="1" selected="0">
            <x v="0"/>
          </reference>
          <reference field="1" count="1" selected="0">
            <x v="8"/>
          </reference>
          <reference field="6" count="1" selected="0">
            <x v="0"/>
          </reference>
        </references>
      </pivotArea>
    </chartFormat>
    <chartFormat chart="23" format="190">
      <pivotArea type="data" outline="0" fieldPosition="0">
        <references count="3">
          <reference field="4294967294" count="1" selected="0">
            <x v="0"/>
          </reference>
          <reference field="1" count="1" selected="0">
            <x v="4"/>
          </reference>
          <reference field="6" count="1" selected="0">
            <x v="1"/>
          </reference>
        </references>
      </pivotArea>
    </chartFormat>
    <chartFormat chart="23" format="191">
      <pivotArea type="data" outline="0" fieldPosition="0">
        <references count="3">
          <reference field="4294967294" count="1" selected="0">
            <x v="0"/>
          </reference>
          <reference field="1" count="1" selected="0">
            <x v="8"/>
          </reference>
          <reference field="6" count="1" selected="0">
            <x v="1"/>
          </reference>
        </references>
      </pivotArea>
    </chartFormat>
    <chartFormat chart="23" format="192">
      <pivotArea type="data" outline="0" fieldPosition="0">
        <references count="3">
          <reference field="4294967294" count="1" selected="0">
            <x v="0"/>
          </reference>
          <reference field="1" count="1" selected="0">
            <x v="4"/>
          </reference>
          <reference field="6" count="1" selected="0">
            <x v="2"/>
          </reference>
        </references>
      </pivotArea>
    </chartFormat>
    <chartFormat chart="23" format="193">
      <pivotArea type="data" outline="0" fieldPosition="0">
        <references count="3">
          <reference field="4294967294" count="1" selected="0">
            <x v="0"/>
          </reference>
          <reference field="1" count="1" selected="0">
            <x v="8"/>
          </reference>
          <reference field="6" count="1" selected="0">
            <x v="2"/>
          </reference>
        </references>
      </pivotArea>
    </chartFormat>
    <chartFormat chart="23" format="194">
      <pivotArea type="data" outline="0" fieldPosition="0">
        <references count="3">
          <reference field="4294967294" count="1" selected="0">
            <x v="0"/>
          </reference>
          <reference field="1" count="1" selected="0">
            <x v="4"/>
          </reference>
          <reference field="6" count="1" selected="0">
            <x v="3"/>
          </reference>
        </references>
      </pivotArea>
    </chartFormat>
    <chartFormat chart="23" format="195">
      <pivotArea type="data" outline="0" fieldPosition="0">
        <references count="3">
          <reference field="4294967294" count="1" selected="0">
            <x v="0"/>
          </reference>
          <reference field="1" count="1" selected="0">
            <x v="8"/>
          </reference>
          <reference field="6" count="1" selected="0">
            <x v="3"/>
          </reference>
        </references>
      </pivotArea>
    </chartFormat>
    <chartFormat chart="23" format="196">
      <pivotArea type="data" outline="0" fieldPosition="0">
        <references count="3">
          <reference field="4294967294" count="1" selected="0">
            <x v="0"/>
          </reference>
          <reference field="1" count="1" selected="0">
            <x v="4"/>
          </reference>
          <reference field="6" count="1" selected="0">
            <x v="4"/>
          </reference>
        </references>
      </pivotArea>
    </chartFormat>
    <chartFormat chart="23" format="197">
      <pivotArea type="data" outline="0" fieldPosition="0">
        <references count="3">
          <reference field="4294967294" count="1" selected="0">
            <x v="0"/>
          </reference>
          <reference field="1" count="1" selected="0">
            <x v="8"/>
          </reference>
          <reference field="6" count="1" selected="0">
            <x v="4"/>
          </reference>
        </references>
      </pivotArea>
    </chartFormat>
    <chartFormat chart="23" format="198" series="1">
      <pivotArea type="data" outline="0" fieldPosition="0">
        <references count="2">
          <reference field="4294967294" count="1" selected="0">
            <x v="0"/>
          </reference>
          <reference field="6" count="1" selected="0">
            <x v="6"/>
          </reference>
        </references>
      </pivotArea>
    </chartFormat>
    <chartFormat chart="23" format="199" series="1">
      <pivotArea type="data" outline="0" fieldPosition="0">
        <references count="2">
          <reference field="4294967294" count="1" selected="0">
            <x v="0"/>
          </reference>
          <reference field="6" count="1" selected="0">
            <x v="7"/>
          </reference>
        </references>
      </pivotArea>
    </chartFormat>
    <chartFormat chart="23" format="200">
      <pivotArea type="data" outline="0" fieldPosition="0">
        <references count="3">
          <reference field="4294967294" count="1" selected="0">
            <x v="0"/>
          </reference>
          <reference field="1" count="1" selected="0">
            <x v="9"/>
          </reference>
          <reference field="6" count="1" selected="0">
            <x v="0"/>
          </reference>
        </references>
      </pivotArea>
    </chartFormat>
    <chartFormat chart="23" format="201">
      <pivotArea type="data" outline="0" fieldPosition="0">
        <references count="3">
          <reference field="4294967294" count="1" selected="0">
            <x v="0"/>
          </reference>
          <reference field="1" count="1" selected="0">
            <x v="11"/>
          </reference>
          <reference field="6" count="1" selected="0">
            <x v="0"/>
          </reference>
        </references>
      </pivotArea>
    </chartFormat>
    <chartFormat chart="23" format="202">
      <pivotArea type="data" outline="0" fieldPosition="0">
        <references count="3">
          <reference field="4294967294" count="1" selected="0">
            <x v="0"/>
          </reference>
          <reference field="1" count="1" selected="0">
            <x v="13"/>
          </reference>
          <reference field="6" count="1" selected="0">
            <x v="0"/>
          </reference>
        </references>
      </pivotArea>
    </chartFormat>
    <chartFormat chart="23" format="203">
      <pivotArea type="data" outline="0" fieldPosition="0">
        <references count="3">
          <reference field="4294967294" count="1" selected="0">
            <x v="0"/>
          </reference>
          <reference field="1" count="1" selected="0">
            <x v="14"/>
          </reference>
          <reference field="6" count="1" selected="0">
            <x v="0"/>
          </reference>
        </references>
      </pivotArea>
    </chartFormat>
    <chartFormat chart="23" format="204">
      <pivotArea type="data" outline="0" fieldPosition="0">
        <references count="3">
          <reference field="4294967294" count="1" selected="0">
            <x v="0"/>
          </reference>
          <reference field="1" count="1" selected="0">
            <x v="15"/>
          </reference>
          <reference field="6" count="1" selected="0">
            <x v="0"/>
          </reference>
        </references>
      </pivotArea>
    </chartFormat>
    <chartFormat chart="23" format="205">
      <pivotArea type="data" outline="0" fieldPosition="0">
        <references count="3">
          <reference field="4294967294" count="1" selected="0">
            <x v="0"/>
          </reference>
          <reference field="1" count="1" selected="0">
            <x v="16"/>
          </reference>
          <reference field="6" count="1" selected="0">
            <x v="0"/>
          </reference>
        </references>
      </pivotArea>
    </chartFormat>
    <chartFormat chart="23" format="206">
      <pivotArea type="data" outline="0" fieldPosition="0">
        <references count="3">
          <reference field="4294967294" count="1" selected="0">
            <x v="0"/>
          </reference>
          <reference field="1" count="1" selected="0">
            <x v="9"/>
          </reference>
          <reference field="6" count="1" selected="0">
            <x v="1"/>
          </reference>
        </references>
      </pivotArea>
    </chartFormat>
    <chartFormat chart="23" format="207">
      <pivotArea type="data" outline="0" fieldPosition="0">
        <references count="3">
          <reference field="4294967294" count="1" selected="0">
            <x v="0"/>
          </reference>
          <reference field="1" count="1" selected="0">
            <x v="11"/>
          </reference>
          <reference field="6" count="1" selected="0">
            <x v="1"/>
          </reference>
        </references>
      </pivotArea>
    </chartFormat>
    <chartFormat chart="23" format="208">
      <pivotArea type="data" outline="0" fieldPosition="0">
        <references count="3">
          <reference field="4294967294" count="1" selected="0">
            <x v="0"/>
          </reference>
          <reference field="1" count="1" selected="0">
            <x v="13"/>
          </reference>
          <reference field="6" count="1" selected="0">
            <x v="1"/>
          </reference>
        </references>
      </pivotArea>
    </chartFormat>
    <chartFormat chart="23" format="209">
      <pivotArea type="data" outline="0" fieldPosition="0">
        <references count="3">
          <reference field="4294967294" count="1" selected="0">
            <x v="0"/>
          </reference>
          <reference field="1" count="1" selected="0">
            <x v="14"/>
          </reference>
          <reference field="6" count="1" selected="0">
            <x v="1"/>
          </reference>
        </references>
      </pivotArea>
    </chartFormat>
    <chartFormat chart="23" format="210">
      <pivotArea type="data" outline="0" fieldPosition="0">
        <references count="3">
          <reference field="4294967294" count="1" selected="0">
            <x v="0"/>
          </reference>
          <reference field="1" count="1" selected="0">
            <x v="15"/>
          </reference>
          <reference field="6" count="1" selected="0">
            <x v="1"/>
          </reference>
        </references>
      </pivotArea>
    </chartFormat>
    <chartFormat chart="23" format="211">
      <pivotArea type="data" outline="0" fieldPosition="0">
        <references count="3">
          <reference field="4294967294" count="1" selected="0">
            <x v="0"/>
          </reference>
          <reference field="1" count="1" selected="0">
            <x v="16"/>
          </reference>
          <reference field="6" count="1" selected="0">
            <x v="1"/>
          </reference>
        </references>
      </pivotArea>
    </chartFormat>
    <chartFormat chart="23" format="212">
      <pivotArea type="data" outline="0" fieldPosition="0">
        <references count="3">
          <reference field="4294967294" count="1" selected="0">
            <x v="0"/>
          </reference>
          <reference field="1" count="1" selected="0">
            <x v="9"/>
          </reference>
          <reference field="6" count="1" selected="0">
            <x v="2"/>
          </reference>
        </references>
      </pivotArea>
    </chartFormat>
    <chartFormat chart="23" format="213">
      <pivotArea type="data" outline="0" fieldPosition="0">
        <references count="3">
          <reference field="4294967294" count="1" selected="0">
            <x v="0"/>
          </reference>
          <reference field="1" count="1" selected="0">
            <x v="11"/>
          </reference>
          <reference field="6" count="1" selected="0">
            <x v="2"/>
          </reference>
        </references>
      </pivotArea>
    </chartFormat>
    <chartFormat chart="23" format="214">
      <pivotArea type="data" outline="0" fieldPosition="0">
        <references count="3">
          <reference field="4294967294" count="1" selected="0">
            <x v="0"/>
          </reference>
          <reference field="1" count="1" selected="0">
            <x v="13"/>
          </reference>
          <reference field="6" count="1" selected="0">
            <x v="2"/>
          </reference>
        </references>
      </pivotArea>
    </chartFormat>
    <chartFormat chart="23" format="215">
      <pivotArea type="data" outline="0" fieldPosition="0">
        <references count="3">
          <reference field="4294967294" count="1" selected="0">
            <x v="0"/>
          </reference>
          <reference field="1" count="1" selected="0">
            <x v="14"/>
          </reference>
          <reference field="6" count="1" selected="0">
            <x v="2"/>
          </reference>
        </references>
      </pivotArea>
    </chartFormat>
    <chartFormat chart="23" format="216">
      <pivotArea type="data" outline="0" fieldPosition="0">
        <references count="3">
          <reference field="4294967294" count="1" selected="0">
            <x v="0"/>
          </reference>
          <reference field="1" count="1" selected="0">
            <x v="15"/>
          </reference>
          <reference field="6" count="1" selected="0">
            <x v="2"/>
          </reference>
        </references>
      </pivotArea>
    </chartFormat>
    <chartFormat chart="23" format="217">
      <pivotArea type="data" outline="0" fieldPosition="0">
        <references count="3">
          <reference field="4294967294" count="1" selected="0">
            <x v="0"/>
          </reference>
          <reference field="1" count="1" selected="0">
            <x v="16"/>
          </reference>
          <reference field="6" count="1" selected="0">
            <x v="2"/>
          </reference>
        </references>
      </pivotArea>
    </chartFormat>
    <chartFormat chart="23" format="218">
      <pivotArea type="data" outline="0" fieldPosition="0">
        <references count="3">
          <reference field="4294967294" count="1" selected="0">
            <x v="0"/>
          </reference>
          <reference field="1" count="1" selected="0">
            <x v="9"/>
          </reference>
          <reference field="6" count="1" selected="0">
            <x v="3"/>
          </reference>
        </references>
      </pivotArea>
    </chartFormat>
    <chartFormat chart="23" format="219">
      <pivotArea type="data" outline="0" fieldPosition="0">
        <references count="3">
          <reference field="4294967294" count="1" selected="0">
            <x v="0"/>
          </reference>
          <reference field="1" count="1" selected="0">
            <x v="11"/>
          </reference>
          <reference field="6" count="1" selected="0">
            <x v="3"/>
          </reference>
        </references>
      </pivotArea>
    </chartFormat>
    <chartFormat chart="23" format="220">
      <pivotArea type="data" outline="0" fieldPosition="0">
        <references count="3">
          <reference field="4294967294" count="1" selected="0">
            <x v="0"/>
          </reference>
          <reference field="1" count="1" selected="0">
            <x v="13"/>
          </reference>
          <reference field="6" count="1" selected="0">
            <x v="3"/>
          </reference>
        </references>
      </pivotArea>
    </chartFormat>
    <chartFormat chart="23" format="221">
      <pivotArea type="data" outline="0" fieldPosition="0">
        <references count="3">
          <reference field="4294967294" count="1" selected="0">
            <x v="0"/>
          </reference>
          <reference field="1" count="1" selected="0">
            <x v="14"/>
          </reference>
          <reference field="6" count="1" selected="0">
            <x v="3"/>
          </reference>
        </references>
      </pivotArea>
    </chartFormat>
    <chartFormat chart="23" format="222">
      <pivotArea type="data" outline="0" fieldPosition="0">
        <references count="3">
          <reference field="4294967294" count="1" selected="0">
            <x v="0"/>
          </reference>
          <reference field="1" count="1" selected="0">
            <x v="15"/>
          </reference>
          <reference field="6" count="1" selected="0">
            <x v="3"/>
          </reference>
        </references>
      </pivotArea>
    </chartFormat>
    <chartFormat chart="23" format="223">
      <pivotArea type="data" outline="0" fieldPosition="0">
        <references count="3">
          <reference field="4294967294" count="1" selected="0">
            <x v="0"/>
          </reference>
          <reference field="1" count="1" selected="0">
            <x v="16"/>
          </reference>
          <reference field="6" count="1" selected="0">
            <x v="3"/>
          </reference>
        </references>
      </pivotArea>
    </chartFormat>
    <chartFormat chart="23" format="224">
      <pivotArea type="data" outline="0" fieldPosition="0">
        <references count="3">
          <reference field="4294967294" count="1" selected="0">
            <x v="0"/>
          </reference>
          <reference field="1" count="1" selected="0">
            <x v="9"/>
          </reference>
          <reference field="6" count="1" selected="0">
            <x v="4"/>
          </reference>
        </references>
      </pivotArea>
    </chartFormat>
    <chartFormat chart="23" format="225">
      <pivotArea type="data" outline="0" fieldPosition="0">
        <references count="3">
          <reference field="4294967294" count="1" selected="0">
            <x v="0"/>
          </reference>
          <reference field="1" count="1" selected="0">
            <x v="11"/>
          </reference>
          <reference field="6" count="1" selected="0">
            <x v="4"/>
          </reference>
        </references>
      </pivotArea>
    </chartFormat>
    <chartFormat chart="23" format="226">
      <pivotArea type="data" outline="0" fieldPosition="0">
        <references count="3">
          <reference field="4294967294" count="1" selected="0">
            <x v="0"/>
          </reference>
          <reference field="1" count="1" selected="0">
            <x v="13"/>
          </reference>
          <reference field="6" count="1" selected="0">
            <x v="4"/>
          </reference>
        </references>
      </pivotArea>
    </chartFormat>
    <chartFormat chart="23" format="227">
      <pivotArea type="data" outline="0" fieldPosition="0">
        <references count="3">
          <reference field="4294967294" count="1" selected="0">
            <x v="0"/>
          </reference>
          <reference field="1" count="1" selected="0">
            <x v="14"/>
          </reference>
          <reference field="6" count="1" selected="0">
            <x v="4"/>
          </reference>
        </references>
      </pivotArea>
    </chartFormat>
    <chartFormat chart="23" format="228">
      <pivotArea type="data" outline="0" fieldPosition="0">
        <references count="3">
          <reference field="4294967294" count="1" selected="0">
            <x v="0"/>
          </reference>
          <reference field="1" count="1" selected="0">
            <x v="15"/>
          </reference>
          <reference field="6" count="1" selected="0">
            <x v="4"/>
          </reference>
        </references>
      </pivotArea>
    </chartFormat>
    <chartFormat chart="23" format="229">
      <pivotArea type="data" outline="0" fieldPosition="0">
        <references count="3">
          <reference field="4294967294" count="1" selected="0">
            <x v="0"/>
          </reference>
          <reference field="1" count="1" selected="0">
            <x v="16"/>
          </reference>
          <reference field="6" count="1" selected="0">
            <x v="4"/>
          </reference>
        </references>
      </pivotArea>
    </chartFormat>
    <chartFormat chart="23" format="230">
      <pivotArea type="data" outline="0" fieldPosition="0">
        <references count="3">
          <reference field="4294967294" count="1" selected="0">
            <x v="0"/>
          </reference>
          <reference field="1" count="1" selected="0">
            <x v="1"/>
          </reference>
          <reference field="6" count="1" selected="0">
            <x v="6"/>
          </reference>
        </references>
      </pivotArea>
    </chartFormat>
    <chartFormat chart="23" format="231">
      <pivotArea type="data" outline="0" fieldPosition="0">
        <references count="3">
          <reference field="4294967294" count="1" selected="0">
            <x v="0"/>
          </reference>
          <reference field="1" count="1" selected="0">
            <x v="2"/>
          </reference>
          <reference field="6" count="1" selected="0">
            <x v="6"/>
          </reference>
        </references>
      </pivotArea>
    </chartFormat>
    <chartFormat chart="23" format="232">
      <pivotArea type="data" outline="0" fieldPosition="0">
        <references count="3">
          <reference field="4294967294" count="1" selected="0">
            <x v="0"/>
          </reference>
          <reference field="1" count="1" selected="0">
            <x v="3"/>
          </reference>
          <reference field="6" count="1" selected="0">
            <x v="6"/>
          </reference>
        </references>
      </pivotArea>
    </chartFormat>
    <chartFormat chart="23" format="233">
      <pivotArea type="data" outline="0" fieldPosition="0">
        <references count="3">
          <reference field="4294967294" count="1" selected="0">
            <x v="0"/>
          </reference>
          <reference field="1" count="1" selected="0">
            <x v="4"/>
          </reference>
          <reference field="6" count="1" selected="0">
            <x v="6"/>
          </reference>
        </references>
      </pivotArea>
    </chartFormat>
    <chartFormat chart="23" format="234">
      <pivotArea type="data" outline="0" fieldPosition="0">
        <references count="3">
          <reference field="4294967294" count="1" selected="0">
            <x v="0"/>
          </reference>
          <reference field="1" count="1" selected="0">
            <x v="5"/>
          </reference>
          <reference field="6" count="1" selected="0">
            <x v="6"/>
          </reference>
        </references>
      </pivotArea>
    </chartFormat>
    <chartFormat chart="23" format="235">
      <pivotArea type="data" outline="0" fieldPosition="0">
        <references count="3">
          <reference field="4294967294" count="1" selected="0">
            <x v="0"/>
          </reference>
          <reference field="1" count="1" selected="0">
            <x v="6"/>
          </reference>
          <reference field="6" count="1" selected="0">
            <x v="6"/>
          </reference>
        </references>
      </pivotArea>
    </chartFormat>
    <chartFormat chart="23" format="236">
      <pivotArea type="data" outline="0" fieldPosition="0">
        <references count="3">
          <reference field="4294967294" count="1" selected="0">
            <x v="0"/>
          </reference>
          <reference field="1" count="1" selected="0">
            <x v="7"/>
          </reference>
          <reference field="6" count="1" selected="0">
            <x v="6"/>
          </reference>
        </references>
      </pivotArea>
    </chartFormat>
    <chartFormat chart="23" format="237">
      <pivotArea type="data" outline="0" fieldPosition="0">
        <references count="3">
          <reference field="4294967294" count="1" selected="0">
            <x v="0"/>
          </reference>
          <reference field="1" count="1" selected="0">
            <x v="8"/>
          </reference>
          <reference field="6" count="1" selected="0">
            <x v="6"/>
          </reference>
        </references>
      </pivotArea>
    </chartFormat>
    <chartFormat chart="23" format="238">
      <pivotArea type="data" outline="0" fieldPosition="0">
        <references count="3">
          <reference field="4294967294" count="1" selected="0">
            <x v="0"/>
          </reference>
          <reference field="1" count="1" selected="0">
            <x v="9"/>
          </reference>
          <reference field="6" count="1" selected="0">
            <x v="6"/>
          </reference>
        </references>
      </pivotArea>
    </chartFormat>
    <chartFormat chart="23" format="239">
      <pivotArea type="data" outline="0" fieldPosition="0">
        <references count="3">
          <reference field="4294967294" count="1" selected="0">
            <x v="0"/>
          </reference>
          <reference field="1" count="1" selected="0">
            <x v="10"/>
          </reference>
          <reference field="6" count="1" selected="0">
            <x v="6"/>
          </reference>
        </references>
      </pivotArea>
    </chartFormat>
    <chartFormat chart="23" format="240">
      <pivotArea type="data" outline="0" fieldPosition="0">
        <references count="3">
          <reference field="4294967294" count="1" selected="0">
            <x v="0"/>
          </reference>
          <reference field="1" count="1" selected="0">
            <x v="11"/>
          </reference>
          <reference field="6" count="1" selected="0">
            <x v="6"/>
          </reference>
        </references>
      </pivotArea>
    </chartFormat>
    <chartFormat chart="23" format="241">
      <pivotArea type="data" outline="0" fieldPosition="0">
        <references count="3">
          <reference field="4294967294" count="1" selected="0">
            <x v="0"/>
          </reference>
          <reference field="1" count="1" selected="0">
            <x v="13"/>
          </reference>
          <reference field="6" count="1" selected="0">
            <x v="6"/>
          </reference>
        </references>
      </pivotArea>
    </chartFormat>
    <chartFormat chart="23" format="242">
      <pivotArea type="data" outline="0" fieldPosition="0">
        <references count="3">
          <reference field="4294967294" count="1" selected="0">
            <x v="0"/>
          </reference>
          <reference field="1" count="1" selected="0">
            <x v="14"/>
          </reference>
          <reference field="6" count="1" selected="0">
            <x v="6"/>
          </reference>
        </references>
      </pivotArea>
    </chartFormat>
    <chartFormat chart="23" format="243">
      <pivotArea type="data" outline="0" fieldPosition="0">
        <references count="3">
          <reference field="4294967294" count="1" selected="0">
            <x v="0"/>
          </reference>
          <reference field="1" count="1" selected="0">
            <x v="15"/>
          </reference>
          <reference field="6" count="1" selected="0">
            <x v="6"/>
          </reference>
        </references>
      </pivotArea>
    </chartFormat>
    <chartFormat chart="23" format="244">
      <pivotArea type="data" outline="0" fieldPosition="0">
        <references count="3">
          <reference field="4294967294" count="1" selected="0">
            <x v="0"/>
          </reference>
          <reference field="1" count="1" selected="0">
            <x v="16"/>
          </reference>
          <reference field="6" count="1" selected="0">
            <x v="6"/>
          </reference>
        </references>
      </pivotArea>
    </chartFormat>
    <chartFormat chart="23" format="245">
      <pivotArea type="data" outline="0" fieldPosition="0">
        <references count="3">
          <reference field="4294967294" count="1" selected="0">
            <x v="0"/>
          </reference>
          <reference field="1" count="1" selected="0">
            <x v="1"/>
          </reference>
          <reference field="6" count="1" selected="0">
            <x v="7"/>
          </reference>
        </references>
      </pivotArea>
    </chartFormat>
    <chartFormat chart="23" format="246">
      <pivotArea type="data" outline="0" fieldPosition="0">
        <references count="3">
          <reference field="4294967294" count="1" selected="0">
            <x v="0"/>
          </reference>
          <reference field="1" count="1" selected="0">
            <x v="2"/>
          </reference>
          <reference field="6" count="1" selected="0">
            <x v="7"/>
          </reference>
        </references>
      </pivotArea>
    </chartFormat>
    <chartFormat chart="23" format="247">
      <pivotArea type="data" outline="0" fieldPosition="0">
        <references count="3">
          <reference field="4294967294" count="1" selected="0">
            <x v="0"/>
          </reference>
          <reference field="1" count="1" selected="0">
            <x v="3"/>
          </reference>
          <reference field="6" count="1" selected="0">
            <x v="7"/>
          </reference>
        </references>
      </pivotArea>
    </chartFormat>
    <chartFormat chart="23" format="248">
      <pivotArea type="data" outline="0" fieldPosition="0">
        <references count="3">
          <reference field="4294967294" count="1" selected="0">
            <x v="0"/>
          </reference>
          <reference field="1" count="1" selected="0">
            <x v="4"/>
          </reference>
          <reference field="6" count="1" selected="0">
            <x v="7"/>
          </reference>
        </references>
      </pivotArea>
    </chartFormat>
    <chartFormat chart="23" format="249">
      <pivotArea type="data" outline="0" fieldPosition="0">
        <references count="3">
          <reference field="4294967294" count="1" selected="0">
            <x v="0"/>
          </reference>
          <reference field="1" count="1" selected="0">
            <x v="5"/>
          </reference>
          <reference field="6" count="1" selected="0">
            <x v="7"/>
          </reference>
        </references>
      </pivotArea>
    </chartFormat>
    <chartFormat chart="23" format="250">
      <pivotArea type="data" outline="0" fieldPosition="0">
        <references count="3">
          <reference field="4294967294" count="1" selected="0">
            <x v="0"/>
          </reference>
          <reference field="1" count="1" selected="0">
            <x v="6"/>
          </reference>
          <reference field="6" count="1" selected="0">
            <x v="7"/>
          </reference>
        </references>
      </pivotArea>
    </chartFormat>
    <chartFormat chart="23" format="251">
      <pivotArea type="data" outline="0" fieldPosition="0">
        <references count="3">
          <reference field="4294967294" count="1" selected="0">
            <x v="0"/>
          </reference>
          <reference field="1" count="1" selected="0">
            <x v="7"/>
          </reference>
          <reference field="6" count="1" selected="0">
            <x v="7"/>
          </reference>
        </references>
      </pivotArea>
    </chartFormat>
    <chartFormat chart="23" format="252">
      <pivotArea type="data" outline="0" fieldPosition="0">
        <references count="3">
          <reference field="4294967294" count="1" selected="0">
            <x v="0"/>
          </reference>
          <reference field="1" count="1" selected="0">
            <x v="8"/>
          </reference>
          <reference field="6" count="1" selected="0">
            <x v="7"/>
          </reference>
        </references>
      </pivotArea>
    </chartFormat>
    <chartFormat chart="23" format="253">
      <pivotArea type="data" outline="0" fieldPosition="0">
        <references count="3">
          <reference field="4294967294" count="1" selected="0">
            <x v="0"/>
          </reference>
          <reference field="1" count="1" selected="0">
            <x v="9"/>
          </reference>
          <reference field="6" count="1" selected="0">
            <x v="7"/>
          </reference>
        </references>
      </pivotArea>
    </chartFormat>
    <chartFormat chart="23" format="254">
      <pivotArea type="data" outline="0" fieldPosition="0">
        <references count="3">
          <reference field="4294967294" count="1" selected="0">
            <x v="0"/>
          </reference>
          <reference field="1" count="1" selected="0">
            <x v="10"/>
          </reference>
          <reference field="6" count="1" selected="0">
            <x v="7"/>
          </reference>
        </references>
      </pivotArea>
    </chartFormat>
    <chartFormat chart="23" format="255">
      <pivotArea type="data" outline="0" fieldPosition="0">
        <references count="3">
          <reference field="4294967294" count="1" selected="0">
            <x v="0"/>
          </reference>
          <reference field="1" count="1" selected="0">
            <x v="11"/>
          </reference>
          <reference field="6" count="1" selected="0">
            <x v="7"/>
          </reference>
        </references>
      </pivotArea>
    </chartFormat>
    <chartFormat chart="23" format="256">
      <pivotArea type="data" outline="0" fieldPosition="0">
        <references count="3">
          <reference field="4294967294" count="1" selected="0">
            <x v="0"/>
          </reference>
          <reference field="1" count="1" selected="0">
            <x v="13"/>
          </reference>
          <reference field="6" count="1" selected="0">
            <x v="7"/>
          </reference>
        </references>
      </pivotArea>
    </chartFormat>
    <chartFormat chart="23" format="257">
      <pivotArea type="data" outline="0" fieldPosition="0">
        <references count="3">
          <reference field="4294967294" count="1" selected="0">
            <x v="0"/>
          </reference>
          <reference field="1" count="1" selected="0">
            <x v="14"/>
          </reference>
          <reference field="6" count="1" selected="0">
            <x v="7"/>
          </reference>
        </references>
      </pivotArea>
    </chartFormat>
    <chartFormat chart="23" format="258">
      <pivotArea type="data" outline="0" fieldPosition="0">
        <references count="3">
          <reference field="4294967294" count="1" selected="0">
            <x v="0"/>
          </reference>
          <reference field="1" count="1" selected="0">
            <x v="15"/>
          </reference>
          <reference field="6" count="1" selected="0">
            <x v="7"/>
          </reference>
        </references>
      </pivotArea>
    </chartFormat>
    <chartFormat chart="23" format="259">
      <pivotArea type="data" outline="0" fieldPosition="0">
        <references count="3">
          <reference field="4294967294" count="1" selected="0">
            <x v="0"/>
          </reference>
          <reference field="1" count="1" selected="0">
            <x v="16"/>
          </reference>
          <reference field="6" count="1" selected="0">
            <x v="7"/>
          </reference>
        </references>
      </pivotArea>
    </chartFormat>
    <chartFormat chart="23" format="260">
      <pivotArea type="data" outline="0" fieldPosition="0">
        <references count="2">
          <reference field="4294967294" count="1" selected="0">
            <x v="0"/>
          </reference>
          <reference field="6" count="1" selected="0">
            <x v="0"/>
          </reference>
        </references>
      </pivotArea>
    </chartFormat>
    <chartFormat chart="23" format="261">
      <pivotArea type="data" outline="0" fieldPosition="0">
        <references count="2">
          <reference field="4294967294" count="1" selected="0">
            <x v="0"/>
          </reference>
          <reference field="6" count="1" selected="0">
            <x v="1"/>
          </reference>
        </references>
      </pivotArea>
    </chartFormat>
    <chartFormat chart="23" format="262">
      <pivotArea type="data" outline="0" fieldPosition="0">
        <references count="2">
          <reference field="4294967294" count="1" selected="0">
            <x v="0"/>
          </reference>
          <reference field="6" count="1" selected="0">
            <x v="2"/>
          </reference>
        </references>
      </pivotArea>
    </chartFormat>
    <chartFormat chart="23" format="263">
      <pivotArea type="data" outline="0" fieldPosition="0">
        <references count="2">
          <reference field="4294967294" count="1" selected="0">
            <x v="0"/>
          </reference>
          <reference field="6" count="1" selected="0">
            <x v="3"/>
          </reference>
        </references>
      </pivotArea>
    </chartFormat>
    <chartFormat chart="23" format="264">
      <pivotArea type="data" outline="0" fieldPosition="0">
        <references count="2">
          <reference field="4294967294" count="1" selected="0">
            <x v="0"/>
          </reference>
          <reference field="6" count="1" selected="0">
            <x v="4"/>
          </reference>
        </references>
      </pivotArea>
    </chartFormat>
    <chartFormat chart="23" format="265">
      <pivotArea type="data" outline="0" fieldPosition="0">
        <references count="2">
          <reference field="4294967294" count="1" selected="0">
            <x v="0"/>
          </reference>
          <reference field="6" count="1" selected="0">
            <x v="6"/>
          </reference>
        </references>
      </pivotArea>
    </chartFormat>
    <chartFormat chart="23" format="266">
      <pivotArea type="data" outline="0" fieldPosition="0">
        <references count="2">
          <reference field="4294967294" count="1" selected="0">
            <x v="0"/>
          </reference>
          <reference field="6" count="1" selected="0">
            <x v="7"/>
          </reference>
        </references>
      </pivotArea>
    </chartFormat>
    <chartFormat chart="23" format="268" series="1">
      <pivotArea type="data" outline="0" fieldPosition="0">
        <references count="2">
          <reference field="4294967294" count="1" selected="0">
            <x v="0"/>
          </reference>
          <reference field="6" count="1" selected="0">
            <x v="15"/>
          </reference>
        </references>
      </pivotArea>
    </chartFormat>
    <chartFormat chart="23" format="269" series="1">
      <pivotArea type="data" outline="0" fieldPosition="0">
        <references count="2">
          <reference field="4294967294" count="1" selected="0">
            <x v="0"/>
          </reference>
          <reference field="6" count="1" selected="0">
            <x v="16"/>
          </reference>
        </references>
      </pivotArea>
    </chartFormat>
    <chartFormat chart="23" format="270" series="1">
      <pivotArea type="data" outline="0" fieldPosition="0">
        <references count="2">
          <reference field="4294967294" count="1" selected="0">
            <x v="0"/>
          </reference>
          <reference field="6" count="1" selected="0">
            <x v="17"/>
          </reference>
        </references>
      </pivotArea>
    </chartFormat>
    <chartFormat chart="23" format="271" series="1">
      <pivotArea type="data" outline="0" fieldPosition="0">
        <references count="2">
          <reference field="4294967294" count="1" selected="0">
            <x v="0"/>
          </reference>
          <reference field="6" count="1" selected="0">
            <x v="18"/>
          </reference>
        </references>
      </pivotArea>
    </chartFormat>
    <chartFormat chart="23" format="272" series="1">
      <pivotArea type="data" outline="0" fieldPosition="0">
        <references count="2">
          <reference field="4294967294" count="1" selected="0">
            <x v="0"/>
          </reference>
          <reference field="6" count="1" selected="0">
            <x v="19"/>
          </reference>
        </references>
      </pivotArea>
    </chartFormat>
    <chartFormat chart="23" format="273" series="1">
      <pivotArea type="data" outline="0" fieldPosition="0">
        <references count="2">
          <reference field="4294967294" count="1" selected="0">
            <x v="0"/>
          </reference>
          <reference field="6" count="1" selected="0">
            <x v="20"/>
          </reference>
        </references>
      </pivotArea>
    </chartFormat>
    <chartFormat chart="23" format="274" series="1">
      <pivotArea type="data" outline="0" fieldPosition="0">
        <references count="2">
          <reference field="4294967294" count="1" selected="0">
            <x v="0"/>
          </reference>
          <reference field="6" count="1" selected="0">
            <x v="21"/>
          </reference>
        </references>
      </pivotArea>
    </chartFormat>
    <chartFormat chart="23" format="275" series="1">
      <pivotArea type="data" outline="0" fieldPosition="0">
        <references count="2">
          <reference field="4294967294" count="1" selected="0">
            <x v="0"/>
          </reference>
          <reference field="6" count="1" selected="0">
            <x v="22"/>
          </reference>
        </references>
      </pivotArea>
    </chartFormat>
    <chartFormat chart="23" format="276" series="1">
      <pivotArea type="data" outline="0" fieldPosition="0">
        <references count="2">
          <reference field="4294967294" count="1" selected="0">
            <x v="0"/>
          </reference>
          <reference field="6" count="1" selected="0">
            <x v="23"/>
          </reference>
        </references>
      </pivotArea>
    </chartFormat>
    <chartFormat chart="23" format="277" series="1">
      <pivotArea type="data" outline="0" fieldPosition="0">
        <references count="2">
          <reference field="4294967294" count="1" selected="0">
            <x v="0"/>
          </reference>
          <reference field="6" count="1" selected="0">
            <x v="24"/>
          </reference>
        </references>
      </pivotArea>
    </chartFormat>
    <chartFormat chart="23" format="278" series="1">
      <pivotArea type="data" outline="0" fieldPosition="0">
        <references count="2">
          <reference field="4294967294" count="1" selected="0">
            <x v="0"/>
          </reference>
          <reference field="6" count="1" selected="0">
            <x v="25"/>
          </reference>
        </references>
      </pivotArea>
    </chartFormat>
    <chartFormat chart="23" format="279" series="1">
      <pivotArea type="data" outline="0" fieldPosition="0">
        <references count="2">
          <reference field="4294967294" count="1" selected="0">
            <x v="0"/>
          </reference>
          <reference field="6" count="1" selected="0">
            <x v="26"/>
          </reference>
        </references>
      </pivotArea>
    </chartFormat>
    <chartFormat chart="23" format="280" series="1">
      <pivotArea type="data" outline="0" fieldPosition="0">
        <references count="2">
          <reference field="4294967294" count="1" selected="0">
            <x v="0"/>
          </reference>
          <reference field="6" count="1" selected="0">
            <x v="27"/>
          </reference>
        </references>
      </pivotArea>
    </chartFormat>
    <chartFormat chart="23" format="281" series="1">
      <pivotArea type="data" outline="0" fieldPosition="0">
        <references count="2">
          <reference field="4294967294" count="1" selected="0">
            <x v="0"/>
          </reference>
          <reference field="6" count="1" selected="0">
            <x v="28"/>
          </reference>
        </references>
      </pivotArea>
    </chartFormat>
    <chartFormat chart="23" format="282" series="1">
      <pivotArea type="data" outline="0" fieldPosition="0">
        <references count="2">
          <reference field="4294967294" count="1" selected="0">
            <x v="0"/>
          </reference>
          <reference field="6" count="1" selected="0">
            <x v="29"/>
          </reference>
        </references>
      </pivotArea>
    </chartFormat>
    <chartFormat chart="23" format="283" series="1">
      <pivotArea type="data" outline="0" fieldPosition="0">
        <references count="2">
          <reference field="4294967294" count="1" selected="0">
            <x v="0"/>
          </reference>
          <reference field="6" count="1" selected="0">
            <x v="30"/>
          </reference>
        </references>
      </pivotArea>
    </chartFormat>
    <chartFormat chart="23" format="284" series="1">
      <pivotArea type="data" outline="0" fieldPosition="0">
        <references count="2">
          <reference field="4294967294" count="1" selected="0">
            <x v="0"/>
          </reference>
          <reference field="6" count="1" selected="0">
            <x v="31"/>
          </reference>
        </references>
      </pivotArea>
    </chartFormat>
    <chartFormat chart="23" format="285" series="1">
      <pivotArea type="data" outline="0" fieldPosition="0">
        <references count="2">
          <reference field="4294967294" count="1" selected="0">
            <x v="0"/>
          </reference>
          <reference field="6" count="1" selected="0">
            <x v="32"/>
          </reference>
        </references>
      </pivotArea>
    </chartFormat>
    <chartFormat chart="23" format="286" series="1">
      <pivotArea type="data" outline="0" fieldPosition="0">
        <references count="2">
          <reference field="4294967294" count="1" selected="0">
            <x v="0"/>
          </reference>
          <reference field="6" count="1" selected="0">
            <x v="33"/>
          </reference>
        </references>
      </pivotArea>
    </chartFormat>
    <chartFormat chart="23" format="287" series="1">
      <pivotArea type="data" outline="0" fieldPosition="0">
        <references count="2">
          <reference field="4294967294" count="1" selected="0">
            <x v="0"/>
          </reference>
          <reference field="6" count="1" selected="0">
            <x v="34"/>
          </reference>
        </references>
      </pivotArea>
    </chartFormat>
    <chartFormat chart="23" format="288" series="1">
      <pivotArea type="data" outline="0" fieldPosition="0">
        <references count="2">
          <reference field="4294967294" count="1" selected="0">
            <x v="0"/>
          </reference>
          <reference field="6" count="1" selected="0">
            <x v="35"/>
          </reference>
        </references>
      </pivotArea>
    </chartFormat>
    <chartFormat chart="23" format="289" series="1">
      <pivotArea type="data" outline="0" fieldPosition="0">
        <references count="2">
          <reference field="4294967294" count="1" selected="0">
            <x v="0"/>
          </reference>
          <reference field="6" count="1" selected="0">
            <x v="36"/>
          </reference>
        </references>
      </pivotArea>
    </chartFormat>
    <chartFormat chart="23" format="290" series="1">
      <pivotArea type="data" outline="0" fieldPosition="0">
        <references count="2">
          <reference field="4294967294" count="1" selected="0">
            <x v="0"/>
          </reference>
          <reference field="6" count="1" selected="0">
            <x v="37"/>
          </reference>
        </references>
      </pivotArea>
    </chartFormat>
    <chartFormat chart="23" format="291" series="1">
      <pivotArea type="data" outline="0" fieldPosition="0">
        <references count="2">
          <reference field="4294967294" count="1" selected="0">
            <x v="0"/>
          </reference>
          <reference field="6" count="1" selected="0">
            <x v="38"/>
          </reference>
        </references>
      </pivotArea>
    </chartFormat>
    <chartFormat chart="23" format="331" series="1">
      <pivotArea type="data" outline="0" fieldPosition="0">
        <references count="2">
          <reference field="4294967294" count="1" selected="0">
            <x v="0"/>
          </reference>
          <reference field="6" count="1" selected="0">
            <x v="9"/>
          </reference>
        </references>
      </pivotArea>
    </chartFormat>
    <chartFormat chart="23" format="332" series="1">
      <pivotArea type="data" outline="0" fieldPosition="0">
        <references count="2">
          <reference field="4294967294" count="1" selected="0">
            <x v="0"/>
          </reference>
          <reference field="6" count="1" selected="0">
            <x v="10"/>
          </reference>
        </references>
      </pivotArea>
    </chartFormat>
    <chartFormat chart="23" format="333" series="1">
      <pivotArea type="data" outline="0" fieldPosition="0">
        <references count="2">
          <reference field="4294967294" count="1" selected="0">
            <x v="0"/>
          </reference>
          <reference field="6" count="1" selected="0">
            <x v="11"/>
          </reference>
        </references>
      </pivotArea>
    </chartFormat>
    <chartFormat chart="23" format="334" series="1">
      <pivotArea type="data" outline="0" fieldPosition="0">
        <references count="2">
          <reference field="4294967294" count="1" selected="0">
            <x v="0"/>
          </reference>
          <reference field="6" count="1" selected="0">
            <x v="12"/>
          </reference>
        </references>
      </pivotArea>
    </chartFormat>
    <chartFormat chart="23" format="335" series="1">
      <pivotArea type="data" outline="0" fieldPosition="0">
        <references count="2">
          <reference field="4294967294" count="1" selected="0">
            <x v="0"/>
          </reference>
          <reference field="6" count="1" selected="0">
            <x v="13"/>
          </reference>
        </references>
      </pivotArea>
    </chartFormat>
    <chartFormat chart="23" format="336" series="1">
      <pivotArea type="data" outline="0" fieldPosition="0">
        <references count="2">
          <reference field="4294967294" count="1" selected="0">
            <x v="0"/>
          </reference>
          <reference field="6" count="1" selected="0">
            <x v="14"/>
          </reference>
        </references>
      </pivotArea>
    </chartFormat>
    <chartFormat chart="23" format="337" series="1">
      <pivotArea type="data" outline="0" fieldPosition="0">
        <references count="2">
          <reference field="4294967294" count="1" selected="0">
            <x v="0"/>
          </reference>
          <reference field="6" count="1" selected="0">
            <x v="39"/>
          </reference>
        </references>
      </pivotArea>
    </chartFormat>
    <chartFormat chart="23" format="338" series="1">
      <pivotArea type="data" outline="0" fieldPosition="0">
        <references count="2">
          <reference field="4294967294" count="1" selected="0">
            <x v="0"/>
          </reference>
          <reference field="6" count="1" selected="0">
            <x v="40"/>
          </reference>
        </references>
      </pivotArea>
    </chartFormat>
    <chartFormat chart="23" format="339" series="1">
      <pivotArea type="data" outline="0" fieldPosition="0">
        <references count="2">
          <reference field="4294967294" count="1" selected="0">
            <x v="0"/>
          </reference>
          <reference field="6" count="1" selected="0">
            <x v="41"/>
          </reference>
        </references>
      </pivotArea>
    </chartFormat>
    <chartFormat chart="23" format="340" series="1">
      <pivotArea type="data" outline="0" fieldPosition="0">
        <references count="2">
          <reference field="4294967294" count="1" selected="0">
            <x v="0"/>
          </reference>
          <reference field="6" count="1" selected="0">
            <x v="42"/>
          </reference>
        </references>
      </pivotArea>
    </chartFormat>
    <chartFormat chart="23" format="341" series="1">
      <pivotArea type="data" outline="0" fieldPosition="0">
        <references count="2">
          <reference field="4294967294" count="1" selected="0">
            <x v="0"/>
          </reference>
          <reference field="6" count="1" selected="0">
            <x v="43"/>
          </reference>
        </references>
      </pivotArea>
    </chartFormat>
    <chartFormat chart="23" format="342" series="1">
      <pivotArea type="data" outline="0" fieldPosition="0">
        <references count="2">
          <reference field="4294967294" count="1" selected="0">
            <x v="0"/>
          </reference>
          <reference field="6" count="1" selected="0">
            <x v="44"/>
          </reference>
        </references>
      </pivotArea>
    </chartFormat>
    <chartFormat chart="23" format="343" series="1">
      <pivotArea type="data" outline="0" fieldPosition="0">
        <references count="2">
          <reference field="4294967294" count="1" selected="0">
            <x v="0"/>
          </reference>
          <reference field="6" count="1" selected="0">
            <x v="45"/>
          </reference>
        </references>
      </pivotArea>
    </chartFormat>
    <chartFormat chart="23" format="344" series="1">
      <pivotArea type="data" outline="0" fieldPosition="0">
        <references count="2">
          <reference field="4294967294" count="1" selected="0">
            <x v="0"/>
          </reference>
          <reference field="6" count="1" selected="0">
            <x v="46"/>
          </reference>
        </references>
      </pivotArea>
    </chartFormat>
    <chartFormat chart="23" format="345" series="1">
      <pivotArea type="data" outline="0" fieldPosition="0">
        <references count="2">
          <reference field="4294967294" count="1" selected="0">
            <x v="0"/>
          </reference>
          <reference field="6" count="1" selected="0">
            <x v="47"/>
          </reference>
        </references>
      </pivotArea>
    </chartFormat>
    <chartFormat chart="23" format="346" series="1">
      <pivotArea type="data" outline="0" fieldPosition="0">
        <references count="2">
          <reference field="4294967294" count="1" selected="0">
            <x v="0"/>
          </reference>
          <reference field="6" count="1" selected="0">
            <x v="48"/>
          </reference>
        </references>
      </pivotArea>
    </chartFormat>
    <chartFormat chart="23" format="347" series="1">
      <pivotArea type="data" outline="0" fieldPosition="0">
        <references count="2">
          <reference field="4294967294" count="1" selected="0">
            <x v="0"/>
          </reference>
          <reference field="6" count="1" selected="0">
            <x v="49"/>
          </reference>
        </references>
      </pivotArea>
    </chartFormat>
    <chartFormat chart="23" format="348" series="1">
      <pivotArea type="data" outline="0" fieldPosition="0">
        <references count="2">
          <reference field="4294967294" count="1" selected="0">
            <x v="0"/>
          </reference>
          <reference field="6" count="1" selected="0">
            <x v="50"/>
          </reference>
        </references>
      </pivotArea>
    </chartFormat>
    <chartFormat chart="23" format="349" series="1">
      <pivotArea type="data" outline="0" fieldPosition="0">
        <references count="2">
          <reference field="4294967294" count="1" selected="0">
            <x v="0"/>
          </reference>
          <reference field="6" count="1" selected="0">
            <x v="51"/>
          </reference>
        </references>
      </pivotArea>
    </chartFormat>
    <chartFormat chart="23" format="350" series="1">
      <pivotArea type="data" outline="0" fieldPosition="0">
        <references count="2">
          <reference field="4294967294" count="1" selected="0">
            <x v="0"/>
          </reference>
          <reference field="6" count="1" selected="0">
            <x v="52"/>
          </reference>
        </references>
      </pivotArea>
    </chartFormat>
    <chartFormat chart="23" format="351" series="1">
      <pivotArea type="data" outline="0" fieldPosition="0">
        <references count="2">
          <reference field="4294967294" count="1" selected="0">
            <x v="0"/>
          </reference>
          <reference field="6" count="1" selected="0">
            <x v="53"/>
          </reference>
        </references>
      </pivotArea>
    </chartFormat>
    <chartFormat chart="23" format="352" series="1">
      <pivotArea type="data" outline="0" fieldPosition="0">
        <references count="2">
          <reference field="4294967294" count="1" selected="0">
            <x v="0"/>
          </reference>
          <reference field="6" count="1" selected="0">
            <x v="54"/>
          </reference>
        </references>
      </pivotArea>
    </chartFormat>
    <chartFormat chart="23" format="353" series="1">
      <pivotArea type="data" outline="0" fieldPosition="0">
        <references count="2">
          <reference field="4294967294" count="1" selected="0">
            <x v="0"/>
          </reference>
          <reference field="6" count="1" selected="0">
            <x v="55"/>
          </reference>
        </references>
      </pivotArea>
    </chartFormat>
    <chartFormat chart="23" format="354" series="1">
      <pivotArea type="data" outline="0" fieldPosition="0">
        <references count="2">
          <reference field="4294967294" count="1" selected="0">
            <x v="0"/>
          </reference>
          <reference field="6" count="1" selected="0">
            <x v="56"/>
          </reference>
        </references>
      </pivotArea>
    </chartFormat>
    <chartFormat chart="23" format="355" series="1">
      <pivotArea type="data" outline="0" fieldPosition="0">
        <references count="2">
          <reference field="4294967294" count="1" selected="0">
            <x v="0"/>
          </reference>
          <reference field="6" count="1" selected="0">
            <x v="57"/>
          </reference>
        </references>
      </pivotArea>
    </chartFormat>
    <chartFormat chart="23" format="356" series="1">
      <pivotArea type="data" outline="0" fieldPosition="0">
        <references count="2">
          <reference field="4294967294" count="1" selected="0">
            <x v="0"/>
          </reference>
          <reference field="6" count="1" selected="0">
            <x v="58"/>
          </reference>
        </references>
      </pivotArea>
    </chartFormat>
    <chartFormat chart="23" format="357" series="1">
      <pivotArea type="data" outline="0" fieldPosition="0">
        <references count="2">
          <reference field="4294967294" count="1" selected="0">
            <x v="0"/>
          </reference>
          <reference field="6" count="1" selected="0">
            <x v="59"/>
          </reference>
        </references>
      </pivotArea>
    </chartFormat>
    <chartFormat chart="23" format="358" series="1">
      <pivotArea type="data" outline="0" fieldPosition="0">
        <references count="2">
          <reference field="4294967294" count="1" selected="0">
            <x v="0"/>
          </reference>
          <reference field="6" count="1" selected="0">
            <x v="60"/>
          </reference>
        </references>
      </pivotArea>
    </chartFormat>
    <chartFormat chart="23" format="359" series="1">
      <pivotArea type="data" outline="0" fieldPosition="0">
        <references count="2">
          <reference field="4294967294" count="1" selected="0">
            <x v="0"/>
          </reference>
          <reference field="6" count="1" selected="0">
            <x v="61"/>
          </reference>
        </references>
      </pivotArea>
    </chartFormat>
    <chartFormat chart="23" format="360" series="1">
      <pivotArea type="data" outline="0" fieldPosition="0">
        <references count="2">
          <reference field="4294967294" count="1" selected="0">
            <x v="0"/>
          </reference>
          <reference field="6" count="1" selected="0">
            <x v="62"/>
          </reference>
        </references>
      </pivotArea>
    </chartFormat>
    <chartFormat chart="23" format="361" series="1">
      <pivotArea type="data" outline="0" fieldPosition="0">
        <references count="2">
          <reference field="4294967294" count="1" selected="0">
            <x v="0"/>
          </reference>
          <reference field="6" count="1" selected="0">
            <x v="63"/>
          </reference>
        </references>
      </pivotArea>
    </chartFormat>
    <chartFormat chart="23" format="362" series="1">
      <pivotArea type="data" outline="0" fieldPosition="0">
        <references count="2">
          <reference field="4294967294" count="1" selected="0">
            <x v="0"/>
          </reference>
          <reference field="6" count="1" selected="0">
            <x v="64"/>
          </reference>
        </references>
      </pivotArea>
    </chartFormat>
    <chartFormat chart="23" format="363" series="1">
      <pivotArea type="data" outline="0" fieldPosition="0">
        <references count="2">
          <reference field="4294967294" count="1" selected="0">
            <x v="0"/>
          </reference>
          <reference field="6" count="1" selected="0">
            <x v="65"/>
          </reference>
        </references>
      </pivotArea>
    </chartFormat>
    <chartFormat chart="23" format="364" series="1">
      <pivotArea type="data" outline="0" fieldPosition="0">
        <references count="2">
          <reference field="4294967294" count="1" selected="0">
            <x v="0"/>
          </reference>
          <reference field="6" count="1" selected="0">
            <x v="66"/>
          </reference>
        </references>
      </pivotArea>
    </chartFormat>
    <chartFormat chart="23" format="365" series="1">
      <pivotArea type="data" outline="0" fieldPosition="0">
        <references count="2">
          <reference field="4294967294" count="1" selected="0">
            <x v="0"/>
          </reference>
          <reference field="6" count="1" selected="0">
            <x v="67"/>
          </reference>
        </references>
      </pivotArea>
    </chartFormat>
    <chartFormat chart="23" format="366" series="1">
      <pivotArea type="data" outline="0" fieldPosition="0">
        <references count="2">
          <reference field="4294967294" count="1" selected="0">
            <x v="0"/>
          </reference>
          <reference field="6" count="1" selected="0">
            <x v="68"/>
          </reference>
        </references>
      </pivotArea>
    </chartFormat>
    <chartFormat chart="23" format="367" series="1">
      <pivotArea type="data" outline="0" fieldPosition="0">
        <references count="2">
          <reference field="4294967294" count="1" selected="0">
            <x v="0"/>
          </reference>
          <reference field="6" count="1" selected="0">
            <x v="69"/>
          </reference>
        </references>
      </pivotArea>
    </chartFormat>
    <chartFormat chart="23" format="368" series="1">
      <pivotArea type="data" outline="0" fieldPosition="0">
        <references count="2">
          <reference field="4294967294" count="1" selected="0">
            <x v="0"/>
          </reference>
          <reference field="6" count="1" selected="0">
            <x v="70"/>
          </reference>
        </references>
      </pivotArea>
    </chartFormat>
    <chartFormat chart="23" format="369" series="1">
      <pivotArea type="data" outline="0" fieldPosition="0">
        <references count="2">
          <reference field="4294967294" count="1" selected="0">
            <x v="0"/>
          </reference>
          <reference field="6" count="1" selected="0">
            <x v="71"/>
          </reference>
        </references>
      </pivotArea>
    </chartFormat>
    <chartFormat chart="23" format="370" series="1">
      <pivotArea type="data" outline="0" fieldPosition="0">
        <references count="2">
          <reference field="4294967294" count="1" selected="0">
            <x v="0"/>
          </reference>
          <reference field="6" count="1" selected="0">
            <x v="72"/>
          </reference>
        </references>
      </pivotArea>
    </chartFormat>
    <chartFormat chart="23" format="371" series="1">
      <pivotArea type="data" outline="0" fieldPosition="0">
        <references count="2">
          <reference field="4294967294" count="1" selected="0">
            <x v="0"/>
          </reference>
          <reference field="6" count="1" selected="0">
            <x v="73"/>
          </reference>
        </references>
      </pivotArea>
    </chartFormat>
    <chartFormat chart="23" format="372" series="1">
      <pivotArea type="data" outline="0" fieldPosition="0">
        <references count="2">
          <reference field="4294967294" count="1" selected="0">
            <x v="0"/>
          </reference>
          <reference field="6" count="1" selected="0">
            <x v="74"/>
          </reference>
        </references>
      </pivotArea>
    </chartFormat>
    <chartFormat chart="23" format="373" series="1">
      <pivotArea type="data" outline="0" fieldPosition="0">
        <references count="2">
          <reference field="4294967294" count="1" selected="0">
            <x v="0"/>
          </reference>
          <reference field="6" count="1" selected="0">
            <x v="75"/>
          </reference>
        </references>
      </pivotArea>
    </chartFormat>
    <chartFormat chart="23" format="374" series="1">
      <pivotArea type="data" outline="0" fieldPosition="0">
        <references count="2">
          <reference field="4294967294" count="1" selected="0">
            <x v="0"/>
          </reference>
          <reference field="6" count="1" selected="0">
            <x v="76"/>
          </reference>
        </references>
      </pivotArea>
    </chartFormat>
    <chartFormat chart="23" format="375" series="1">
      <pivotArea type="data" outline="0" fieldPosition="0">
        <references count="2">
          <reference field="4294967294" count="1" selected="0">
            <x v="0"/>
          </reference>
          <reference field="6" count="1" selected="0">
            <x v="77"/>
          </reference>
        </references>
      </pivotArea>
    </chartFormat>
    <chartFormat chart="23" format="376">
      <pivotArea type="data" outline="0" fieldPosition="0">
        <references count="3">
          <reference field="4294967294" count="1" selected="0">
            <x v="0"/>
          </reference>
          <reference field="1" count="1" selected="0">
            <x v="18"/>
          </reference>
          <reference field="6" count="1" selected="0">
            <x v="20"/>
          </reference>
        </references>
      </pivotArea>
    </chartFormat>
    <chartFormat chart="23" format="377">
      <pivotArea type="data" outline="0" fieldPosition="0">
        <references count="3">
          <reference field="4294967294" count="1" selected="0">
            <x v="0"/>
          </reference>
          <reference field="1" count="1" selected="0">
            <x v="19"/>
          </reference>
          <reference field="6" count="1" selected="0">
            <x v="20"/>
          </reference>
        </references>
      </pivotArea>
    </chartFormat>
    <chartFormat chart="23" format="378">
      <pivotArea type="data" outline="0" fieldPosition="0">
        <references count="3">
          <reference field="4294967294" count="1" selected="0">
            <x v="0"/>
          </reference>
          <reference field="1" count="1" selected="0">
            <x v="29"/>
          </reference>
          <reference field="6" count="1" selected="0">
            <x v="20"/>
          </reference>
        </references>
      </pivotArea>
    </chartFormat>
    <chartFormat chart="23" format="379">
      <pivotArea type="data" outline="0" fieldPosition="0">
        <references count="3">
          <reference field="4294967294" count="1" selected="0">
            <x v="0"/>
          </reference>
          <reference field="1" count="1" selected="0">
            <x v="30"/>
          </reference>
          <reference field="6" count="1" selected="0">
            <x v="20"/>
          </reference>
        </references>
      </pivotArea>
    </chartFormat>
    <chartFormat chart="23" format="380">
      <pivotArea type="data" outline="0" fieldPosition="0">
        <references count="3">
          <reference field="4294967294" count="1" selected="0">
            <x v="0"/>
          </reference>
          <reference field="1" count="1" selected="0">
            <x v="31"/>
          </reference>
          <reference field="6" count="1" selected="0">
            <x v="20"/>
          </reference>
        </references>
      </pivotArea>
    </chartFormat>
    <chartFormat chart="23" format="381">
      <pivotArea type="data" outline="0" fieldPosition="0">
        <references count="3">
          <reference field="4294967294" count="1" selected="0">
            <x v="0"/>
          </reference>
          <reference field="1" count="1" selected="0">
            <x v="32"/>
          </reference>
          <reference field="6" count="1" selected="0">
            <x v="20"/>
          </reference>
        </references>
      </pivotArea>
    </chartFormat>
    <chartFormat chart="23" format="382">
      <pivotArea type="data" outline="0" fieldPosition="0">
        <references count="3">
          <reference field="4294967294" count="1" selected="0">
            <x v="0"/>
          </reference>
          <reference field="1" count="1" selected="0">
            <x v="33"/>
          </reference>
          <reference field="6" count="1" selected="0">
            <x v="20"/>
          </reference>
        </references>
      </pivotArea>
    </chartFormat>
    <chartFormat chart="23" format="383">
      <pivotArea type="data" outline="0" fieldPosition="0">
        <references count="3">
          <reference field="4294967294" count="1" selected="0">
            <x v="0"/>
          </reference>
          <reference field="1" count="1" selected="0">
            <x v="34"/>
          </reference>
          <reference field="6" count="1" selected="0">
            <x v="20"/>
          </reference>
        </references>
      </pivotArea>
    </chartFormat>
    <chartFormat chart="23" format="384">
      <pivotArea type="data" outline="0" fieldPosition="0">
        <references count="3">
          <reference field="4294967294" count="1" selected="0">
            <x v="0"/>
          </reference>
          <reference field="1" count="1" selected="0">
            <x v="36"/>
          </reference>
          <reference field="6" count="1" selected="0">
            <x v="20"/>
          </reference>
        </references>
      </pivotArea>
    </chartFormat>
    <chartFormat chart="23" format="385">
      <pivotArea type="data" outline="0" fieldPosition="0">
        <references count="3">
          <reference field="4294967294" count="1" selected="0">
            <x v="0"/>
          </reference>
          <reference field="1" count="1" selected="0">
            <x v="18"/>
          </reference>
          <reference field="6" count="1" selected="0">
            <x v="21"/>
          </reference>
        </references>
      </pivotArea>
    </chartFormat>
    <chartFormat chart="23" format="386">
      <pivotArea type="data" outline="0" fieldPosition="0">
        <references count="3">
          <reference field="4294967294" count="1" selected="0">
            <x v="0"/>
          </reference>
          <reference field="1" count="1" selected="0">
            <x v="19"/>
          </reference>
          <reference field="6" count="1" selected="0">
            <x v="21"/>
          </reference>
        </references>
      </pivotArea>
    </chartFormat>
    <chartFormat chart="23" format="387">
      <pivotArea type="data" outline="0" fieldPosition="0">
        <references count="3">
          <reference field="4294967294" count="1" selected="0">
            <x v="0"/>
          </reference>
          <reference field="1" count="1" selected="0">
            <x v="29"/>
          </reference>
          <reference field="6" count="1" selected="0">
            <x v="21"/>
          </reference>
        </references>
      </pivotArea>
    </chartFormat>
    <chartFormat chart="23" format="388">
      <pivotArea type="data" outline="0" fieldPosition="0">
        <references count="3">
          <reference field="4294967294" count="1" selected="0">
            <x v="0"/>
          </reference>
          <reference field="1" count="1" selected="0">
            <x v="30"/>
          </reference>
          <reference field="6" count="1" selected="0">
            <x v="21"/>
          </reference>
        </references>
      </pivotArea>
    </chartFormat>
    <chartFormat chart="23" format="389">
      <pivotArea type="data" outline="0" fieldPosition="0">
        <references count="3">
          <reference field="4294967294" count="1" selected="0">
            <x v="0"/>
          </reference>
          <reference field="1" count="1" selected="0">
            <x v="31"/>
          </reference>
          <reference field="6" count="1" selected="0">
            <x v="21"/>
          </reference>
        </references>
      </pivotArea>
    </chartFormat>
    <chartFormat chart="23" format="390">
      <pivotArea type="data" outline="0" fieldPosition="0">
        <references count="3">
          <reference field="4294967294" count="1" selected="0">
            <x v="0"/>
          </reference>
          <reference field="1" count="1" selected="0">
            <x v="32"/>
          </reference>
          <reference field="6" count="1" selected="0">
            <x v="21"/>
          </reference>
        </references>
      </pivotArea>
    </chartFormat>
    <chartFormat chart="23" format="391">
      <pivotArea type="data" outline="0" fieldPosition="0">
        <references count="3">
          <reference field="4294967294" count="1" selected="0">
            <x v="0"/>
          </reference>
          <reference field="1" count="1" selected="0">
            <x v="33"/>
          </reference>
          <reference field="6" count="1" selected="0">
            <x v="21"/>
          </reference>
        </references>
      </pivotArea>
    </chartFormat>
    <chartFormat chart="23" format="392">
      <pivotArea type="data" outline="0" fieldPosition="0">
        <references count="3">
          <reference field="4294967294" count="1" selected="0">
            <x v="0"/>
          </reference>
          <reference field="1" count="1" selected="0">
            <x v="34"/>
          </reference>
          <reference field="6" count="1" selected="0">
            <x v="21"/>
          </reference>
        </references>
      </pivotArea>
    </chartFormat>
    <chartFormat chart="23" format="393">
      <pivotArea type="data" outline="0" fieldPosition="0">
        <references count="3">
          <reference field="4294967294" count="1" selected="0">
            <x v="0"/>
          </reference>
          <reference field="1" count="1" selected="0">
            <x v="36"/>
          </reference>
          <reference field="6" count="1" selected="0">
            <x v="21"/>
          </reference>
        </references>
      </pivotArea>
    </chartFormat>
    <chartFormat chart="23" format="394" series="1">
      <pivotArea type="data" outline="0" fieldPosition="0">
        <references count="2">
          <reference field="4294967294" count="1" selected="0">
            <x v="0"/>
          </reference>
          <reference field="6" count="1" selected="0">
            <x v="8"/>
          </reference>
        </references>
      </pivotArea>
    </chartFormat>
    <chartFormat chart="23" format="395">
      <pivotArea type="data" outline="0" fieldPosition="0">
        <references count="3">
          <reference field="4294967294" count="1" selected="0">
            <x v="0"/>
          </reference>
          <reference field="1" count="1" selected="0">
            <x v="5"/>
          </reference>
          <reference field="6" count="1" selected="0">
            <x v="8"/>
          </reference>
        </references>
      </pivotArea>
    </chartFormat>
    <chartFormat chart="23" format="396">
      <pivotArea type="data" outline="0" fieldPosition="0">
        <references count="3">
          <reference field="4294967294" count="1" selected="0">
            <x v="0"/>
          </reference>
          <reference field="1" count="1" selected="0">
            <x v="11"/>
          </reference>
          <reference field="6" count="1" selected="0">
            <x v="8"/>
          </reference>
        </references>
      </pivotArea>
    </chartFormat>
    <chartFormat chart="23" format="397">
      <pivotArea type="data" outline="0" fieldPosition="0">
        <references count="3">
          <reference field="4294967294" count="1" selected="0">
            <x v="0"/>
          </reference>
          <reference field="1" count="1" selected="0">
            <x v="17"/>
          </reference>
          <reference field="6" count="1" selected="0">
            <x v="8"/>
          </reference>
        </references>
      </pivotArea>
    </chartFormat>
    <chartFormat chart="23" format="398">
      <pivotArea type="data" outline="0" fieldPosition="0">
        <references count="3">
          <reference field="4294967294" count="1" selected="0">
            <x v="0"/>
          </reference>
          <reference field="1" count="1" selected="0">
            <x v="18"/>
          </reference>
          <reference field="6" count="1" selected="0">
            <x v="8"/>
          </reference>
        </references>
      </pivotArea>
    </chartFormat>
    <chartFormat chart="23" format="399">
      <pivotArea type="data" outline="0" fieldPosition="0">
        <references count="3">
          <reference field="4294967294" count="1" selected="0">
            <x v="0"/>
          </reference>
          <reference field="1" count="1" selected="0">
            <x v="19"/>
          </reference>
          <reference field="6" count="1" selected="0">
            <x v="8"/>
          </reference>
        </references>
      </pivotArea>
    </chartFormat>
    <chartFormat chart="23" format="400">
      <pivotArea type="data" outline="0" fieldPosition="0">
        <references count="3">
          <reference field="4294967294" count="1" selected="0">
            <x v="0"/>
          </reference>
          <reference field="1" count="1" selected="0">
            <x v="24"/>
          </reference>
          <reference field="6" count="1" selected="0">
            <x v="8"/>
          </reference>
        </references>
      </pivotArea>
    </chartFormat>
    <chartFormat chart="23" format="401">
      <pivotArea type="data" outline="0" fieldPosition="0">
        <references count="3">
          <reference field="4294967294" count="1" selected="0">
            <x v="0"/>
          </reference>
          <reference field="1" count="1" selected="0">
            <x v="25"/>
          </reference>
          <reference field="6" count="1" selected="0">
            <x v="8"/>
          </reference>
        </references>
      </pivotArea>
    </chartFormat>
    <chartFormat chart="23" format="402">
      <pivotArea type="data" outline="0" fieldPosition="0">
        <references count="3">
          <reference field="4294967294" count="1" selected="0">
            <x v="0"/>
          </reference>
          <reference field="1" count="1" selected="0">
            <x v="29"/>
          </reference>
          <reference field="6" count="1" selected="0">
            <x v="8"/>
          </reference>
        </references>
      </pivotArea>
    </chartFormat>
    <chartFormat chart="23" format="403">
      <pivotArea type="data" outline="0" fieldPosition="0">
        <references count="3">
          <reference field="4294967294" count="1" selected="0">
            <x v="0"/>
          </reference>
          <reference field="1" count="1" selected="0">
            <x v="30"/>
          </reference>
          <reference field="6" count="1" selected="0">
            <x v="8"/>
          </reference>
        </references>
      </pivotArea>
    </chartFormat>
    <chartFormat chart="23" format="404">
      <pivotArea type="data" outline="0" fieldPosition="0">
        <references count="3">
          <reference field="4294967294" count="1" selected="0">
            <x v="0"/>
          </reference>
          <reference field="1" count="1" selected="0">
            <x v="31"/>
          </reference>
          <reference field="6" count="1" selected="0">
            <x v="8"/>
          </reference>
        </references>
      </pivotArea>
    </chartFormat>
    <chartFormat chart="23" format="405">
      <pivotArea type="data" outline="0" fieldPosition="0">
        <references count="3">
          <reference field="4294967294" count="1" selected="0">
            <x v="0"/>
          </reference>
          <reference field="1" count="1" selected="0">
            <x v="32"/>
          </reference>
          <reference field="6" count="1" selected="0">
            <x v="8"/>
          </reference>
        </references>
      </pivotArea>
    </chartFormat>
    <chartFormat chart="23" format="406">
      <pivotArea type="data" outline="0" fieldPosition="0">
        <references count="3">
          <reference field="4294967294" count="1" selected="0">
            <x v="0"/>
          </reference>
          <reference field="1" count="1" selected="0">
            <x v="33"/>
          </reference>
          <reference field="6" count="1" selected="0">
            <x v="8"/>
          </reference>
        </references>
      </pivotArea>
    </chartFormat>
    <chartFormat chart="23" format="407">
      <pivotArea type="data" outline="0" fieldPosition="0">
        <references count="3">
          <reference field="4294967294" count="1" selected="0">
            <x v="0"/>
          </reference>
          <reference field="1" count="1" selected="0">
            <x v="34"/>
          </reference>
          <reference field="6" count="1" selected="0">
            <x v="8"/>
          </reference>
        </references>
      </pivotArea>
    </chartFormat>
    <chartFormat chart="23" format="408">
      <pivotArea type="data" outline="0" fieldPosition="0">
        <references count="3">
          <reference field="4294967294" count="1" selected="0">
            <x v="0"/>
          </reference>
          <reference field="1" count="1" selected="0">
            <x v="35"/>
          </reference>
          <reference field="6" count="1" selected="0">
            <x v="8"/>
          </reference>
        </references>
      </pivotArea>
    </chartFormat>
    <chartFormat chart="23" format="409">
      <pivotArea type="data" outline="0" fieldPosition="0">
        <references count="3">
          <reference field="4294967294" count="1" selected="0">
            <x v="0"/>
          </reference>
          <reference field="1" count="1" selected="0">
            <x v="36"/>
          </reference>
          <reference field="6" count="1" selected="0">
            <x v="8"/>
          </reference>
        </references>
      </pivotArea>
    </chartFormat>
    <chartFormat chart="23" format="410">
      <pivotArea type="data" outline="0" fieldPosition="0">
        <references count="3">
          <reference field="4294967294" count="1" selected="0">
            <x v="0"/>
          </reference>
          <reference field="1" count="1" selected="0">
            <x v="37"/>
          </reference>
          <reference field="6" count="1" selected="0">
            <x v="8"/>
          </reference>
        </references>
      </pivotArea>
    </chartFormat>
    <chartFormat chart="23" format="411">
      <pivotArea type="data" outline="0" fieldPosition="0">
        <references count="3">
          <reference field="4294967294" count="1" selected="0">
            <x v="0"/>
          </reference>
          <reference field="1" count="1" selected="0">
            <x v="38"/>
          </reference>
          <reference field="6" count="1" selected="0">
            <x v="8"/>
          </reference>
        </references>
      </pivotArea>
    </chartFormat>
    <chartFormat chart="23" format="412">
      <pivotArea type="data" outline="0" fieldPosition="0">
        <references count="3">
          <reference field="4294967294" count="1" selected="0">
            <x v="0"/>
          </reference>
          <reference field="1" count="1" selected="0">
            <x v="39"/>
          </reference>
          <reference field="6" count="1" selected="0">
            <x v="8"/>
          </reference>
        </references>
      </pivotArea>
    </chartFormat>
    <chartFormat chart="23" format="413">
      <pivotArea type="data" outline="0" fieldPosition="0">
        <references count="3">
          <reference field="4294967294" count="1" selected="0">
            <x v="0"/>
          </reference>
          <reference field="1" count="1" selected="0">
            <x v="40"/>
          </reference>
          <reference field="6" count="1" selected="0">
            <x v="8"/>
          </reference>
        </references>
      </pivotArea>
    </chartFormat>
    <chartFormat chart="23" format="414">
      <pivotArea type="data" outline="0" fieldPosition="0">
        <references count="3">
          <reference field="4294967294" count="1" selected="0">
            <x v="0"/>
          </reference>
          <reference field="1" count="1" selected="0">
            <x v="41"/>
          </reference>
          <reference field="6" count="1" selected="0">
            <x v="8"/>
          </reference>
        </references>
      </pivotArea>
    </chartFormat>
    <chartFormat chart="23" format="415">
      <pivotArea type="data" outline="0" fieldPosition="0">
        <references count="3">
          <reference field="4294967294" count="1" selected="0">
            <x v="0"/>
          </reference>
          <reference field="1" count="1" selected="0">
            <x v="42"/>
          </reference>
          <reference field="6" count="1" selected="0">
            <x v="8"/>
          </reference>
        </references>
      </pivotArea>
    </chartFormat>
    <chartFormat chart="23" format="416">
      <pivotArea type="data" outline="0" fieldPosition="0">
        <references count="3">
          <reference field="4294967294" count="1" selected="0">
            <x v="0"/>
          </reference>
          <reference field="1" count="1" selected="0">
            <x v="43"/>
          </reference>
          <reference field="6" count="1" selected="0">
            <x v="8"/>
          </reference>
        </references>
      </pivotArea>
    </chartFormat>
    <chartFormat chart="23" format="417">
      <pivotArea type="data" outline="0" fieldPosition="0">
        <references count="3">
          <reference field="4294967294" count="1" selected="0">
            <x v="0"/>
          </reference>
          <reference field="1" count="1" selected="0">
            <x v="44"/>
          </reference>
          <reference field="6" count="1" selected="0">
            <x v="8"/>
          </reference>
        </references>
      </pivotArea>
    </chartFormat>
    <chartFormat chart="23" format="418">
      <pivotArea type="data" outline="0" fieldPosition="0">
        <references count="3">
          <reference field="4294967294" count="1" selected="0">
            <x v="0"/>
          </reference>
          <reference field="1" count="1" selected="0">
            <x v="45"/>
          </reference>
          <reference field="6" count="1" selected="0">
            <x v="8"/>
          </reference>
        </references>
      </pivotArea>
    </chartFormat>
    <chartFormat chart="23" format="419">
      <pivotArea type="data" outline="0" fieldPosition="0">
        <references count="3">
          <reference field="4294967294" count="1" selected="0">
            <x v="0"/>
          </reference>
          <reference field="1" count="1" selected="0">
            <x v="5"/>
          </reference>
          <reference field="6" count="1" selected="0">
            <x v="9"/>
          </reference>
        </references>
      </pivotArea>
    </chartFormat>
    <chartFormat chart="23" format="420">
      <pivotArea type="data" outline="0" fieldPosition="0">
        <references count="3">
          <reference field="4294967294" count="1" selected="0">
            <x v="0"/>
          </reference>
          <reference field="1" count="1" selected="0">
            <x v="11"/>
          </reference>
          <reference field="6" count="1" selected="0">
            <x v="9"/>
          </reference>
        </references>
      </pivotArea>
    </chartFormat>
    <chartFormat chart="23" format="421">
      <pivotArea type="data" outline="0" fieldPosition="0">
        <references count="3">
          <reference field="4294967294" count="1" selected="0">
            <x v="0"/>
          </reference>
          <reference field="1" count="1" selected="0">
            <x v="17"/>
          </reference>
          <reference field="6" count="1" selected="0">
            <x v="9"/>
          </reference>
        </references>
      </pivotArea>
    </chartFormat>
    <chartFormat chart="23" format="422">
      <pivotArea type="data" outline="0" fieldPosition="0">
        <references count="3">
          <reference field="4294967294" count="1" selected="0">
            <x v="0"/>
          </reference>
          <reference field="1" count="1" selected="0">
            <x v="18"/>
          </reference>
          <reference field="6" count="1" selected="0">
            <x v="9"/>
          </reference>
        </references>
      </pivotArea>
    </chartFormat>
    <chartFormat chart="23" format="423">
      <pivotArea type="data" outline="0" fieldPosition="0">
        <references count="3">
          <reference field="4294967294" count="1" selected="0">
            <x v="0"/>
          </reference>
          <reference field="1" count="1" selected="0">
            <x v="19"/>
          </reference>
          <reference field="6" count="1" selected="0">
            <x v="9"/>
          </reference>
        </references>
      </pivotArea>
    </chartFormat>
    <chartFormat chart="23" format="424">
      <pivotArea type="data" outline="0" fieldPosition="0">
        <references count="3">
          <reference field="4294967294" count="1" selected="0">
            <x v="0"/>
          </reference>
          <reference field="1" count="1" selected="0">
            <x v="24"/>
          </reference>
          <reference field="6" count="1" selected="0">
            <x v="9"/>
          </reference>
        </references>
      </pivotArea>
    </chartFormat>
    <chartFormat chart="23" format="425">
      <pivotArea type="data" outline="0" fieldPosition="0">
        <references count="3">
          <reference field="4294967294" count="1" selected="0">
            <x v="0"/>
          </reference>
          <reference field="1" count="1" selected="0">
            <x v="25"/>
          </reference>
          <reference field="6" count="1" selected="0">
            <x v="9"/>
          </reference>
        </references>
      </pivotArea>
    </chartFormat>
    <chartFormat chart="23" format="426">
      <pivotArea type="data" outline="0" fieldPosition="0">
        <references count="3">
          <reference field="4294967294" count="1" selected="0">
            <x v="0"/>
          </reference>
          <reference field="1" count="1" selected="0">
            <x v="29"/>
          </reference>
          <reference field="6" count="1" selected="0">
            <x v="9"/>
          </reference>
        </references>
      </pivotArea>
    </chartFormat>
    <chartFormat chart="23" format="427">
      <pivotArea type="data" outline="0" fieldPosition="0">
        <references count="3">
          <reference field="4294967294" count="1" selected="0">
            <x v="0"/>
          </reference>
          <reference field="1" count="1" selected="0">
            <x v="30"/>
          </reference>
          <reference field="6" count="1" selected="0">
            <x v="9"/>
          </reference>
        </references>
      </pivotArea>
    </chartFormat>
    <chartFormat chart="23" format="428">
      <pivotArea type="data" outline="0" fieldPosition="0">
        <references count="3">
          <reference field="4294967294" count="1" selected="0">
            <x v="0"/>
          </reference>
          <reference field="1" count="1" selected="0">
            <x v="31"/>
          </reference>
          <reference field="6" count="1" selected="0">
            <x v="9"/>
          </reference>
        </references>
      </pivotArea>
    </chartFormat>
    <chartFormat chart="23" format="429">
      <pivotArea type="data" outline="0" fieldPosition="0">
        <references count="3">
          <reference field="4294967294" count="1" selected="0">
            <x v="0"/>
          </reference>
          <reference field="1" count="1" selected="0">
            <x v="32"/>
          </reference>
          <reference field="6" count="1" selected="0">
            <x v="9"/>
          </reference>
        </references>
      </pivotArea>
    </chartFormat>
    <chartFormat chart="23" format="430">
      <pivotArea type="data" outline="0" fieldPosition="0">
        <references count="3">
          <reference field="4294967294" count="1" selected="0">
            <x v="0"/>
          </reference>
          <reference field="1" count="1" selected="0">
            <x v="33"/>
          </reference>
          <reference field="6" count="1" selected="0">
            <x v="9"/>
          </reference>
        </references>
      </pivotArea>
    </chartFormat>
    <chartFormat chart="23" format="431">
      <pivotArea type="data" outline="0" fieldPosition="0">
        <references count="3">
          <reference field="4294967294" count="1" selected="0">
            <x v="0"/>
          </reference>
          <reference field="1" count="1" selected="0">
            <x v="34"/>
          </reference>
          <reference field="6" count="1" selected="0">
            <x v="9"/>
          </reference>
        </references>
      </pivotArea>
    </chartFormat>
    <chartFormat chart="23" format="432">
      <pivotArea type="data" outline="0" fieldPosition="0">
        <references count="3">
          <reference field="4294967294" count="1" selected="0">
            <x v="0"/>
          </reference>
          <reference field="1" count="1" selected="0">
            <x v="35"/>
          </reference>
          <reference field="6" count="1" selected="0">
            <x v="9"/>
          </reference>
        </references>
      </pivotArea>
    </chartFormat>
    <chartFormat chart="23" format="433">
      <pivotArea type="data" outline="0" fieldPosition="0">
        <references count="3">
          <reference field="4294967294" count="1" selected="0">
            <x v="0"/>
          </reference>
          <reference field="1" count="1" selected="0">
            <x v="36"/>
          </reference>
          <reference field="6" count="1" selected="0">
            <x v="9"/>
          </reference>
        </references>
      </pivotArea>
    </chartFormat>
    <chartFormat chart="23" format="434">
      <pivotArea type="data" outline="0" fieldPosition="0">
        <references count="3">
          <reference field="4294967294" count="1" selected="0">
            <x v="0"/>
          </reference>
          <reference field="1" count="1" selected="0">
            <x v="37"/>
          </reference>
          <reference field="6" count="1" selected="0">
            <x v="9"/>
          </reference>
        </references>
      </pivotArea>
    </chartFormat>
    <chartFormat chart="23" format="435">
      <pivotArea type="data" outline="0" fieldPosition="0">
        <references count="3">
          <reference field="4294967294" count="1" selected="0">
            <x v="0"/>
          </reference>
          <reference field="1" count="1" selected="0">
            <x v="38"/>
          </reference>
          <reference field="6" count="1" selected="0">
            <x v="9"/>
          </reference>
        </references>
      </pivotArea>
    </chartFormat>
    <chartFormat chart="23" format="436">
      <pivotArea type="data" outline="0" fieldPosition="0">
        <references count="3">
          <reference field="4294967294" count="1" selected="0">
            <x v="0"/>
          </reference>
          <reference field="1" count="1" selected="0">
            <x v="39"/>
          </reference>
          <reference field="6" count="1" selected="0">
            <x v="9"/>
          </reference>
        </references>
      </pivotArea>
    </chartFormat>
    <chartFormat chart="23" format="437">
      <pivotArea type="data" outline="0" fieldPosition="0">
        <references count="3">
          <reference field="4294967294" count="1" selected="0">
            <x v="0"/>
          </reference>
          <reference field="1" count="1" selected="0">
            <x v="40"/>
          </reference>
          <reference field="6" count="1" selected="0">
            <x v="9"/>
          </reference>
        </references>
      </pivotArea>
    </chartFormat>
    <chartFormat chart="23" format="438">
      <pivotArea type="data" outline="0" fieldPosition="0">
        <references count="3">
          <reference field="4294967294" count="1" selected="0">
            <x v="0"/>
          </reference>
          <reference field="1" count="1" selected="0">
            <x v="41"/>
          </reference>
          <reference field="6" count="1" selected="0">
            <x v="9"/>
          </reference>
        </references>
      </pivotArea>
    </chartFormat>
    <chartFormat chart="23" format="439">
      <pivotArea type="data" outline="0" fieldPosition="0">
        <references count="3">
          <reference field="4294967294" count="1" selected="0">
            <x v="0"/>
          </reference>
          <reference field="1" count="1" selected="0">
            <x v="42"/>
          </reference>
          <reference field="6" count="1" selected="0">
            <x v="9"/>
          </reference>
        </references>
      </pivotArea>
    </chartFormat>
    <chartFormat chart="23" format="440">
      <pivotArea type="data" outline="0" fieldPosition="0">
        <references count="3">
          <reference field="4294967294" count="1" selected="0">
            <x v="0"/>
          </reference>
          <reference field="1" count="1" selected="0">
            <x v="43"/>
          </reference>
          <reference field="6" count="1" selected="0">
            <x v="9"/>
          </reference>
        </references>
      </pivotArea>
    </chartFormat>
    <chartFormat chart="23" format="441">
      <pivotArea type="data" outline="0" fieldPosition="0">
        <references count="3">
          <reference field="4294967294" count="1" selected="0">
            <x v="0"/>
          </reference>
          <reference field="1" count="1" selected="0">
            <x v="44"/>
          </reference>
          <reference field="6" count="1" selected="0">
            <x v="9"/>
          </reference>
        </references>
      </pivotArea>
    </chartFormat>
    <chartFormat chart="23" format="442">
      <pivotArea type="data" outline="0" fieldPosition="0">
        <references count="3">
          <reference field="4294967294" count="1" selected="0">
            <x v="0"/>
          </reference>
          <reference field="1" count="1" selected="0">
            <x v="45"/>
          </reference>
          <reference field="6" count="1" selected="0">
            <x v="9"/>
          </reference>
        </references>
      </pivotArea>
    </chartFormat>
    <chartFormat chart="23" format="443">
      <pivotArea type="data" outline="0" fieldPosition="0">
        <references count="3">
          <reference field="4294967294" count="1" selected="0">
            <x v="0"/>
          </reference>
          <reference field="1" count="1" selected="0">
            <x v="5"/>
          </reference>
          <reference field="6" count="1" selected="0">
            <x v="10"/>
          </reference>
        </references>
      </pivotArea>
    </chartFormat>
    <chartFormat chart="23" format="444">
      <pivotArea type="data" outline="0" fieldPosition="0">
        <references count="3">
          <reference field="4294967294" count="1" selected="0">
            <x v="0"/>
          </reference>
          <reference field="1" count="1" selected="0">
            <x v="11"/>
          </reference>
          <reference field="6" count="1" selected="0">
            <x v="10"/>
          </reference>
        </references>
      </pivotArea>
    </chartFormat>
    <chartFormat chart="23" format="445">
      <pivotArea type="data" outline="0" fieldPosition="0">
        <references count="3">
          <reference field="4294967294" count="1" selected="0">
            <x v="0"/>
          </reference>
          <reference field="1" count="1" selected="0">
            <x v="17"/>
          </reference>
          <reference field="6" count="1" selected="0">
            <x v="10"/>
          </reference>
        </references>
      </pivotArea>
    </chartFormat>
    <chartFormat chart="23" format="446">
      <pivotArea type="data" outline="0" fieldPosition="0">
        <references count="3">
          <reference field="4294967294" count="1" selected="0">
            <x v="0"/>
          </reference>
          <reference field="1" count="1" selected="0">
            <x v="18"/>
          </reference>
          <reference field="6" count="1" selected="0">
            <x v="10"/>
          </reference>
        </references>
      </pivotArea>
    </chartFormat>
    <chartFormat chart="23" format="447">
      <pivotArea type="data" outline="0" fieldPosition="0">
        <references count="3">
          <reference field="4294967294" count="1" selected="0">
            <x v="0"/>
          </reference>
          <reference field="1" count="1" selected="0">
            <x v="19"/>
          </reference>
          <reference field="6" count="1" selected="0">
            <x v="10"/>
          </reference>
        </references>
      </pivotArea>
    </chartFormat>
    <chartFormat chart="23" format="448">
      <pivotArea type="data" outline="0" fieldPosition="0">
        <references count="3">
          <reference field="4294967294" count="1" selected="0">
            <x v="0"/>
          </reference>
          <reference field="1" count="1" selected="0">
            <x v="24"/>
          </reference>
          <reference field="6" count="1" selected="0">
            <x v="10"/>
          </reference>
        </references>
      </pivotArea>
    </chartFormat>
    <chartFormat chart="23" format="449">
      <pivotArea type="data" outline="0" fieldPosition="0">
        <references count="3">
          <reference field="4294967294" count="1" selected="0">
            <x v="0"/>
          </reference>
          <reference field="1" count="1" selected="0">
            <x v="25"/>
          </reference>
          <reference field="6" count="1" selected="0">
            <x v="10"/>
          </reference>
        </references>
      </pivotArea>
    </chartFormat>
    <chartFormat chart="23" format="450">
      <pivotArea type="data" outline="0" fieldPosition="0">
        <references count="3">
          <reference field="4294967294" count="1" selected="0">
            <x v="0"/>
          </reference>
          <reference field="1" count="1" selected="0">
            <x v="29"/>
          </reference>
          <reference field="6" count="1" selected="0">
            <x v="10"/>
          </reference>
        </references>
      </pivotArea>
    </chartFormat>
    <chartFormat chart="23" format="451">
      <pivotArea type="data" outline="0" fieldPosition="0">
        <references count="3">
          <reference field="4294967294" count="1" selected="0">
            <x v="0"/>
          </reference>
          <reference field="1" count="1" selected="0">
            <x v="30"/>
          </reference>
          <reference field="6" count="1" selected="0">
            <x v="10"/>
          </reference>
        </references>
      </pivotArea>
    </chartFormat>
    <chartFormat chart="23" format="452">
      <pivotArea type="data" outline="0" fieldPosition="0">
        <references count="3">
          <reference field="4294967294" count="1" selected="0">
            <x v="0"/>
          </reference>
          <reference field="1" count="1" selected="0">
            <x v="31"/>
          </reference>
          <reference field="6" count="1" selected="0">
            <x v="10"/>
          </reference>
        </references>
      </pivotArea>
    </chartFormat>
    <chartFormat chart="23" format="453">
      <pivotArea type="data" outline="0" fieldPosition="0">
        <references count="3">
          <reference field="4294967294" count="1" selected="0">
            <x v="0"/>
          </reference>
          <reference field="1" count="1" selected="0">
            <x v="32"/>
          </reference>
          <reference field="6" count="1" selected="0">
            <x v="10"/>
          </reference>
        </references>
      </pivotArea>
    </chartFormat>
    <chartFormat chart="23" format="454">
      <pivotArea type="data" outline="0" fieldPosition="0">
        <references count="3">
          <reference field="4294967294" count="1" selected="0">
            <x v="0"/>
          </reference>
          <reference field="1" count="1" selected="0">
            <x v="33"/>
          </reference>
          <reference field="6" count="1" selected="0">
            <x v="10"/>
          </reference>
        </references>
      </pivotArea>
    </chartFormat>
    <chartFormat chart="23" format="455">
      <pivotArea type="data" outline="0" fieldPosition="0">
        <references count="3">
          <reference field="4294967294" count="1" selected="0">
            <x v="0"/>
          </reference>
          <reference field="1" count="1" selected="0">
            <x v="34"/>
          </reference>
          <reference field="6" count="1" selected="0">
            <x v="10"/>
          </reference>
        </references>
      </pivotArea>
    </chartFormat>
    <chartFormat chart="23" format="456">
      <pivotArea type="data" outline="0" fieldPosition="0">
        <references count="3">
          <reference field="4294967294" count="1" selected="0">
            <x v="0"/>
          </reference>
          <reference field="1" count="1" selected="0">
            <x v="35"/>
          </reference>
          <reference field="6" count="1" selected="0">
            <x v="10"/>
          </reference>
        </references>
      </pivotArea>
    </chartFormat>
    <chartFormat chart="23" format="457">
      <pivotArea type="data" outline="0" fieldPosition="0">
        <references count="3">
          <reference field="4294967294" count="1" selected="0">
            <x v="0"/>
          </reference>
          <reference field="1" count="1" selected="0">
            <x v="36"/>
          </reference>
          <reference field="6" count="1" selected="0">
            <x v="10"/>
          </reference>
        </references>
      </pivotArea>
    </chartFormat>
    <chartFormat chart="23" format="458">
      <pivotArea type="data" outline="0" fieldPosition="0">
        <references count="3">
          <reference field="4294967294" count="1" selected="0">
            <x v="0"/>
          </reference>
          <reference field="1" count="1" selected="0">
            <x v="37"/>
          </reference>
          <reference field="6" count="1" selected="0">
            <x v="10"/>
          </reference>
        </references>
      </pivotArea>
    </chartFormat>
    <chartFormat chart="23" format="459">
      <pivotArea type="data" outline="0" fieldPosition="0">
        <references count="3">
          <reference field="4294967294" count="1" selected="0">
            <x v="0"/>
          </reference>
          <reference field="1" count="1" selected="0">
            <x v="38"/>
          </reference>
          <reference field="6" count="1" selected="0">
            <x v="10"/>
          </reference>
        </references>
      </pivotArea>
    </chartFormat>
    <chartFormat chart="23" format="460">
      <pivotArea type="data" outline="0" fieldPosition="0">
        <references count="3">
          <reference field="4294967294" count="1" selected="0">
            <x v="0"/>
          </reference>
          <reference field="1" count="1" selected="0">
            <x v="39"/>
          </reference>
          <reference field="6" count="1" selected="0">
            <x v="10"/>
          </reference>
        </references>
      </pivotArea>
    </chartFormat>
    <chartFormat chart="23" format="461">
      <pivotArea type="data" outline="0" fieldPosition="0">
        <references count="3">
          <reference field="4294967294" count="1" selected="0">
            <x v="0"/>
          </reference>
          <reference field="1" count="1" selected="0">
            <x v="40"/>
          </reference>
          <reference field="6" count="1" selected="0">
            <x v="10"/>
          </reference>
        </references>
      </pivotArea>
    </chartFormat>
    <chartFormat chart="23" format="462">
      <pivotArea type="data" outline="0" fieldPosition="0">
        <references count="3">
          <reference field="4294967294" count="1" selected="0">
            <x v="0"/>
          </reference>
          <reference field="1" count="1" selected="0">
            <x v="41"/>
          </reference>
          <reference field="6" count="1" selected="0">
            <x v="10"/>
          </reference>
        </references>
      </pivotArea>
    </chartFormat>
    <chartFormat chart="23" format="463">
      <pivotArea type="data" outline="0" fieldPosition="0">
        <references count="3">
          <reference field="4294967294" count="1" selected="0">
            <x v="0"/>
          </reference>
          <reference field="1" count="1" selected="0">
            <x v="42"/>
          </reference>
          <reference field="6" count="1" selected="0">
            <x v="10"/>
          </reference>
        </references>
      </pivotArea>
    </chartFormat>
    <chartFormat chart="23" format="464">
      <pivotArea type="data" outline="0" fieldPosition="0">
        <references count="3">
          <reference field="4294967294" count="1" selected="0">
            <x v="0"/>
          </reference>
          <reference field="1" count="1" selected="0">
            <x v="43"/>
          </reference>
          <reference field="6" count="1" selected="0">
            <x v="10"/>
          </reference>
        </references>
      </pivotArea>
    </chartFormat>
    <chartFormat chart="23" format="465">
      <pivotArea type="data" outline="0" fieldPosition="0">
        <references count="3">
          <reference field="4294967294" count="1" selected="0">
            <x v="0"/>
          </reference>
          <reference field="1" count="1" selected="0">
            <x v="44"/>
          </reference>
          <reference field="6" count="1" selected="0">
            <x v="10"/>
          </reference>
        </references>
      </pivotArea>
    </chartFormat>
    <chartFormat chart="23" format="466">
      <pivotArea type="data" outline="0" fieldPosition="0">
        <references count="3">
          <reference field="4294967294" count="1" selected="0">
            <x v="0"/>
          </reference>
          <reference field="1" count="1" selected="0">
            <x v="45"/>
          </reference>
          <reference field="6" count="1" selected="0">
            <x v="10"/>
          </reference>
        </references>
      </pivotArea>
    </chartFormat>
    <chartFormat chart="23" format="467">
      <pivotArea type="data" outline="0" fieldPosition="0">
        <references count="3">
          <reference field="4294967294" count="1" selected="0">
            <x v="0"/>
          </reference>
          <reference field="1" count="1" selected="0">
            <x v="5"/>
          </reference>
          <reference field="6" count="1" selected="0">
            <x v="11"/>
          </reference>
        </references>
      </pivotArea>
    </chartFormat>
    <chartFormat chart="23" format="468">
      <pivotArea type="data" outline="0" fieldPosition="0">
        <references count="3">
          <reference field="4294967294" count="1" selected="0">
            <x v="0"/>
          </reference>
          <reference field="1" count="1" selected="0">
            <x v="11"/>
          </reference>
          <reference field="6" count="1" selected="0">
            <x v="11"/>
          </reference>
        </references>
      </pivotArea>
    </chartFormat>
    <chartFormat chart="23" format="469">
      <pivotArea type="data" outline="0" fieldPosition="0">
        <references count="3">
          <reference field="4294967294" count="1" selected="0">
            <x v="0"/>
          </reference>
          <reference field="1" count="1" selected="0">
            <x v="17"/>
          </reference>
          <reference field="6" count="1" selected="0">
            <x v="11"/>
          </reference>
        </references>
      </pivotArea>
    </chartFormat>
    <chartFormat chart="23" format="470">
      <pivotArea type="data" outline="0" fieldPosition="0">
        <references count="3">
          <reference field="4294967294" count="1" selected="0">
            <x v="0"/>
          </reference>
          <reference field="1" count="1" selected="0">
            <x v="18"/>
          </reference>
          <reference field="6" count="1" selected="0">
            <x v="11"/>
          </reference>
        </references>
      </pivotArea>
    </chartFormat>
    <chartFormat chart="23" format="471">
      <pivotArea type="data" outline="0" fieldPosition="0">
        <references count="3">
          <reference field="4294967294" count="1" selected="0">
            <x v="0"/>
          </reference>
          <reference field="1" count="1" selected="0">
            <x v="19"/>
          </reference>
          <reference field="6" count="1" selected="0">
            <x v="11"/>
          </reference>
        </references>
      </pivotArea>
    </chartFormat>
    <chartFormat chart="23" format="472">
      <pivotArea type="data" outline="0" fieldPosition="0">
        <references count="3">
          <reference field="4294967294" count="1" selected="0">
            <x v="0"/>
          </reference>
          <reference field="1" count="1" selected="0">
            <x v="24"/>
          </reference>
          <reference field="6" count="1" selected="0">
            <x v="11"/>
          </reference>
        </references>
      </pivotArea>
    </chartFormat>
    <chartFormat chart="23" format="473">
      <pivotArea type="data" outline="0" fieldPosition="0">
        <references count="3">
          <reference field="4294967294" count="1" selected="0">
            <x v="0"/>
          </reference>
          <reference field="1" count="1" selected="0">
            <x v="25"/>
          </reference>
          <reference field="6" count="1" selected="0">
            <x v="11"/>
          </reference>
        </references>
      </pivotArea>
    </chartFormat>
    <chartFormat chart="23" format="474">
      <pivotArea type="data" outline="0" fieldPosition="0">
        <references count="3">
          <reference field="4294967294" count="1" selected="0">
            <x v="0"/>
          </reference>
          <reference field="1" count="1" selected="0">
            <x v="29"/>
          </reference>
          <reference field="6" count="1" selected="0">
            <x v="11"/>
          </reference>
        </references>
      </pivotArea>
    </chartFormat>
    <chartFormat chart="23" format="475">
      <pivotArea type="data" outline="0" fieldPosition="0">
        <references count="3">
          <reference field="4294967294" count="1" selected="0">
            <x v="0"/>
          </reference>
          <reference field="1" count="1" selected="0">
            <x v="30"/>
          </reference>
          <reference field="6" count="1" selected="0">
            <x v="11"/>
          </reference>
        </references>
      </pivotArea>
    </chartFormat>
    <chartFormat chart="23" format="476">
      <pivotArea type="data" outline="0" fieldPosition="0">
        <references count="3">
          <reference field="4294967294" count="1" selected="0">
            <x v="0"/>
          </reference>
          <reference field="1" count="1" selected="0">
            <x v="31"/>
          </reference>
          <reference field="6" count="1" selected="0">
            <x v="11"/>
          </reference>
        </references>
      </pivotArea>
    </chartFormat>
    <chartFormat chart="23" format="477">
      <pivotArea type="data" outline="0" fieldPosition="0">
        <references count="3">
          <reference field="4294967294" count="1" selected="0">
            <x v="0"/>
          </reference>
          <reference field="1" count="1" selected="0">
            <x v="32"/>
          </reference>
          <reference field="6" count="1" selected="0">
            <x v="11"/>
          </reference>
        </references>
      </pivotArea>
    </chartFormat>
    <chartFormat chart="23" format="478">
      <pivotArea type="data" outline="0" fieldPosition="0">
        <references count="3">
          <reference field="4294967294" count="1" selected="0">
            <x v="0"/>
          </reference>
          <reference field="1" count="1" selected="0">
            <x v="33"/>
          </reference>
          <reference field="6" count="1" selected="0">
            <x v="11"/>
          </reference>
        </references>
      </pivotArea>
    </chartFormat>
    <chartFormat chart="23" format="479">
      <pivotArea type="data" outline="0" fieldPosition="0">
        <references count="3">
          <reference field="4294967294" count="1" selected="0">
            <x v="0"/>
          </reference>
          <reference field="1" count="1" selected="0">
            <x v="34"/>
          </reference>
          <reference field="6" count="1" selected="0">
            <x v="11"/>
          </reference>
        </references>
      </pivotArea>
    </chartFormat>
    <chartFormat chart="23" format="480">
      <pivotArea type="data" outline="0" fieldPosition="0">
        <references count="3">
          <reference field="4294967294" count="1" selected="0">
            <x v="0"/>
          </reference>
          <reference field="1" count="1" selected="0">
            <x v="35"/>
          </reference>
          <reference field="6" count="1" selected="0">
            <x v="11"/>
          </reference>
        </references>
      </pivotArea>
    </chartFormat>
    <chartFormat chart="23" format="481">
      <pivotArea type="data" outline="0" fieldPosition="0">
        <references count="3">
          <reference field="4294967294" count="1" selected="0">
            <x v="0"/>
          </reference>
          <reference field="1" count="1" selected="0">
            <x v="36"/>
          </reference>
          <reference field="6" count="1" selected="0">
            <x v="11"/>
          </reference>
        </references>
      </pivotArea>
    </chartFormat>
    <chartFormat chart="23" format="482">
      <pivotArea type="data" outline="0" fieldPosition="0">
        <references count="3">
          <reference field="4294967294" count="1" selected="0">
            <x v="0"/>
          </reference>
          <reference field="1" count="1" selected="0">
            <x v="37"/>
          </reference>
          <reference field="6" count="1" selected="0">
            <x v="11"/>
          </reference>
        </references>
      </pivotArea>
    </chartFormat>
    <chartFormat chart="23" format="483">
      <pivotArea type="data" outline="0" fieldPosition="0">
        <references count="3">
          <reference field="4294967294" count="1" selected="0">
            <x v="0"/>
          </reference>
          <reference field="1" count="1" selected="0">
            <x v="38"/>
          </reference>
          <reference field="6" count="1" selected="0">
            <x v="11"/>
          </reference>
        </references>
      </pivotArea>
    </chartFormat>
    <chartFormat chart="23" format="484">
      <pivotArea type="data" outline="0" fieldPosition="0">
        <references count="3">
          <reference field="4294967294" count="1" selected="0">
            <x v="0"/>
          </reference>
          <reference field="1" count="1" selected="0">
            <x v="39"/>
          </reference>
          <reference field="6" count="1" selected="0">
            <x v="11"/>
          </reference>
        </references>
      </pivotArea>
    </chartFormat>
    <chartFormat chart="23" format="485">
      <pivotArea type="data" outline="0" fieldPosition="0">
        <references count="3">
          <reference field="4294967294" count="1" selected="0">
            <x v="0"/>
          </reference>
          <reference field="1" count="1" selected="0">
            <x v="40"/>
          </reference>
          <reference field="6" count="1" selected="0">
            <x v="11"/>
          </reference>
        </references>
      </pivotArea>
    </chartFormat>
    <chartFormat chart="23" format="486">
      <pivotArea type="data" outline="0" fieldPosition="0">
        <references count="3">
          <reference field="4294967294" count="1" selected="0">
            <x v="0"/>
          </reference>
          <reference field="1" count="1" selected="0">
            <x v="41"/>
          </reference>
          <reference field="6" count="1" selected="0">
            <x v="11"/>
          </reference>
        </references>
      </pivotArea>
    </chartFormat>
    <chartFormat chart="23" format="487">
      <pivotArea type="data" outline="0" fieldPosition="0">
        <references count="3">
          <reference field="4294967294" count="1" selected="0">
            <x v="0"/>
          </reference>
          <reference field="1" count="1" selected="0">
            <x v="42"/>
          </reference>
          <reference field="6" count="1" selected="0">
            <x v="11"/>
          </reference>
        </references>
      </pivotArea>
    </chartFormat>
    <chartFormat chart="23" format="488">
      <pivotArea type="data" outline="0" fieldPosition="0">
        <references count="3">
          <reference field="4294967294" count="1" selected="0">
            <x v="0"/>
          </reference>
          <reference field="1" count="1" selected="0">
            <x v="43"/>
          </reference>
          <reference field="6" count="1" selected="0">
            <x v="11"/>
          </reference>
        </references>
      </pivotArea>
    </chartFormat>
    <chartFormat chart="23" format="489">
      <pivotArea type="data" outline="0" fieldPosition="0">
        <references count="3">
          <reference field="4294967294" count="1" selected="0">
            <x v="0"/>
          </reference>
          <reference field="1" count="1" selected="0">
            <x v="44"/>
          </reference>
          <reference field="6" count="1" selected="0">
            <x v="11"/>
          </reference>
        </references>
      </pivotArea>
    </chartFormat>
    <chartFormat chart="23" format="490">
      <pivotArea type="data" outline="0" fieldPosition="0">
        <references count="3">
          <reference field="4294967294" count="1" selected="0">
            <x v="0"/>
          </reference>
          <reference field="1" count="1" selected="0">
            <x v="45"/>
          </reference>
          <reference field="6" count="1" selected="0">
            <x v="11"/>
          </reference>
        </references>
      </pivotArea>
    </chartFormat>
    <chartFormat chart="23" format="491">
      <pivotArea type="data" outline="0" fieldPosition="0">
        <references count="3">
          <reference field="4294967294" count="1" selected="0">
            <x v="0"/>
          </reference>
          <reference field="1" count="1" selected="0">
            <x v="5"/>
          </reference>
          <reference field="6" count="1" selected="0">
            <x v="12"/>
          </reference>
        </references>
      </pivotArea>
    </chartFormat>
    <chartFormat chart="23" format="492">
      <pivotArea type="data" outline="0" fieldPosition="0">
        <references count="3">
          <reference field="4294967294" count="1" selected="0">
            <x v="0"/>
          </reference>
          <reference field="1" count="1" selected="0">
            <x v="11"/>
          </reference>
          <reference field="6" count="1" selected="0">
            <x v="12"/>
          </reference>
        </references>
      </pivotArea>
    </chartFormat>
    <chartFormat chart="23" format="493">
      <pivotArea type="data" outline="0" fieldPosition="0">
        <references count="3">
          <reference field="4294967294" count="1" selected="0">
            <x v="0"/>
          </reference>
          <reference field="1" count="1" selected="0">
            <x v="17"/>
          </reference>
          <reference field="6" count="1" selected="0">
            <x v="12"/>
          </reference>
        </references>
      </pivotArea>
    </chartFormat>
    <chartFormat chart="23" format="494">
      <pivotArea type="data" outline="0" fieldPosition="0">
        <references count="3">
          <reference field="4294967294" count="1" selected="0">
            <x v="0"/>
          </reference>
          <reference field="1" count="1" selected="0">
            <x v="18"/>
          </reference>
          <reference field="6" count="1" selected="0">
            <x v="12"/>
          </reference>
        </references>
      </pivotArea>
    </chartFormat>
    <chartFormat chart="23" format="495">
      <pivotArea type="data" outline="0" fieldPosition="0">
        <references count="3">
          <reference field="4294967294" count="1" selected="0">
            <x v="0"/>
          </reference>
          <reference field="1" count="1" selected="0">
            <x v="19"/>
          </reference>
          <reference field="6" count="1" selected="0">
            <x v="12"/>
          </reference>
        </references>
      </pivotArea>
    </chartFormat>
    <chartFormat chart="23" format="496">
      <pivotArea type="data" outline="0" fieldPosition="0">
        <references count="3">
          <reference field="4294967294" count="1" selected="0">
            <x v="0"/>
          </reference>
          <reference field="1" count="1" selected="0">
            <x v="24"/>
          </reference>
          <reference field="6" count="1" selected="0">
            <x v="12"/>
          </reference>
        </references>
      </pivotArea>
    </chartFormat>
    <chartFormat chart="23" format="497">
      <pivotArea type="data" outline="0" fieldPosition="0">
        <references count="3">
          <reference field="4294967294" count="1" selected="0">
            <x v="0"/>
          </reference>
          <reference field="1" count="1" selected="0">
            <x v="25"/>
          </reference>
          <reference field="6" count="1" selected="0">
            <x v="12"/>
          </reference>
        </references>
      </pivotArea>
    </chartFormat>
    <chartFormat chart="23" format="498">
      <pivotArea type="data" outline="0" fieldPosition="0">
        <references count="3">
          <reference field="4294967294" count="1" selected="0">
            <x v="0"/>
          </reference>
          <reference field="1" count="1" selected="0">
            <x v="29"/>
          </reference>
          <reference field="6" count="1" selected="0">
            <x v="12"/>
          </reference>
        </references>
      </pivotArea>
    </chartFormat>
    <chartFormat chart="23" format="499">
      <pivotArea type="data" outline="0" fieldPosition="0">
        <references count="3">
          <reference field="4294967294" count="1" selected="0">
            <x v="0"/>
          </reference>
          <reference field="1" count="1" selected="0">
            <x v="30"/>
          </reference>
          <reference field="6" count="1" selected="0">
            <x v="12"/>
          </reference>
        </references>
      </pivotArea>
    </chartFormat>
    <chartFormat chart="23" format="500">
      <pivotArea type="data" outline="0" fieldPosition="0">
        <references count="3">
          <reference field="4294967294" count="1" selected="0">
            <x v="0"/>
          </reference>
          <reference field="1" count="1" selected="0">
            <x v="31"/>
          </reference>
          <reference field="6" count="1" selected="0">
            <x v="12"/>
          </reference>
        </references>
      </pivotArea>
    </chartFormat>
    <chartFormat chart="23" format="501">
      <pivotArea type="data" outline="0" fieldPosition="0">
        <references count="3">
          <reference field="4294967294" count="1" selected="0">
            <x v="0"/>
          </reference>
          <reference field="1" count="1" selected="0">
            <x v="32"/>
          </reference>
          <reference field="6" count="1" selected="0">
            <x v="12"/>
          </reference>
        </references>
      </pivotArea>
    </chartFormat>
    <chartFormat chart="23" format="502">
      <pivotArea type="data" outline="0" fieldPosition="0">
        <references count="3">
          <reference field="4294967294" count="1" selected="0">
            <x v="0"/>
          </reference>
          <reference field="1" count="1" selected="0">
            <x v="33"/>
          </reference>
          <reference field="6" count="1" selected="0">
            <x v="12"/>
          </reference>
        </references>
      </pivotArea>
    </chartFormat>
    <chartFormat chart="23" format="503">
      <pivotArea type="data" outline="0" fieldPosition="0">
        <references count="3">
          <reference field="4294967294" count="1" selected="0">
            <x v="0"/>
          </reference>
          <reference field="1" count="1" selected="0">
            <x v="34"/>
          </reference>
          <reference field="6" count="1" selected="0">
            <x v="12"/>
          </reference>
        </references>
      </pivotArea>
    </chartFormat>
    <chartFormat chart="23" format="504">
      <pivotArea type="data" outline="0" fieldPosition="0">
        <references count="3">
          <reference field="4294967294" count="1" selected="0">
            <x v="0"/>
          </reference>
          <reference field="1" count="1" selected="0">
            <x v="35"/>
          </reference>
          <reference field="6" count="1" selected="0">
            <x v="12"/>
          </reference>
        </references>
      </pivotArea>
    </chartFormat>
    <chartFormat chart="23" format="505">
      <pivotArea type="data" outline="0" fieldPosition="0">
        <references count="3">
          <reference field="4294967294" count="1" selected="0">
            <x v="0"/>
          </reference>
          <reference field="1" count="1" selected="0">
            <x v="36"/>
          </reference>
          <reference field="6" count="1" selected="0">
            <x v="12"/>
          </reference>
        </references>
      </pivotArea>
    </chartFormat>
    <chartFormat chart="23" format="506">
      <pivotArea type="data" outline="0" fieldPosition="0">
        <references count="3">
          <reference field="4294967294" count="1" selected="0">
            <x v="0"/>
          </reference>
          <reference field="1" count="1" selected="0">
            <x v="37"/>
          </reference>
          <reference field="6" count="1" selected="0">
            <x v="12"/>
          </reference>
        </references>
      </pivotArea>
    </chartFormat>
    <chartFormat chart="23" format="507">
      <pivotArea type="data" outline="0" fieldPosition="0">
        <references count="3">
          <reference field="4294967294" count="1" selected="0">
            <x v="0"/>
          </reference>
          <reference field="1" count="1" selected="0">
            <x v="38"/>
          </reference>
          <reference field="6" count="1" selected="0">
            <x v="12"/>
          </reference>
        </references>
      </pivotArea>
    </chartFormat>
    <chartFormat chart="23" format="508">
      <pivotArea type="data" outline="0" fieldPosition="0">
        <references count="3">
          <reference field="4294967294" count="1" selected="0">
            <x v="0"/>
          </reference>
          <reference field="1" count="1" selected="0">
            <x v="39"/>
          </reference>
          <reference field="6" count="1" selected="0">
            <x v="12"/>
          </reference>
        </references>
      </pivotArea>
    </chartFormat>
    <chartFormat chart="23" format="509">
      <pivotArea type="data" outline="0" fieldPosition="0">
        <references count="3">
          <reference field="4294967294" count="1" selected="0">
            <x v="0"/>
          </reference>
          <reference field="1" count="1" selected="0">
            <x v="40"/>
          </reference>
          <reference field="6" count="1" selected="0">
            <x v="12"/>
          </reference>
        </references>
      </pivotArea>
    </chartFormat>
    <chartFormat chart="23" format="510">
      <pivotArea type="data" outline="0" fieldPosition="0">
        <references count="3">
          <reference field="4294967294" count="1" selected="0">
            <x v="0"/>
          </reference>
          <reference field="1" count="1" selected="0">
            <x v="41"/>
          </reference>
          <reference field="6" count="1" selected="0">
            <x v="12"/>
          </reference>
        </references>
      </pivotArea>
    </chartFormat>
    <chartFormat chart="23" format="511">
      <pivotArea type="data" outline="0" fieldPosition="0">
        <references count="3">
          <reference field="4294967294" count="1" selected="0">
            <x v="0"/>
          </reference>
          <reference field="1" count="1" selected="0">
            <x v="42"/>
          </reference>
          <reference field="6" count="1" selected="0">
            <x v="12"/>
          </reference>
        </references>
      </pivotArea>
    </chartFormat>
    <chartFormat chart="23" format="512">
      <pivotArea type="data" outline="0" fieldPosition="0">
        <references count="3">
          <reference field="4294967294" count="1" selected="0">
            <x v="0"/>
          </reference>
          <reference field="1" count="1" selected="0">
            <x v="43"/>
          </reference>
          <reference field="6" count="1" selected="0">
            <x v="12"/>
          </reference>
        </references>
      </pivotArea>
    </chartFormat>
    <chartFormat chart="23" format="513">
      <pivotArea type="data" outline="0" fieldPosition="0">
        <references count="3">
          <reference field="4294967294" count="1" selected="0">
            <x v="0"/>
          </reference>
          <reference field="1" count="1" selected="0">
            <x v="44"/>
          </reference>
          <reference field="6" count="1" selected="0">
            <x v="12"/>
          </reference>
        </references>
      </pivotArea>
    </chartFormat>
    <chartFormat chart="23" format="514">
      <pivotArea type="data" outline="0" fieldPosition="0">
        <references count="3">
          <reference field="4294967294" count="1" selected="0">
            <x v="0"/>
          </reference>
          <reference field="1" count="1" selected="0">
            <x v="45"/>
          </reference>
          <reference field="6" count="1" selected="0">
            <x v="12"/>
          </reference>
        </references>
      </pivotArea>
    </chartFormat>
    <chartFormat chart="23" format="515">
      <pivotArea type="data" outline="0" fieldPosition="0">
        <references count="3">
          <reference field="4294967294" count="1" selected="0">
            <x v="0"/>
          </reference>
          <reference field="1" count="1" selected="0">
            <x v="5"/>
          </reference>
          <reference field="6" count="1" selected="0">
            <x v="13"/>
          </reference>
        </references>
      </pivotArea>
    </chartFormat>
    <chartFormat chart="23" format="516">
      <pivotArea type="data" outline="0" fieldPosition="0">
        <references count="3">
          <reference field="4294967294" count="1" selected="0">
            <x v="0"/>
          </reference>
          <reference field="1" count="1" selected="0">
            <x v="11"/>
          </reference>
          <reference field="6" count="1" selected="0">
            <x v="13"/>
          </reference>
        </references>
      </pivotArea>
    </chartFormat>
    <chartFormat chart="23" format="517">
      <pivotArea type="data" outline="0" fieldPosition="0">
        <references count="3">
          <reference field="4294967294" count="1" selected="0">
            <x v="0"/>
          </reference>
          <reference field="1" count="1" selected="0">
            <x v="17"/>
          </reference>
          <reference field="6" count="1" selected="0">
            <x v="13"/>
          </reference>
        </references>
      </pivotArea>
    </chartFormat>
    <chartFormat chart="23" format="518">
      <pivotArea type="data" outline="0" fieldPosition="0">
        <references count="3">
          <reference field="4294967294" count="1" selected="0">
            <x v="0"/>
          </reference>
          <reference field="1" count="1" selected="0">
            <x v="18"/>
          </reference>
          <reference field="6" count="1" selected="0">
            <x v="13"/>
          </reference>
        </references>
      </pivotArea>
    </chartFormat>
    <chartFormat chart="23" format="519">
      <pivotArea type="data" outline="0" fieldPosition="0">
        <references count="3">
          <reference field="4294967294" count="1" selected="0">
            <x v="0"/>
          </reference>
          <reference field="1" count="1" selected="0">
            <x v="19"/>
          </reference>
          <reference field="6" count="1" selected="0">
            <x v="13"/>
          </reference>
        </references>
      </pivotArea>
    </chartFormat>
    <chartFormat chart="23" format="520">
      <pivotArea type="data" outline="0" fieldPosition="0">
        <references count="3">
          <reference field="4294967294" count="1" selected="0">
            <x v="0"/>
          </reference>
          <reference field="1" count="1" selected="0">
            <x v="24"/>
          </reference>
          <reference field="6" count="1" selected="0">
            <x v="13"/>
          </reference>
        </references>
      </pivotArea>
    </chartFormat>
    <chartFormat chart="23" format="521">
      <pivotArea type="data" outline="0" fieldPosition="0">
        <references count="3">
          <reference field="4294967294" count="1" selected="0">
            <x v="0"/>
          </reference>
          <reference field="1" count="1" selected="0">
            <x v="25"/>
          </reference>
          <reference field="6" count="1" selected="0">
            <x v="13"/>
          </reference>
        </references>
      </pivotArea>
    </chartFormat>
    <chartFormat chart="23" format="522">
      <pivotArea type="data" outline="0" fieldPosition="0">
        <references count="3">
          <reference field="4294967294" count="1" selected="0">
            <x v="0"/>
          </reference>
          <reference field="1" count="1" selected="0">
            <x v="29"/>
          </reference>
          <reference field="6" count="1" selected="0">
            <x v="13"/>
          </reference>
        </references>
      </pivotArea>
    </chartFormat>
    <chartFormat chart="23" format="523">
      <pivotArea type="data" outline="0" fieldPosition="0">
        <references count="3">
          <reference field="4294967294" count="1" selected="0">
            <x v="0"/>
          </reference>
          <reference field="1" count="1" selected="0">
            <x v="30"/>
          </reference>
          <reference field="6" count="1" selected="0">
            <x v="13"/>
          </reference>
        </references>
      </pivotArea>
    </chartFormat>
    <chartFormat chart="23" format="524">
      <pivotArea type="data" outline="0" fieldPosition="0">
        <references count="3">
          <reference field="4294967294" count="1" selected="0">
            <x v="0"/>
          </reference>
          <reference field="1" count="1" selected="0">
            <x v="31"/>
          </reference>
          <reference field="6" count="1" selected="0">
            <x v="13"/>
          </reference>
        </references>
      </pivotArea>
    </chartFormat>
    <chartFormat chart="23" format="525">
      <pivotArea type="data" outline="0" fieldPosition="0">
        <references count="3">
          <reference field="4294967294" count="1" selected="0">
            <x v="0"/>
          </reference>
          <reference field="1" count="1" selected="0">
            <x v="32"/>
          </reference>
          <reference field="6" count="1" selected="0">
            <x v="13"/>
          </reference>
        </references>
      </pivotArea>
    </chartFormat>
    <chartFormat chart="23" format="526">
      <pivotArea type="data" outline="0" fieldPosition="0">
        <references count="3">
          <reference field="4294967294" count="1" selected="0">
            <x v="0"/>
          </reference>
          <reference field="1" count="1" selected="0">
            <x v="33"/>
          </reference>
          <reference field="6" count="1" selected="0">
            <x v="13"/>
          </reference>
        </references>
      </pivotArea>
    </chartFormat>
    <chartFormat chart="23" format="527">
      <pivotArea type="data" outline="0" fieldPosition="0">
        <references count="3">
          <reference field="4294967294" count="1" selected="0">
            <x v="0"/>
          </reference>
          <reference field="1" count="1" selected="0">
            <x v="34"/>
          </reference>
          <reference field="6" count="1" selected="0">
            <x v="13"/>
          </reference>
        </references>
      </pivotArea>
    </chartFormat>
    <chartFormat chart="23" format="528">
      <pivotArea type="data" outline="0" fieldPosition="0">
        <references count="3">
          <reference field="4294967294" count="1" selected="0">
            <x v="0"/>
          </reference>
          <reference field="1" count="1" selected="0">
            <x v="35"/>
          </reference>
          <reference field="6" count="1" selected="0">
            <x v="13"/>
          </reference>
        </references>
      </pivotArea>
    </chartFormat>
    <chartFormat chart="23" format="529">
      <pivotArea type="data" outline="0" fieldPosition="0">
        <references count="3">
          <reference field="4294967294" count="1" selected="0">
            <x v="0"/>
          </reference>
          <reference field="1" count="1" selected="0">
            <x v="36"/>
          </reference>
          <reference field="6" count="1" selected="0">
            <x v="13"/>
          </reference>
        </references>
      </pivotArea>
    </chartFormat>
    <chartFormat chart="23" format="530">
      <pivotArea type="data" outline="0" fieldPosition="0">
        <references count="3">
          <reference field="4294967294" count="1" selected="0">
            <x v="0"/>
          </reference>
          <reference field="1" count="1" selected="0">
            <x v="37"/>
          </reference>
          <reference field="6" count="1" selected="0">
            <x v="13"/>
          </reference>
        </references>
      </pivotArea>
    </chartFormat>
    <chartFormat chart="23" format="531">
      <pivotArea type="data" outline="0" fieldPosition="0">
        <references count="3">
          <reference field="4294967294" count="1" selected="0">
            <x v="0"/>
          </reference>
          <reference field="1" count="1" selected="0">
            <x v="38"/>
          </reference>
          <reference field="6" count="1" selected="0">
            <x v="13"/>
          </reference>
        </references>
      </pivotArea>
    </chartFormat>
    <chartFormat chart="23" format="532">
      <pivotArea type="data" outline="0" fieldPosition="0">
        <references count="3">
          <reference field="4294967294" count="1" selected="0">
            <x v="0"/>
          </reference>
          <reference field="1" count="1" selected="0">
            <x v="39"/>
          </reference>
          <reference field="6" count="1" selected="0">
            <x v="13"/>
          </reference>
        </references>
      </pivotArea>
    </chartFormat>
    <chartFormat chart="23" format="533">
      <pivotArea type="data" outline="0" fieldPosition="0">
        <references count="3">
          <reference field="4294967294" count="1" selected="0">
            <x v="0"/>
          </reference>
          <reference field="1" count="1" selected="0">
            <x v="40"/>
          </reference>
          <reference field="6" count="1" selected="0">
            <x v="13"/>
          </reference>
        </references>
      </pivotArea>
    </chartFormat>
    <chartFormat chart="23" format="534">
      <pivotArea type="data" outline="0" fieldPosition="0">
        <references count="3">
          <reference field="4294967294" count="1" selected="0">
            <x v="0"/>
          </reference>
          <reference field="1" count="1" selected="0">
            <x v="41"/>
          </reference>
          <reference field="6" count="1" selected="0">
            <x v="13"/>
          </reference>
        </references>
      </pivotArea>
    </chartFormat>
    <chartFormat chart="23" format="535">
      <pivotArea type="data" outline="0" fieldPosition="0">
        <references count="3">
          <reference field="4294967294" count="1" selected="0">
            <x v="0"/>
          </reference>
          <reference field="1" count="1" selected="0">
            <x v="42"/>
          </reference>
          <reference field="6" count="1" selected="0">
            <x v="13"/>
          </reference>
        </references>
      </pivotArea>
    </chartFormat>
    <chartFormat chart="23" format="536">
      <pivotArea type="data" outline="0" fieldPosition="0">
        <references count="3">
          <reference field="4294967294" count="1" selected="0">
            <x v="0"/>
          </reference>
          <reference field="1" count="1" selected="0">
            <x v="43"/>
          </reference>
          <reference field="6" count="1" selected="0">
            <x v="13"/>
          </reference>
        </references>
      </pivotArea>
    </chartFormat>
    <chartFormat chart="23" format="537">
      <pivotArea type="data" outline="0" fieldPosition="0">
        <references count="3">
          <reference field="4294967294" count="1" selected="0">
            <x v="0"/>
          </reference>
          <reference field="1" count="1" selected="0">
            <x v="44"/>
          </reference>
          <reference field="6" count="1" selected="0">
            <x v="13"/>
          </reference>
        </references>
      </pivotArea>
    </chartFormat>
    <chartFormat chart="23" format="538">
      <pivotArea type="data" outline="0" fieldPosition="0">
        <references count="3">
          <reference field="4294967294" count="1" selected="0">
            <x v="0"/>
          </reference>
          <reference field="1" count="1" selected="0">
            <x v="45"/>
          </reference>
          <reference field="6" count="1" selected="0">
            <x v="13"/>
          </reference>
        </references>
      </pivotArea>
    </chartFormat>
    <chartFormat chart="23" format="539">
      <pivotArea type="data" outline="0" fieldPosition="0">
        <references count="3">
          <reference field="4294967294" count="1" selected="0">
            <x v="0"/>
          </reference>
          <reference field="1" count="1" selected="0">
            <x v="5"/>
          </reference>
          <reference field="6" count="1" selected="0">
            <x v="14"/>
          </reference>
        </references>
      </pivotArea>
    </chartFormat>
    <chartFormat chart="23" format="540">
      <pivotArea type="data" outline="0" fieldPosition="0">
        <references count="3">
          <reference field="4294967294" count="1" selected="0">
            <x v="0"/>
          </reference>
          <reference field="1" count="1" selected="0">
            <x v="11"/>
          </reference>
          <reference field="6" count="1" selected="0">
            <x v="14"/>
          </reference>
        </references>
      </pivotArea>
    </chartFormat>
    <chartFormat chart="23" format="541">
      <pivotArea type="data" outline="0" fieldPosition="0">
        <references count="3">
          <reference field="4294967294" count="1" selected="0">
            <x v="0"/>
          </reference>
          <reference field="1" count="1" selected="0">
            <x v="17"/>
          </reference>
          <reference field="6" count="1" selected="0">
            <x v="14"/>
          </reference>
        </references>
      </pivotArea>
    </chartFormat>
    <chartFormat chart="23" format="542">
      <pivotArea type="data" outline="0" fieldPosition="0">
        <references count="3">
          <reference field="4294967294" count="1" selected="0">
            <x v="0"/>
          </reference>
          <reference field="1" count="1" selected="0">
            <x v="18"/>
          </reference>
          <reference field="6" count="1" selected="0">
            <x v="14"/>
          </reference>
        </references>
      </pivotArea>
    </chartFormat>
    <chartFormat chart="23" format="543">
      <pivotArea type="data" outline="0" fieldPosition="0">
        <references count="3">
          <reference field="4294967294" count="1" selected="0">
            <x v="0"/>
          </reference>
          <reference field="1" count="1" selected="0">
            <x v="19"/>
          </reference>
          <reference field="6" count="1" selected="0">
            <x v="14"/>
          </reference>
        </references>
      </pivotArea>
    </chartFormat>
    <chartFormat chart="23" format="544">
      <pivotArea type="data" outline="0" fieldPosition="0">
        <references count="3">
          <reference field="4294967294" count="1" selected="0">
            <x v="0"/>
          </reference>
          <reference field="1" count="1" selected="0">
            <x v="24"/>
          </reference>
          <reference field="6" count="1" selected="0">
            <x v="14"/>
          </reference>
        </references>
      </pivotArea>
    </chartFormat>
    <chartFormat chart="23" format="545">
      <pivotArea type="data" outline="0" fieldPosition="0">
        <references count="3">
          <reference field="4294967294" count="1" selected="0">
            <x v="0"/>
          </reference>
          <reference field="1" count="1" selected="0">
            <x v="25"/>
          </reference>
          <reference field="6" count="1" selected="0">
            <x v="14"/>
          </reference>
        </references>
      </pivotArea>
    </chartFormat>
    <chartFormat chart="23" format="546">
      <pivotArea type="data" outline="0" fieldPosition="0">
        <references count="3">
          <reference field="4294967294" count="1" selected="0">
            <x v="0"/>
          </reference>
          <reference field="1" count="1" selected="0">
            <x v="29"/>
          </reference>
          <reference field="6" count="1" selected="0">
            <x v="14"/>
          </reference>
        </references>
      </pivotArea>
    </chartFormat>
    <chartFormat chart="23" format="547">
      <pivotArea type="data" outline="0" fieldPosition="0">
        <references count="3">
          <reference field="4294967294" count="1" selected="0">
            <x v="0"/>
          </reference>
          <reference field="1" count="1" selected="0">
            <x v="30"/>
          </reference>
          <reference field="6" count="1" selected="0">
            <x v="14"/>
          </reference>
        </references>
      </pivotArea>
    </chartFormat>
    <chartFormat chart="23" format="548">
      <pivotArea type="data" outline="0" fieldPosition="0">
        <references count="3">
          <reference field="4294967294" count="1" selected="0">
            <x v="0"/>
          </reference>
          <reference field="1" count="1" selected="0">
            <x v="31"/>
          </reference>
          <reference field="6" count="1" selected="0">
            <x v="14"/>
          </reference>
        </references>
      </pivotArea>
    </chartFormat>
    <chartFormat chart="23" format="549">
      <pivotArea type="data" outline="0" fieldPosition="0">
        <references count="3">
          <reference field="4294967294" count="1" selected="0">
            <x v="0"/>
          </reference>
          <reference field="1" count="1" selected="0">
            <x v="32"/>
          </reference>
          <reference field="6" count="1" selected="0">
            <x v="14"/>
          </reference>
        </references>
      </pivotArea>
    </chartFormat>
    <chartFormat chart="23" format="550">
      <pivotArea type="data" outline="0" fieldPosition="0">
        <references count="3">
          <reference field="4294967294" count="1" selected="0">
            <x v="0"/>
          </reference>
          <reference field="1" count="1" selected="0">
            <x v="33"/>
          </reference>
          <reference field="6" count="1" selected="0">
            <x v="14"/>
          </reference>
        </references>
      </pivotArea>
    </chartFormat>
    <chartFormat chart="23" format="551">
      <pivotArea type="data" outline="0" fieldPosition="0">
        <references count="3">
          <reference field="4294967294" count="1" selected="0">
            <x v="0"/>
          </reference>
          <reference field="1" count="1" selected="0">
            <x v="34"/>
          </reference>
          <reference field="6" count="1" selected="0">
            <x v="14"/>
          </reference>
        </references>
      </pivotArea>
    </chartFormat>
    <chartFormat chart="23" format="552">
      <pivotArea type="data" outline="0" fieldPosition="0">
        <references count="3">
          <reference field="4294967294" count="1" selected="0">
            <x v="0"/>
          </reference>
          <reference field="1" count="1" selected="0">
            <x v="35"/>
          </reference>
          <reference field="6" count="1" selected="0">
            <x v="14"/>
          </reference>
        </references>
      </pivotArea>
    </chartFormat>
    <chartFormat chart="23" format="553">
      <pivotArea type="data" outline="0" fieldPosition="0">
        <references count="3">
          <reference field="4294967294" count="1" selected="0">
            <x v="0"/>
          </reference>
          <reference field="1" count="1" selected="0">
            <x v="36"/>
          </reference>
          <reference field="6" count="1" selected="0">
            <x v="14"/>
          </reference>
        </references>
      </pivotArea>
    </chartFormat>
    <chartFormat chart="23" format="554">
      <pivotArea type="data" outline="0" fieldPosition="0">
        <references count="3">
          <reference field="4294967294" count="1" selected="0">
            <x v="0"/>
          </reference>
          <reference field="1" count="1" selected="0">
            <x v="37"/>
          </reference>
          <reference field="6" count="1" selected="0">
            <x v="14"/>
          </reference>
        </references>
      </pivotArea>
    </chartFormat>
    <chartFormat chart="23" format="555">
      <pivotArea type="data" outline="0" fieldPosition="0">
        <references count="3">
          <reference field="4294967294" count="1" selected="0">
            <x v="0"/>
          </reference>
          <reference field="1" count="1" selected="0">
            <x v="38"/>
          </reference>
          <reference field="6" count="1" selected="0">
            <x v="14"/>
          </reference>
        </references>
      </pivotArea>
    </chartFormat>
    <chartFormat chart="23" format="556">
      <pivotArea type="data" outline="0" fieldPosition="0">
        <references count="3">
          <reference field="4294967294" count="1" selected="0">
            <x v="0"/>
          </reference>
          <reference field="1" count="1" selected="0">
            <x v="39"/>
          </reference>
          <reference field="6" count="1" selected="0">
            <x v="14"/>
          </reference>
        </references>
      </pivotArea>
    </chartFormat>
    <chartFormat chart="23" format="557">
      <pivotArea type="data" outline="0" fieldPosition="0">
        <references count="3">
          <reference field="4294967294" count="1" selected="0">
            <x v="0"/>
          </reference>
          <reference field="1" count="1" selected="0">
            <x v="40"/>
          </reference>
          <reference field="6" count="1" selected="0">
            <x v="14"/>
          </reference>
        </references>
      </pivotArea>
    </chartFormat>
    <chartFormat chart="23" format="558">
      <pivotArea type="data" outline="0" fieldPosition="0">
        <references count="3">
          <reference field="4294967294" count="1" selected="0">
            <x v="0"/>
          </reference>
          <reference field="1" count="1" selected="0">
            <x v="41"/>
          </reference>
          <reference field="6" count="1" selected="0">
            <x v="14"/>
          </reference>
        </references>
      </pivotArea>
    </chartFormat>
    <chartFormat chart="23" format="559">
      <pivotArea type="data" outline="0" fieldPosition="0">
        <references count="3">
          <reference field="4294967294" count="1" selected="0">
            <x v="0"/>
          </reference>
          <reference field="1" count="1" selected="0">
            <x v="42"/>
          </reference>
          <reference field="6" count="1" selected="0">
            <x v="14"/>
          </reference>
        </references>
      </pivotArea>
    </chartFormat>
    <chartFormat chart="23" format="560">
      <pivotArea type="data" outline="0" fieldPosition="0">
        <references count="3">
          <reference field="4294967294" count="1" selected="0">
            <x v="0"/>
          </reference>
          <reference field="1" count="1" selected="0">
            <x v="43"/>
          </reference>
          <reference field="6" count="1" selected="0">
            <x v="14"/>
          </reference>
        </references>
      </pivotArea>
    </chartFormat>
    <chartFormat chart="23" format="561">
      <pivotArea type="data" outline="0" fieldPosition="0">
        <references count="3">
          <reference field="4294967294" count="1" selected="0">
            <x v="0"/>
          </reference>
          <reference field="1" count="1" selected="0">
            <x v="44"/>
          </reference>
          <reference field="6" count="1" selected="0">
            <x v="14"/>
          </reference>
        </references>
      </pivotArea>
    </chartFormat>
    <chartFormat chart="23" format="562">
      <pivotArea type="data" outline="0" fieldPosition="0">
        <references count="3">
          <reference field="4294967294" count="1" selected="0">
            <x v="0"/>
          </reference>
          <reference field="1" count="1" selected="0">
            <x v="45"/>
          </reference>
          <reference field="6" count="1" selected="0">
            <x v="14"/>
          </reference>
        </references>
      </pivotArea>
    </chartFormat>
    <chartFormat chart="23" format="563">
      <pivotArea type="data" outline="0" fieldPosition="0">
        <references count="3">
          <reference field="4294967294" count="1" selected="0">
            <x v="0"/>
          </reference>
          <reference field="1" count="1" selected="0">
            <x v="5"/>
          </reference>
          <reference field="6" count="1" selected="0">
            <x v="15"/>
          </reference>
        </references>
      </pivotArea>
    </chartFormat>
    <chartFormat chart="23" format="564">
      <pivotArea type="data" outline="0" fieldPosition="0">
        <references count="3">
          <reference field="4294967294" count="1" selected="0">
            <x v="0"/>
          </reference>
          <reference field="1" count="1" selected="0">
            <x v="11"/>
          </reference>
          <reference field="6" count="1" selected="0">
            <x v="15"/>
          </reference>
        </references>
      </pivotArea>
    </chartFormat>
    <chartFormat chart="23" format="565">
      <pivotArea type="data" outline="0" fieldPosition="0">
        <references count="3">
          <reference field="4294967294" count="1" selected="0">
            <x v="0"/>
          </reference>
          <reference field="1" count="1" selected="0">
            <x v="17"/>
          </reference>
          <reference field="6" count="1" selected="0">
            <x v="15"/>
          </reference>
        </references>
      </pivotArea>
    </chartFormat>
    <chartFormat chart="23" format="566">
      <pivotArea type="data" outline="0" fieldPosition="0">
        <references count="3">
          <reference field="4294967294" count="1" selected="0">
            <x v="0"/>
          </reference>
          <reference field="1" count="1" selected="0">
            <x v="18"/>
          </reference>
          <reference field="6" count="1" selected="0">
            <x v="15"/>
          </reference>
        </references>
      </pivotArea>
    </chartFormat>
    <chartFormat chart="23" format="567">
      <pivotArea type="data" outline="0" fieldPosition="0">
        <references count="3">
          <reference field="4294967294" count="1" selected="0">
            <x v="0"/>
          </reference>
          <reference field="1" count="1" selected="0">
            <x v="19"/>
          </reference>
          <reference field="6" count="1" selected="0">
            <x v="15"/>
          </reference>
        </references>
      </pivotArea>
    </chartFormat>
    <chartFormat chart="23" format="568">
      <pivotArea type="data" outline="0" fieldPosition="0">
        <references count="3">
          <reference field="4294967294" count="1" selected="0">
            <x v="0"/>
          </reference>
          <reference field="1" count="1" selected="0">
            <x v="24"/>
          </reference>
          <reference field="6" count="1" selected="0">
            <x v="15"/>
          </reference>
        </references>
      </pivotArea>
    </chartFormat>
    <chartFormat chart="23" format="569">
      <pivotArea type="data" outline="0" fieldPosition="0">
        <references count="3">
          <reference field="4294967294" count="1" selected="0">
            <x v="0"/>
          </reference>
          <reference field="1" count="1" selected="0">
            <x v="25"/>
          </reference>
          <reference field="6" count="1" selected="0">
            <x v="15"/>
          </reference>
        </references>
      </pivotArea>
    </chartFormat>
    <chartFormat chart="23" format="570">
      <pivotArea type="data" outline="0" fieldPosition="0">
        <references count="3">
          <reference field="4294967294" count="1" selected="0">
            <x v="0"/>
          </reference>
          <reference field="1" count="1" selected="0">
            <x v="29"/>
          </reference>
          <reference field="6" count="1" selected="0">
            <x v="15"/>
          </reference>
        </references>
      </pivotArea>
    </chartFormat>
    <chartFormat chart="23" format="571">
      <pivotArea type="data" outline="0" fieldPosition="0">
        <references count="3">
          <reference field="4294967294" count="1" selected="0">
            <x v="0"/>
          </reference>
          <reference field="1" count="1" selected="0">
            <x v="30"/>
          </reference>
          <reference field="6" count="1" selected="0">
            <x v="15"/>
          </reference>
        </references>
      </pivotArea>
    </chartFormat>
    <chartFormat chart="23" format="572">
      <pivotArea type="data" outline="0" fieldPosition="0">
        <references count="3">
          <reference field="4294967294" count="1" selected="0">
            <x v="0"/>
          </reference>
          <reference field="1" count="1" selected="0">
            <x v="31"/>
          </reference>
          <reference field="6" count="1" selected="0">
            <x v="15"/>
          </reference>
        </references>
      </pivotArea>
    </chartFormat>
    <chartFormat chart="23" format="573">
      <pivotArea type="data" outline="0" fieldPosition="0">
        <references count="3">
          <reference field="4294967294" count="1" selected="0">
            <x v="0"/>
          </reference>
          <reference field="1" count="1" selected="0">
            <x v="32"/>
          </reference>
          <reference field="6" count="1" selected="0">
            <x v="15"/>
          </reference>
        </references>
      </pivotArea>
    </chartFormat>
    <chartFormat chart="23" format="574">
      <pivotArea type="data" outline="0" fieldPosition="0">
        <references count="3">
          <reference field="4294967294" count="1" selected="0">
            <x v="0"/>
          </reference>
          <reference field="1" count="1" selected="0">
            <x v="33"/>
          </reference>
          <reference field="6" count="1" selected="0">
            <x v="15"/>
          </reference>
        </references>
      </pivotArea>
    </chartFormat>
    <chartFormat chart="23" format="575">
      <pivotArea type="data" outline="0" fieldPosition="0">
        <references count="3">
          <reference field="4294967294" count="1" selected="0">
            <x v="0"/>
          </reference>
          <reference field="1" count="1" selected="0">
            <x v="34"/>
          </reference>
          <reference field="6" count="1" selected="0">
            <x v="15"/>
          </reference>
        </references>
      </pivotArea>
    </chartFormat>
    <chartFormat chart="23" format="576">
      <pivotArea type="data" outline="0" fieldPosition="0">
        <references count="3">
          <reference field="4294967294" count="1" selected="0">
            <x v="0"/>
          </reference>
          <reference field="1" count="1" selected="0">
            <x v="35"/>
          </reference>
          <reference field="6" count="1" selected="0">
            <x v="15"/>
          </reference>
        </references>
      </pivotArea>
    </chartFormat>
    <chartFormat chart="23" format="577">
      <pivotArea type="data" outline="0" fieldPosition="0">
        <references count="3">
          <reference field="4294967294" count="1" selected="0">
            <x v="0"/>
          </reference>
          <reference field="1" count="1" selected="0">
            <x v="36"/>
          </reference>
          <reference field="6" count="1" selected="0">
            <x v="15"/>
          </reference>
        </references>
      </pivotArea>
    </chartFormat>
    <chartFormat chart="23" format="578">
      <pivotArea type="data" outline="0" fieldPosition="0">
        <references count="3">
          <reference field="4294967294" count="1" selected="0">
            <x v="0"/>
          </reference>
          <reference field="1" count="1" selected="0">
            <x v="37"/>
          </reference>
          <reference field="6" count="1" selected="0">
            <x v="15"/>
          </reference>
        </references>
      </pivotArea>
    </chartFormat>
    <chartFormat chart="23" format="579">
      <pivotArea type="data" outline="0" fieldPosition="0">
        <references count="3">
          <reference field="4294967294" count="1" selected="0">
            <x v="0"/>
          </reference>
          <reference field="1" count="1" selected="0">
            <x v="38"/>
          </reference>
          <reference field="6" count="1" selected="0">
            <x v="15"/>
          </reference>
        </references>
      </pivotArea>
    </chartFormat>
    <chartFormat chart="23" format="580">
      <pivotArea type="data" outline="0" fieldPosition="0">
        <references count="3">
          <reference field="4294967294" count="1" selected="0">
            <x v="0"/>
          </reference>
          <reference field="1" count="1" selected="0">
            <x v="39"/>
          </reference>
          <reference field="6" count="1" selected="0">
            <x v="15"/>
          </reference>
        </references>
      </pivotArea>
    </chartFormat>
    <chartFormat chart="23" format="581">
      <pivotArea type="data" outline="0" fieldPosition="0">
        <references count="3">
          <reference field="4294967294" count="1" selected="0">
            <x v="0"/>
          </reference>
          <reference field="1" count="1" selected="0">
            <x v="40"/>
          </reference>
          <reference field="6" count="1" selected="0">
            <x v="15"/>
          </reference>
        </references>
      </pivotArea>
    </chartFormat>
    <chartFormat chart="23" format="582">
      <pivotArea type="data" outline="0" fieldPosition="0">
        <references count="3">
          <reference field="4294967294" count="1" selected="0">
            <x v="0"/>
          </reference>
          <reference field="1" count="1" selected="0">
            <x v="41"/>
          </reference>
          <reference field="6" count="1" selected="0">
            <x v="15"/>
          </reference>
        </references>
      </pivotArea>
    </chartFormat>
    <chartFormat chart="23" format="583">
      <pivotArea type="data" outline="0" fieldPosition="0">
        <references count="3">
          <reference field="4294967294" count="1" selected="0">
            <x v="0"/>
          </reference>
          <reference field="1" count="1" selected="0">
            <x v="42"/>
          </reference>
          <reference field="6" count="1" selected="0">
            <x v="15"/>
          </reference>
        </references>
      </pivotArea>
    </chartFormat>
    <chartFormat chart="23" format="584">
      <pivotArea type="data" outline="0" fieldPosition="0">
        <references count="3">
          <reference field="4294967294" count="1" selected="0">
            <x v="0"/>
          </reference>
          <reference field="1" count="1" selected="0">
            <x v="43"/>
          </reference>
          <reference field="6" count="1" selected="0">
            <x v="15"/>
          </reference>
        </references>
      </pivotArea>
    </chartFormat>
    <chartFormat chart="23" format="585">
      <pivotArea type="data" outline="0" fieldPosition="0">
        <references count="3">
          <reference field="4294967294" count="1" selected="0">
            <x v="0"/>
          </reference>
          <reference field="1" count="1" selected="0">
            <x v="44"/>
          </reference>
          <reference field="6" count="1" selected="0">
            <x v="15"/>
          </reference>
        </references>
      </pivotArea>
    </chartFormat>
    <chartFormat chart="23" format="586">
      <pivotArea type="data" outline="0" fieldPosition="0">
        <references count="3">
          <reference field="4294967294" count="1" selected="0">
            <x v="0"/>
          </reference>
          <reference field="1" count="1" selected="0">
            <x v="45"/>
          </reference>
          <reference field="6" count="1" selected="0">
            <x v="15"/>
          </reference>
        </references>
      </pivotArea>
    </chartFormat>
    <chartFormat chart="23" format="587">
      <pivotArea type="data" outline="0" fieldPosition="0">
        <references count="3">
          <reference field="4294967294" count="1" selected="0">
            <x v="0"/>
          </reference>
          <reference field="1" count="1" selected="0">
            <x v="5"/>
          </reference>
          <reference field="6" count="1" selected="0">
            <x v="16"/>
          </reference>
        </references>
      </pivotArea>
    </chartFormat>
    <chartFormat chart="23" format="588">
      <pivotArea type="data" outline="0" fieldPosition="0">
        <references count="3">
          <reference field="4294967294" count="1" selected="0">
            <x v="0"/>
          </reference>
          <reference field="1" count="1" selected="0">
            <x v="11"/>
          </reference>
          <reference field="6" count="1" selected="0">
            <x v="16"/>
          </reference>
        </references>
      </pivotArea>
    </chartFormat>
    <chartFormat chart="23" format="589">
      <pivotArea type="data" outline="0" fieldPosition="0">
        <references count="3">
          <reference field="4294967294" count="1" selected="0">
            <x v="0"/>
          </reference>
          <reference field="1" count="1" selected="0">
            <x v="17"/>
          </reference>
          <reference field="6" count="1" selected="0">
            <x v="16"/>
          </reference>
        </references>
      </pivotArea>
    </chartFormat>
    <chartFormat chart="23" format="590">
      <pivotArea type="data" outline="0" fieldPosition="0">
        <references count="3">
          <reference field="4294967294" count="1" selected="0">
            <x v="0"/>
          </reference>
          <reference field="1" count="1" selected="0">
            <x v="18"/>
          </reference>
          <reference field="6" count="1" selected="0">
            <x v="16"/>
          </reference>
        </references>
      </pivotArea>
    </chartFormat>
    <chartFormat chart="23" format="591">
      <pivotArea type="data" outline="0" fieldPosition="0">
        <references count="3">
          <reference field="4294967294" count="1" selected="0">
            <x v="0"/>
          </reference>
          <reference field="1" count="1" selected="0">
            <x v="19"/>
          </reference>
          <reference field="6" count="1" selected="0">
            <x v="16"/>
          </reference>
        </references>
      </pivotArea>
    </chartFormat>
    <chartFormat chart="23" format="592">
      <pivotArea type="data" outline="0" fieldPosition="0">
        <references count="3">
          <reference field="4294967294" count="1" selected="0">
            <x v="0"/>
          </reference>
          <reference field="1" count="1" selected="0">
            <x v="24"/>
          </reference>
          <reference field="6" count="1" selected="0">
            <x v="16"/>
          </reference>
        </references>
      </pivotArea>
    </chartFormat>
    <chartFormat chart="23" format="593">
      <pivotArea type="data" outline="0" fieldPosition="0">
        <references count="3">
          <reference field="4294967294" count="1" selected="0">
            <x v="0"/>
          </reference>
          <reference field="1" count="1" selected="0">
            <x v="25"/>
          </reference>
          <reference field="6" count="1" selected="0">
            <x v="16"/>
          </reference>
        </references>
      </pivotArea>
    </chartFormat>
    <chartFormat chart="23" format="594">
      <pivotArea type="data" outline="0" fieldPosition="0">
        <references count="3">
          <reference field="4294967294" count="1" selected="0">
            <x v="0"/>
          </reference>
          <reference field="1" count="1" selected="0">
            <x v="29"/>
          </reference>
          <reference field="6" count="1" selected="0">
            <x v="16"/>
          </reference>
        </references>
      </pivotArea>
    </chartFormat>
    <chartFormat chart="23" format="595">
      <pivotArea type="data" outline="0" fieldPosition="0">
        <references count="3">
          <reference field="4294967294" count="1" selected="0">
            <x v="0"/>
          </reference>
          <reference field="1" count="1" selected="0">
            <x v="30"/>
          </reference>
          <reference field="6" count="1" selected="0">
            <x v="16"/>
          </reference>
        </references>
      </pivotArea>
    </chartFormat>
    <chartFormat chart="23" format="596">
      <pivotArea type="data" outline="0" fieldPosition="0">
        <references count="3">
          <reference field="4294967294" count="1" selected="0">
            <x v="0"/>
          </reference>
          <reference field="1" count="1" selected="0">
            <x v="31"/>
          </reference>
          <reference field="6" count="1" selected="0">
            <x v="16"/>
          </reference>
        </references>
      </pivotArea>
    </chartFormat>
    <chartFormat chart="23" format="597">
      <pivotArea type="data" outline="0" fieldPosition="0">
        <references count="3">
          <reference field="4294967294" count="1" selected="0">
            <x v="0"/>
          </reference>
          <reference field="1" count="1" selected="0">
            <x v="32"/>
          </reference>
          <reference field="6" count="1" selected="0">
            <x v="16"/>
          </reference>
        </references>
      </pivotArea>
    </chartFormat>
    <chartFormat chart="23" format="598">
      <pivotArea type="data" outline="0" fieldPosition="0">
        <references count="3">
          <reference field="4294967294" count="1" selected="0">
            <x v="0"/>
          </reference>
          <reference field="1" count="1" selected="0">
            <x v="33"/>
          </reference>
          <reference field="6" count="1" selected="0">
            <x v="16"/>
          </reference>
        </references>
      </pivotArea>
    </chartFormat>
    <chartFormat chart="23" format="599">
      <pivotArea type="data" outline="0" fieldPosition="0">
        <references count="3">
          <reference field="4294967294" count="1" selected="0">
            <x v="0"/>
          </reference>
          <reference field="1" count="1" selected="0">
            <x v="34"/>
          </reference>
          <reference field="6" count="1" selected="0">
            <x v="16"/>
          </reference>
        </references>
      </pivotArea>
    </chartFormat>
    <chartFormat chart="23" format="600">
      <pivotArea type="data" outline="0" fieldPosition="0">
        <references count="3">
          <reference field="4294967294" count="1" selected="0">
            <x v="0"/>
          </reference>
          <reference field="1" count="1" selected="0">
            <x v="35"/>
          </reference>
          <reference field="6" count="1" selected="0">
            <x v="16"/>
          </reference>
        </references>
      </pivotArea>
    </chartFormat>
    <chartFormat chart="23" format="601">
      <pivotArea type="data" outline="0" fieldPosition="0">
        <references count="3">
          <reference field="4294967294" count="1" selected="0">
            <x v="0"/>
          </reference>
          <reference field="1" count="1" selected="0">
            <x v="36"/>
          </reference>
          <reference field="6" count="1" selected="0">
            <x v="16"/>
          </reference>
        </references>
      </pivotArea>
    </chartFormat>
    <chartFormat chart="23" format="602">
      <pivotArea type="data" outline="0" fieldPosition="0">
        <references count="3">
          <reference field="4294967294" count="1" selected="0">
            <x v="0"/>
          </reference>
          <reference field="1" count="1" selected="0">
            <x v="37"/>
          </reference>
          <reference field="6" count="1" selected="0">
            <x v="16"/>
          </reference>
        </references>
      </pivotArea>
    </chartFormat>
    <chartFormat chart="23" format="603">
      <pivotArea type="data" outline="0" fieldPosition="0">
        <references count="3">
          <reference field="4294967294" count="1" selected="0">
            <x v="0"/>
          </reference>
          <reference field="1" count="1" selected="0">
            <x v="38"/>
          </reference>
          <reference field="6" count="1" selected="0">
            <x v="16"/>
          </reference>
        </references>
      </pivotArea>
    </chartFormat>
    <chartFormat chart="23" format="604">
      <pivotArea type="data" outline="0" fieldPosition="0">
        <references count="3">
          <reference field="4294967294" count="1" selected="0">
            <x v="0"/>
          </reference>
          <reference field="1" count="1" selected="0">
            <x v="39"/>
          </reference>
          <reference field="6" count="1" selected="0">
            <x v="16"/>
          </reference>
        </references>
      </pivotArea>
    </chartFormat>
    <chartFormat chart="23" format="605">
      <pivotArea type="data" outline="0" fieldPosition="0">
        <references count="3">
          <reference field="4294967294" count="1" selected="0">
            <x v="0"/>
          </reference>
          <reference field="1" count="1" selected="0">
            <x v="40"/>
          </reference>
          <reference field="6" count="1" selected="0">
            <x v="16"/>
          </reference>
        </references>
      </pivotArea>
    </chartFormat>
    <chartFormat chart="23" format="606">
      <pivotArea type="data" outline="0" fieldPosition="0">
        <references count="3">
          <reference field="4294967294" count="1" selected="0">
            <x v="0"/>
          </reference>
          <reference field="1" count="1" selected="0">
            <x v="41"/>
          </reference>
          <reference field="6" count="1" selected="0">
            <x v="16"/>
          </reference>
        </references>
      </pivotArea>
    </chartFormat>
    <chartFormat chart="23" format="607">
      <pivotArea type="data" outline="0" fieldPosition="0">
        <references count="3">
          <reference field="4294967294" count="1" selected="0">
            <x v="0"/>
          </reference>
          <reference field="1" count="1" selected="0">
            <x v="42"/>
          </reference>
          <reference field="6" count="1" selected="0">
            <x v="16"/>
          </reference>
        </references>
      </pivotArea>
    </chartFormat>
    <chartFormat chart="23" format="608">
      <pivotArea type="data" outline="0" fieldPosition="0">
        <references count="3">
          <reference field="4294967294" count="1" selected="0">
            <x v="0"/>
          </reference>
          <reference field="1" count="1" selected="0">
            <x v="43"/>
          </reference>
          <reference field="6" count="1" selected="0">
            <x v="16"/>
          </reference>
        </references>
      </pivotArea>
    </chartFormat>
    <chartFormat chart="23" format="609">
      <pivotArea type="data" outline="0" fieldPosition="0">
        <references count="3">
          <reference field="4294967294" count="1" selected="0">
            <x v="0"/>
          </reference>
          <reference field="1" count="1" selected="0">
            <x v="44"/>
          </reference>
          <reference field="6" count="1" selected="0">
            <x v="16"/>
          </reference>
        </references>
      </pivotArea>
    </chartFormat>
    <chartFormat chart="23" format="610">
      <pivotArea type="data" outline="0" fieldPosition="0">
        <references count="3">
          <reference field="4294967294" count="1" selected="0">
            <x v="0"/>
          </reference>
          <reference field="1" count="1" selected="0">
            <x v="45"/>
          </reference>
          <reference field="6" count="1" selected="0">
            <x v="16"/>
          </reference>
        </references>
      </pivotArea>
    </chartFormat>
    <chartFormat chart="23" format="611">
      <pivotArea type="data" outline="0" fieldPosition="0">
        <references count="3">
          <reference field="4294967294" count="1" selected="0">
            <x v="0"/>
          </reference>
          <reference field="1" count="1" selected="0">
            <x v="5"/>
          </reference>
          <reference field="6" count="1" selected="0">
            <x v="17"/>
          </reference>
        </references>
      </pivotArea>
    </chartFormat>
    <chartFormat chart="23" format="612">
      <pivotArea type="data" outline="0" fieldPosition="0">
        <references count="3">
          <reference field="4294967294" count="1" selected="0">
            <x v="0"/>
          </reference>
          <reference field="1" count="1" selected="0">
            <x v="11"/>
          </reference>
          <reference field="6" count="1" selected="0">
            <x v="17"/>
          </reference>
        </references>
      </pivotArea>
    </chartFormat>
    <chartFormat chart="23" format="613">
      <pivotArea type="data" outline="0" fieldPosition="0">
        <references count="3">
          <reference field="4294967294" count="1" selected="0">
            <x v="0"/>
          </reference>
          <reference field="1" count="1" selected="0">
            <x v="17"/>
          </reference>
          <reference field="6" count="1" selected="0">
            <x v="17"/>
          </reference>
        </references>
      </pivotArea>
    </chartFormat>
    <chartFormat chart="23" format="614">
      <pivotArea type="data" outline="0" fieldPosition="0">
        <references count="3">
          <reference field="4294967294" count="1" selected="0">
            <x v="0"/>
          </reference>
          <reference field="1" count="1" selected="0">
            <x v="18"/>
          </reference>
          <reference field="6" count="1" selected="0">
            <x v="17"/>
          </reference>
        </references>
      </pivotArea>
    </chartFormat>
    <chartFormat chart="23" format="615">
      <pivotArea type="data" outline="0" fieldPosition="0">
        <references count="3">
          <reference field="4294967294" count="1" selected="0">
            <x v="0"/>
          </reference>
          <reference field="1" count="1" selected="0">
            <x v="19"/>
          </reference>
          <reference field="6" count="1" selected="0">
            <x v="17"/>
          </reference>
        </references>
      </pivotArea>
    </chartFormat>
    <chartFormat chart="23" format="616">
      <pivotArea type="data" outline="0" fieldPosition="0">
        <references count="3">
          <reference field="4294967294" count="1" selected="0">
            <x v="0"/>
          </reference>
          <reference field="1" count="1" selected="0">
            <x v="24"/>
          </reference>
          <reference field="6" count="1" selected="0">
            <x v="17"/>
          </reference>
        </references>
      </pivotArea>
    </chartFormat>
    <chartFormat chart="23" format="617">
      <pivotArea type="data" outline="0" fieldPosition="0">
        <references count="3">
          <reference field="4294967294" count="1" selected="0">
            <x v="0"/>
          </reference>
          <reference field="1" count="1" selected="0">
            <x v="25"/>
          </reference>
          <reference field="6" count="1" selected="0">
            <x v="17"/>
          </reference>
        </references>
      </pivotArea>
    </chartFormat>
    <chartFormat chart="23" format="618">
      <pivotArea type="data" outline="0" fieldPosition="0">
        <references count="3">
          <reference field="4294967294" count="1" selected="0">
            <x v="0"/>
          </reference>
          <reference field="1" count="1" selected="0">
            <x v="29"/>
          </reference>
          <reference field="6" count="1" selected="0">
            <x v="17"/>
          </reference>
        </references>
      </pivotArea>
    </chartFormat>
    <chartFormat chart="23" format="619">
      <pivotArea type="data" outline="0" fieldPosition="0">
        <references count="3">
          <reference field="4294967294" count="1" selected="0">
            <x v="0"/>
          </reference>
          <reference field="1" count="1" selected="0">
            <x v="30"/>
          </reference>
          <reference field="6" count="1" selected="0">
            <x v="17"/>
          </reference>
        </references>
      </pivotArea>
    </chartFormat>
    <chartFormat chart="23" format="620">
      <pivotArea type="data" outline="0" fieldPosition="0">
        <references count="3">
          <reference field="4294967294" count="1" selected="0">
            <x v="0"/>
          </reference>
          <reference field="1" count="1" selected="0">
            <x v="31"/>
          </reference>
          <reference field="6" count="1" selected="0">
            <x v="17"/>
          </reference>
        </references>
      </pivotArea>
    </chartFormat>
    <chartFormat chart="23" format="621">
      <pivotArea type="data" outline="0" fieldPosition="0">
        <references count="3">
          <reference field="4294967294" count="1" selected="0">
            <x v="0"/>
          </reference>
          <reference field="1" count="1" selected="0">
            <x v="32"/>
          </reference>
          <reference field="6" count="1" selected="0">
            <x v="17"/>
          </reference>
        </references>
      </pivotArea>
    </chartFormat>
    <chartFormat chart="23" format="622">
      <pivotArea type="data" outline="0" fieldPosition="0">
        <references count="3">
          <reference field="4294967294" count="1" selected="0">
            <x v="0"/>
          </reference>
          <reference field="1" count="1" selected="0">
            <x v="33"/>
          </reference>
          <reference field="6" count="1" selected="0">
            <x v="17"/>
          </reference>
        </references>
      </pivotArea>
    </chartFormat>
    <chartFormat chart="23" format="623">
      <pivotArea type="data" outline="0" fieldPosition="0">
        <references count="3">
          <reference field="4294967294" count="1" selected="0">
            <x v="0"/>
          </reference>
          <reference field="1" count="1" selected="0">
            <x v="34"/>
          </reference>
          <reference field="6" count="1" selected="0">
            <x v="17"/>
          </reference>
        </references>
      </pivotArea>
    </chartFormat>
    <chartFormat chart="23" format="624">
      <pivotArea type="data" outline="0" fieldPosition="0">
        <references count="3">
          <reference field="4294967294" count="1" selected="0">
            <x v="0"/>
          </reference>
          <reference field="1" count="1" selected="0">
            <x v="35"/>
          </reference>
          <reference field="6" count="1" selected="0">
            <x v="17"/>
          </reference>
        </references>
      </pivotArea>
    </chartFormat>
    <chartFormat chart="23" format="625">
      <pivotArea type="data" outline="0" fieldPosition="0">
        <references count="3">
          <reference field="4294967294" count="1" selected="0">
            <x v="0"/>
          </reference>
          <reference field="1" count="1" selected="0">
            <x v="36"/>
          </reference>
          <reference field="6" count="1" selected="0">
            <x v="17"/>
          </reference>
        </references>
      </pivotArea>
    </chartFormat>
    <chartFormat chart="23" format="626">
      <pivotArea type="data" outline="0" fieldPosition="0">
        <references count="3">
          <reference field="4294967294" count="1" selected="0">
            <x v="0"/>
          </reference>
          <reference field="1" count="1" selected="0">
            <x v="37"/>
          </reference>
          <reference field="6" count="1" selected="0">
            <x v="17"/>
          </reference>
        </references>
      </pivotArea>
    </chartFormat>
    <chartFormat chart="23" format="627">
      <pivotArea type="data" outline="0" fieldPosition="0">
        <references count="3">
          <reference field="4294967294" count="1" selected="0">
            <x v="0"/>
          </reference>
          <reference field="1" count="1" selected="0">
            <x v="38"/>
          </reference>
          <reference field="6" count="1" selected="0">
            <x v="17"/>
          </reference>
        </references>
      </pivotArea>
    </chartFormat>
    <chartFormat chart="23" format="628">
      <pivotArea type="data" outline="0" fieldPosition="0">
        <references count="3">
          <reference field="4294967294" count="1" selected="0">
            <x v="0"/>
          </reference>
          <reference field="1" count="1" selected="0">
            <x v="39"/>
          </reference>
          <reference field="6" count="1" selected="0">
            <x v="17"/>
          </reference>
        </references>
      </pivotArea>
    </chartFormat>
    <chartFormat chart="23" format="629">
      <pivotArea type="data" outline="0" fieldPosition="0">
        <references count="3">
          <reference field="4294967294" count="1" selected="0">
            <x v="0"/>
          </reference>
          <reference field="1" count="1" selected="0">
            <x v="40"/>
          </reference>
          <reference field="6" count="1" selected="0">
            <x v="17"/>
          </reference>
        </references>
      </pivotArea>
    </chartFormat>
    <chartFormat chart="23" format="630">
      <pivotArea type="data" outline="0" fieldPosition="0">
        <references count="3">
          <reference field="4294967294" count="1" selected="0">
            <x v="0"/>
          </reference>
          <reference field="1" count="1" selected="0">
            <x v="41"/>
          </reference>
          <reference field="6" count="1" selected="0">
            <x v="17"/>
          </reference>
        </references>
      </pivotArea>
    </chartFormat>
    <chartFormat chart="23" format="631">
      <pivotArea type="data" outline="0" fieldPosition="0">
        <references count="3">
          <reference field="4294967294" count="1" selected="0">
            <x v="0"/>
          </reference>
          <reference field="1" count="1" selected="0">
            <x v="42"/>
          </reference>
          <reference field="6" count="1" selected="0">
            <x v="17"/>
          </reference>
        </references>
      </pivotArea>
    </chartFormat>
    <chartFormat chart="23" format="632">
      <pivotArea type="data" outline="0" fieldPosition="0">
        <references count="3">
          <reference field="4294967294" count="1" selected="0">
            <x v="0"/>
          </reference>
          <reference field="1" count="1" selected="0">
            <x v="43"/>
          </reference>
          <reference field="6" count="1" selected="0">
            <x v="17"/>
          </reference>
        </references>
      </pivotArea>
    </chartFormat>
    <chartFormat chart="23" format="633">
      <pivotArea type="data" outline="0" fieldPosition="0">
        <references count="3">
          <reference field="4294967294" count="1" selected="0">
            <x v="0"/>
          </reference>
          <reference field="1" count="1" selected="0">
            <x v="44"/>
          </reference>
          <reference field="6" count="1" selected="0">
            <x v="17"/>
          </reference>
        </references>
      </pivotArea>
    </chartFormat>
    <chartFormat chart="23" format="634">
      <pivotArea type="data" outline="0" fieldPosition="0">
        <references count="3">
          <reference field="4294967294" count="1" selected="0">
            <x v="0"/>
          </reference>
          <reference field="1" count="1" selected="0">
            <x v="45"/>
          </reference>
          <reference field="6" count="1" selected="0">
            <x v="17"/>
          </reference>
        </references>
      </pivotArea>
    </chartFormat>
    <chartFormat chart="23" format="635">
      <pivotArea type="data" outline="0" fieldPosition="0">
        <references count="3">
          <reference field="4294967294" count="1" selected="0">
            <x v="0"/>
          </reference>
          <reference field="1" count="1" selected="0">
            <x v="5"/>
          </reference>
          <reference field="6" count="1" selected="0">
            <x v="18"/>
          </reference>
        </references>
      </pivotArea>
    </chartFormat>
    <chartFormat chart="23" format="636">
      <pivotArea type="data" outline="0" fieldPosition="0">
        <references count="3">
          <reference field="4294967294" count="1" selected="0">
            <x v="0"/>
          </reference>
          <reference field="1" count="1" selected="0">
            <x v="11"/>
          </reference>
          <reference field="6" count="1" selected="0">
            <x v="18"/>
          </reference>
        </references>
      </pivotArea>
    </chartFormat>
    <chartFormat chart="23" format="637">
      <pivotArea type="data" outline="0" fieldPosition="0">
        <references count="3">
          <reference field="4294967294" count="1" selected="0">
            <x v="0"/>
          </reference>
          <reference field="1" count="1" selected="0">
            <x v="17"/>
          </reference>
          <reference field="6" count="1" selected="0">
            <x v="18"/>
          </reference>
        </references>
      </pivotArea>
    </chartFormat>
    <chartFormat chart="23" format="638">
      <pivotArea type="data" outline="0" fieldPosition="0">
        <references count="3">
          <reference field="4294967294" count="1" selected="0">
            <x v="0"/>
          </reference>
          <reference field="1" count="1" selected="0">
            <x v="18"/>
          </reference>
          <reference field="6" count="1" selected="0">
            <x v="18"/>
          </reference>
        </references>
      </pivotArea>
    </chartFormat>
    <chartFormat chart="23" format="639">
      <pivotArea type="data" outline="0" fieldPosition="0">
        <references count="3">
          <reference field="4294967294" count="1" selected="0">
            <x v="0"/>
          </reference>
          <reference field="1" count="1" selected="0">
            <x v="19"/>
          </reference>
          <reference field="6" count="1" selected="0">
            <x v="18"/>
          </reference>
        </references>
      </pivotArea>
    </chartFormat>
    <chartFormat chart="23" format="640">
      <pivotArea type="data" outline="0" fieldPosition="0">
        <references count="3">
          <reference field="4294967294" count="1" selected="0">
            <x v="0"/>
          </reference>
          <reference field="1" count="1" selected="0">
            <x v="24"/>
          </reference>
          <reference field="6" count="1" selected="0">
            <x v="18"/>
          </reference>
        </references>
      </pivotArea>
    </chartFormat>
    <chartFormat chart="23" format="641">
      <pivotArea type="data" outline="0" fieldPosition="0">
        <references count="3">
          <reference field="4294967294" count="1" selected="0">
            <x v="0"/>
          </reference>
          <reference field="1" count="1" selected="0">
            <x v="25"/>
          </reference>
          <reference field="6" count="1" selected="0">
            <x v="18"/>
          </reference>
        </references>
      </pivotArea>
    </chartFormat>
    <chartFormat chart="23" format="642">
      <pivotArea type="data" outline="0" fieldPosition="0">
        <references count="3">
          <reference field="4294967294" count="1" selected="0">
            <x v="0"/>
          </reference>
          <reference field="1" count="1" selected="0">
            <x v="29"/>
          </reference>
          <reference field="6" count="1" selected="0">
            <x v="18"/>
          </reference>
        </references>
      </pivotArea>
    </chartFormat>
    <chartFormat chart="23" format="643">
      <pivotArea type="data" outline="0" fieldPosition="0">
        <references count="3">
          <reference field="4294967294" count="1" selected="0">
            <x v="0"/>
          </reference>
          <reference field="1" count="1" selected="0">
            <x v="30"/>
          </reference>
          <reference field="6" count="1" selected="0">
            <x v="18"/>
          </reference>
        </references>
      </pivotArea>
    </chartFormat>
    <chartFormat chart="23" format="644">
      <pivotArea type="data" outline="0" fieldPosition="0">
        <references count="3">
          <reference field="4294967294" count="1" selected="0">
            <x v="0"/>
          </reference>
          <reference field="1" count="1" selected="0">
            <x v="31"/>
          </reference>
          <reference field="6" count="1" selected="0">
            <x v="18"/>
          </reference>
        </references>
      </pivotArea>
    </chartFormat>
    <chartFormat chart="23" format="645">
      <pivotArea type="data" outline="0" fieldPosition="0">
        <references count="3">
          <reference field="4294967294" count="1" selected="0">
            <x v="0"/>
          </reference>
          <reference field="1" count="1" selected="0">
            <x v="32"/>
          </reference>
          <reference field="6" count="1" selected="0">
            <x v="18"/>
          </reference>
        </references>
      </pivotArea>
    </chartFormat>
    <chartFormat chart="23" format="646">
      <pivotArea type="data" outline="0" fieldPosition="0">
        <references count="3">
          <reference field="4294967294" count="1" selected="0">
            <x v="0"/>
          </reference>
          <reference field="1" count="1" selected="0">
            <x v="33"/>
          </reference>
          <reference field="6" count="1" selected="0">
            <x v="18"/>
          </reference>
        </references>
      </pivotArea>
    </chartFormat>
    <chartFormat chart="23" format="647">
      <pivotArea type="data" outline="0" fieldPosition="0">
        <references count="3">
          <reference field="4294967294" count="1" selected="0">
            <x v="0"/>
          </reference>
          <reference field="1" count="1" selected="0">
            <x v="34"/>
          </reference>
          <reference field="6" count="1" selected="0">
            <x v="18"/>
          </reference>
        </references>
      </pivotArea>
    </chartFormat>
    <chartFormat chart="23" format="648">
      <pivotArea type="data" outline="0" fieldPosition="0">
        <references count="3">
          <reference field="4294967294" count="1" selected="0">
            <x v="0"/>
          </reference>
          <reference field="1" count="1" selected="0">
            <x v="35"/>
          </reference>
          <reference field="6" count="1" selected="0">
            <x v="18"/>
          </reference>
        </references>
      </pivotArea>
    </chartFormat>
    <chartFormat chart="23" format="649">
      <pivotArea type="data" outline="0" fieldPosition="0">
        <references count="3">
          <reference field="4294967294" count="1" selected="0">
            <x v="0"/>
          </reference>
          <reference field="1" count="1" selected="0">
            <x v="36"/>
          </reference>
          <reference field="6" count="1" selected="0">
            <x v="18"/>
          </reference>
        </references>
      </pivotArea>
    </chartFormat>
    <chartFormat chart="23" format="650">
      <pivotArea type="data" outline="0" fieldPosition="0">
        <references count="3">
          <reference field="4294967294" count="1" selected="0">
            <x v="0"/>
          </reference>
          <reference field="1" count="1" selected="0">
            <x v="37"/>
          </reference>
          <reference field="6" count="1" selected="0">
            <x v="18"/>
          </reference>
        </references>
      </pivotArea>
    </chartFormat>
    <chartFormat chart="23" format="651">
      <pivotArea type="data" outline="0" fieldPosition="0">
        <references count="3">
          <reference field="4294967294" count="1" selected="0">
            <x v="0"/>
          </reference>
          <reference field="1" count="1" selected="0">
            <x v="38"/>
          </reference>
          <reference field="6" count="1" selected="0">
            <x v="18"/>
          </reference>
        </references>
      </pivotArea>
    </chartFormat>
    <chartFormat chart="23" format="652">
      <pivotArea type="data" outline="0" fieldPosition="0">
        <references count="3">
          <reference field="4294967294" count="1" selected="0">
            <x v="0"/>
          </reference>
          <reference field="1" count="1" selected="0">
            <x v="39"/>
          </reference>
          <reference field="6" count="1" selected="0">
            <x v="18"/>
          </reference>
        </references>
      </pivotArea>
    </chartFormat>
    <chartFormat chart="23" format="653">
      <pivotArea type="data" outline="0" fieldPosition="0">
        <references count="3">
          <reference field="4294967294" count="1" selected="0">
            <x v="0"/>
          </reference>
          <reference field="1" count="1" selected="0">
            <x v="40"/>
          </reference>
          <reference field="6" count="1" selected="0">
            <x v="18"/>
          </reference>
        </references>
      </pivotArea>
    </chartFormat>
    <chartFormat chart="23" format="654">
      <pivotArea type="data" outline="0" fieldPosition="0">
        <references count="3">
          <reference field="4294967294" count="1" selected="0">
            <x v="0"/>
          </reference>
          <reference field="1" count="1" selected="0">
            <x v="41"/>
          </reference>
          <reference field="6" count="1" selected="0">
            <x v="18"/>
          </reference>
        </references>
      </pivotArea>
    </chartFormat>
    <chartFormat chart="23" format="655">
      <pivotArea type="data" outline="0" fieldPosition="0">
        <references count="3">
          <reference field="4294967294" count="1" selected="0">
            <x v="0"/>
          </reference>
          <reference field="1" count="1" selected="0">
            <x v="42"/>
          </reference>
          <reference field="6" count="1" selected="0">
            <x v="18"/>
          </reference>
        </references>
      </pivotArea>
    </chartFormat>
    <chartFormat chart="23" format="656">
      <pivotArea type="data" outline="0" fieldPosition="0">
        <references count="3">
          <reference field="4294967294" count="1" selected="0">
            <x v="0"/>
          </reference>
          <reference field="1" count="1" selected="0">
            <x v="43"/>
          </reference>
          <reference field="6" count="1" selected="0">
            <x v="18"/>
          </reference>
        </references>
      </pivotArea>
    </chartFormat>
    <chartFormat chart="23" format="657">
      <pivotArea type="data" outline="0" fieldPosition="0">
        <references count="3">
          <reference field="4294967294" count="1" selected="0">
            <x v="0"/>
          </reference>
          <reference field="1" count="1" selected="0">
            <x v="44"/>
          </reference>
          <reference field="6" count="1" selected="0">
            <x v="18"/>
          </reference>
        </references>
      </pivotArea>
    </chartFormat>
    <chartFormat chart="23" format="658">
      <pivotArea type="data" outline="0" fieldPosition="0">
        <references count="3">
          <reference field="4294967294" count="1" selected="0">
            <x v="0"/>
          </reference>
          <reference field="1" count="1" selected="0">
            <x v="45"/>
          </reference>
          <reference field="6" count="1" selected="0">
            <x v="18"/>
          </reference>
        </references>
      </pivotArea>
    </chartFormat>
    <chartFormat chart="23" format="659">
      <pivotArea type="data" outline="0" fieldPosition="0">
        <references count="3">
          <reference field="4294967294" count="1" selected="0">
            <x v="0"/>
          </reference>
          <reference field="1" count="1" selected="0">
            <x v="5"/>
          </reference>
          <reference field="6" count="1" selected="0">
            <x v="19"/>
          </reference>
        </references>
      </pivotArea>
    </chartFormat>
    <chartFormat chart="23" format="660">
      <pivotArea type="data" outline="0" fieldPosition="0">
        <references count="3">
          <reference field="4294967294" count="1" selected="0">
            <x v="0"/>
          </reference>
          <reference field="1" count="1" selected="0">
            <x v="11"/>
          </reference>
          <reference field="6" count="1" selected="0">
            <x v="19"/>
          </reference>
        </references>
      </pivotArea>
    </chartFormat>
    <chartFormat chart="23" format="661">
      <pivotArea type="data" outline="0" fieldPosition="0">
        <references count="3">
          <reference field="4294967294" count="1" selected="0">
            <x v="0"/>
          </reference>
          <reference field="1" count="1" selected="0">
            <x v="17"/>
          </reference>
          <reference field="6" count="1" selected="0">
            <x v="19"/>
          </reference>
        </references>
      </pivotArea>
    </chartFormat>
    <chartFormat chart="23" format="662">
      <pivotArea type="data" outline="0" fieldPosition="0">
        <references count="3">
          <reference field="4294967294" count="1" selected="0">
            <x v="0"/>
          </reference>
          <reference field="1" count="1" selected="0">
            <x v="18"/>
          </reference>
          <reference field="6" count="1" selected="0">
            <x v="19"/>
          </reference>
        </references>
      </pivotArea>
    </chartFormat>
    <chartFormat chart="23" format="663">
      <pivotArea type="data" outline="0" fieldPosition="0">
        <references count="3">
          <reference field="4294967294" count="1" selected="0">
            <x v="0"/>
          </reference>
          <reference field="1" count="1" selected="0">
            <x v="19"/>
          </reference>
          <reference field="6" count="1" selected="0">
            <x v="19"/>
          </reference>
        </references>
      </pivotArea>
    </chartFormat>
    <chartFormat chart="23" format="664">
      <pivotArea type="data" outline="0" fieldPosition="0">
        <references count="3">
          <reference field="4294967294" count="1" selected="0">
            <x v="0"/>
          </reference>
          <reference field="1" count="1" selected="0">
            <x v="24"/>
          </reference>
          <reference field="6" count="1" selected="0">
            <x v="19"/>
          </reference>
        </references>
      </pivotArea>
    </chartFormat>
    <chartFormat chart="23" format="665">
      <pivotArea type="data" outline="0" fieldPosition="0">
        <references count="3">
          <reference field="4294967294" count="1" selected="0">
            <x v="0"/>
          </reference>
          <reference field="1" count="1" selected="0">
            <x v="25"/>
          </reference>
          <reference field="6" count="1" selected="0">
            <x v="19"/>
          </reference>
        </references>
      </pivotArea>
    </chartFormat>
    <chartFormat chart="23" format="666">
      <pivotArea type="data" outline="0" fieldPosition="0">
        <references count="3">
          <reference field="4294967294" count="1" selected="0">
            <x v="0"/>
          </reference>
          <reference field="1" count="1" selected="0">
            <x v="29"/>
          </reference>
          <reference field="6" count="1" selected="0">
            <x v="19"/>
          </reference>
        </references>
      </pivotArea>
    </chartFormat>
    <chartFormat chart="23" format="667">
      <pivotArea type="data" outline="0" fieldPosition="0">
        <references count="3">
          <reference field="4294967294" count="1" selected="0">
            <x v="0"/>
          </reference>
          <reference field="1" count="1" selected="0">
            <x v="30"/>
          </reference>
          <reference field="6" count="1" selected="0">
            <x v="19"/>
          </reference>
        </references>
      </pivotArea>
    </chartFormat>
    <chartFormat chart="23" format="668">
      <pivotArea type="data" outline="0" fieldPosition="0">
        <references count="3">
          <reference field="4294967294" count="1" selected="0">
            <x v="0"/>
          </reference>
          <reference field="1" count="1" selected="0">
            <x v="31"/>
          </reference>
          <reference field="6" count="1" selected="0">
            <x v="19"/>
          </reference>
        </references>
      </pivotArea>
    </chartFormat>
    <chartFormat chart="23" format="669">
      <pivotArea type="data" outline="0" fieldPosition="0">
        <references count="3">
          <reference field="4294967294" count="1" selected="0">
            <x v="0"/>
          </reference>
          <reference field="1" count="1" selected="0">
            <x v="32"/>
          </reference>
          <reference field="6" count="1" selected="0">
            <x v="19"/>
          </reference>
        </references>
      </pivotArea>
    </chartFormat>
    <chartFormat chart="23" format="670">
      <pivotArea type="data" outline="0" fieldPosition="0">
        <references count="3">
          <reference field="4294967294" count="1" selected="0">
            <x v="0"/>
          </reference>
          <reference field="1" count="1" selected="0">
            <x v="33"/>
          </reference>
          <reference field="6" count="1" selected="0">
            <x v="19"/>
          </reference>
        </references>
      </pivotArea>
    </chartFormat>
    <chartFormat chart="23" format="671">
      <pivotArea type="data" outline="0" fieldPosition="0">
        <references count="3">
          <reference field="4294967294" count="1" selected="0">
            <x v="0"/>
          </reference>
          <reference field="1" count="1" selected="0">
            <x v="34"/>
          </reference>
          <reference field="6" count="1" selected="0">
            <x v="19"/>
          </reference>
        </references>
      </pivotArea>
    </chartFormat>
    <chartFormat chart="23" format="672">
      <pivotArea type="data" outline="0" fieldPosition="0">
        <references count="3">
          <reference field="4294967294" count="1" selected="0">
            <x v="0"/>
          </reference>
          <reference field="1" count="1" selected="0">
            <x v="35"/>
          </reference>
          <reference field="6" count="1" selected="0">
            <x v="19"/>
          </reference>
        </references>
      </pivotArea>
    </chartFormat>
    <chartFormat chart="23" format="673">
      <pivotArea type="data" outline="0" fieldPosition="0">
        <references count="3">
          <reference field="4294967294" count="1" selected="0">
            <x v="0"/>
          </reference>
          <reference field="1" count="1" selected="0">
            <x v="36"/>
          </reference>
          <reference field="6" count="1" selected="0">
            <x v="19"/>
          </reference>
        </references>
      </pivotArea>
    </chartFormat>
    <chartFormat chart="23" format="674">
      <pivotArea type="data" outline="0" fieldPosition="0">
        <references count="3">
          <reference field="4294967294" count="1" selected="0">
            <x v="0"/>
          </reference>
          <reference field="1" count="1" selected="0">
            <x v="37"/>
          </reference>
          <reference field="6" count="1" selected="0">
            <x v="19"/>
          </reference>
        </references>
      </pivotArea>
    </chartFormat>
    <chartFormat chart="23" format="675">
      <pivotArea type="data" outline="0" fieldPosition="0">
        <references count="3">
          <reference field="4294967294" count="1" selected="0">
            <x v="0"/>
          </reference>
          <reference field="1" count="1" selected="0">
            <x v="38"/>
          </reference>
          <reference field="6" count="1" selected="0">
            <x v="19"/>
          </reference>
        </references>
      </pivotArea>
    </chartFormat>
    <chartFormat chart="23" format="676">
      <pivotArea type="data" outline="0" fieldPosition="0">
        <references count="3">
          <reference field="4294967294" count="1" selected="0">
            <x v="0"/>
          </reference>
          <reference field="1" count="1" selected="0">
            <x v="39"/>
          </reference>
          <reference field="6" count="1" selected="0">
            <x v="19"/>
          </reference>
        </references>
      </pivotArea>
    </chartFormat>
    <chartFormat chart="23" format="677">
      <pivotArea type="data" outline="0" fieldPosition="0">
        <references count="3">
          <reference field="4294967294" count="1" selected="0">
            <x v="0"/>
          </reference>
          <reference field="1" count="1" selected="0">
            <x v="40"/>
          </reference>
          <reference field="6" count="1" selected="0">
            <x v="19"/>
          </reference>
        </references>
      </pivotArea>
    </chartFormat>
    <chartFormat chart="23" format="678">
      <pivotArea type="data" outline="0" fieldPosition="0">
        <references count="3">
          <reference field="4294967294" count="1" selected="0">
            <x v="0"/>
          </reference>
          <reference field="1" count="1" selected="0">
            <x v="41"/>
          </reference>
          <reference field="6" count="1" selected="0">
            <x v="19"/>
          </reference>
        </references>
      </pivotArea>
    </chartFormat>
    <chartFormat chart="23" format="679">
      <pivotArea type="data" outline="0" fieldPosition="0">
        <references count="3">
          <reference field="4294967294" count="1" selected="0">
            <x v="0"/>
          </reference>
          <reference field="1" count="1" selected="0">
            <x v="42"/>
          </reference>
          <reference field="6" count="1" selected="0">
            <x v="19"/>
          </reference>
        </references>
      </pivotArea>
    </chartFormat>
    <chartFormat chart="23" format="680">
      <pivotArea type="data" outline="0" fieldPosition="0">
        <references count="3">
          <reference field="4294967294" count="1" selected="0">
            <x v="0"/>
          </reference>
          <reference field="1" count="1" selected="0">
            <x v="43"/>
          </reference>
          <reference field="6" count="1" selected="0">
            <x v="19"/>
          </reference>
        </references>
      </pivotArea>
    </chartFormat>
    <chartFormat chart="23" format="681">
      <pivotArea type="data" outline="0" fieldPosition="0">
        <references count="3">
          <reference field="4294967294" count="1" selected="0">
            <x v="0"/>
          </reference>
          <reference field="1" count="1" selected="0">
            <x v="44"/>
          </reference>
          <reference field="6" count="1" selected="0">
            <x v="19"/>
          </reference>
        </references>
      </pivotArea>
    </chartFormat>
    <chartFormat chart="23" format="682">
      <pivotArea type="data" outline="0" fieldPosition="0">
        <references count="3">
          <reference field="4294967294" count="1" selected="0">
            <x v="0"/>
          </reference>
          <reference field="1" count="1" selected="0">
            <x v="45"/>
          </reference>
          <reference field="6" count="1" selected="0">
            <x v="19"/>
          </reference>
        </references>
      </pivotArea>
    </chartFormat>
    <chartFormat chart="23" format="683">
      <pivotArea type="data" outline="0" fieldPosition="0">
        <references count="3">
          <reference field="4294967294" count="1" selected="0">
            <x v="0"/>
          </reference>
          <reference field="1" count="1" selected="0">
            <x v="5"/>
          </reference>
          <reference field="6" count="1" selected="0">
            <x v="20"/>
          </reference>
        </references>
      </pivotArea>
    </chartFormat>
    <chartFormat chart="23" format="684">
      <pivotArea type="data" outline="0" fieldPosition="0">
        <references count="3">
          <reference field="4294967294" count="1" selected="0">
            <x v="0"/>
          </reference>
          <reference field="1" count="1" selected="0">
            <x v="11"/>
          </reference>
          <reference field="6" count="1" selected="0">
            <x v="20"/>
          </reference>
        </references>
      </pivotArea>
    </chartFormat>
    <chartFormat chart="23" format="685">
      <pivotArea type="data" outline="0" fieldPosition="0">
        <references count="3">
          <reference field="4294967294" count="1" selected="0">
            <x v="0"/>
          </reference>
          <reference field="1" count="1" selected="0">
            <x v="17"/>
          </reference>
          <reference field="6" count="1" selected="0">
            <x v="20"/>
          </reference>
        </references>
      </pivotArea>
    </chartFormat>
    <chartFormat chart="23" format="686">
      <pivotArea type="data" outline="0" fieldPosition="0">
        <references count="3">
          <reference field="4294967294" count="1" selected="0">
            <x v="0"/>
          </reference>
          <reference field="1" count="1" selected="0">
            <x v="24"/>
          </reference>
          <reference field="6" count="1" selected="0">
            <x v="20"/>
          </reference>
        </references>
      </pivotArea>
    </chartFormat>
    <chartFormat chart="23" format="687">
      <pivotArea type="data" outline="0" fieldPosition="0">
        <references count="3">
          <reference field="4294967294" count="1" selected="0">
            <x v="0"/>
          </reference>
          <reference field="1" count="1" selected="0">
            <x v="25"/>
          </reference>
          <reference field="6" count="1" selected="0">
            <x v="20"/>
          </reference>
        </references>
      </pivotArea>
    </chartFormat>
    <chartFormat chart="23" format="688">
      <pivotArea type="data" outline="0" fieldPosition="0">
        <references count="3">
          <reference field="4294967294" count="1" selected="0">
            <x v="0"/>
          </reference>
          <reference field="1" count="1" selected="0">
            <x v="35"/>
          </reference>
          <reference field="6" count="1" selected="0">
            <x v="20"/>
          </reference>
        </references>
      </pivotArea>
    </chartFormat>
    <chartFormat chart="23" format="689">
      <pivotArea type="data" outline="0" fieldPosition="0">
        <references count="3">
          <reference field="4294967294" count="1" selected="0">
            <x v="0"/>
          </reference>
          <reference field="1" count="1" selected="0">
            <x v="37"/>
          </reference>
          <reference field="6" count="1" selected="0">
            <x v="20"/>
          </reference>
        </references>
      </pivotArea>
    </chartFormat>
    <chartFormat chart="23" format="690">
      <pivotArea type="data" outline="0" fieldPosition="0">
        <references count="3">
          <reference field="4294967294" count="1" selected="0">
            <x v="0"/>
          </reference>
          <reference field="1" count="1" selected="0">
            <x v="38"/>
          </reference>
          <reference field="6" count="1" selected="0">
            <x v="20"/>
          </reference>
        </references>
      </pivotArea>
    </chartFormat>
    <chartFormat chart="23" format="691">
      <pivotArea type="data" outline="0" fieldPosition="0">
        <references count="3">
          <reference field="4294967294" count="1" selected="0">
            <x v="0"/>
          </reference>
          <reference field="1" count="1" selected="0">
            <x v="39"/>
          </reference>
          <reference field="6" count="1" selected="0">
            <x v="20"/>
          </reference>
        </references>
      </pivotArea>
    </chartFormat>
    <chartFormat chart="23" format="692">
      <pivotArea type="data" outline="0" fieldPosition="0">
        <references count="3">
          <reference field="4294967294" count="1" selected="0">
            <x v="0"/>
          </reference>
          <reference field="1" count="1" selected="0">
            <x v="40"/>
          </reference>
          <reference field="6" count="1" selected="0">
            <x v="20"/>
          </reference>
        </references>
      </pivotArea>
    </chartFormat>
    <chartFormat chart="23" format="693">
      <pivotArea type="data" outline="0" fieldPosition="0">
        <references count="3">
          <reference field="4294967294" count="1" selected="0">
            <x v="0"/>
          </reference>
          <reference field="1" count="1" selected="0">
            <x v="41"/>
          </reference>
          <reference field="6" count="1" selected="0">
            <x v="20"/>
          </reference>
        </references>
      </pivotArea>
    </chartFormat>
    <chartFormat chart="23" format="694">
      <pivotArea type="data" outline="0" fieldPosition="0">
        <references count="3">
          <reference field="4294967294" count="1" selected="0">
            <x v="0"/>
          </reference>
          <reference field="1" count="1" selected="0">
            <x v="42"/>
          </reference>
          <reference field="6" count="1" selected="0">
            <x v="20"/>
          </reference>
        </references>
      </pivotArea>
    </chartFormat>
    <chartFormat chart="23" format="695">
      <pivotArea type="data" outline="0" fieldPosition="0">
        <references count="3">
          <reference field="4294967294" count="1" selected="0">
            <x v="0"/>
          </reference>
          <reference field="1" count="1" selected="0">
            <x v="43"/>
          </reference>
          <reference field="6" count="1" selected="0">
            <x v="20"/>
          </reference>
        </references>
      </pivotArea>
    </chartFormat>
    <chartFormat chart="23" format="696">
      <pivotArea type="data" outline="0" fieldPosition="0">
        <references count="3">
          <reference field="4294967294" count="1" selected="0">
            <x v="0"/>
          </reference>
          <reference field="1" count="1" selected="0">
            <x v="44"/>
          </reference>
          <reference field="6" count="1" selected="0">
            <x v="20"/>
          </reference>
        </references>
      </pivotArea>
    </chartFormat>
    <chartFormat chart="23" format="697">
      <pivotArea type="data" outline="0" fieldPosition="0">
        <references count="3">
          <reference field="4294967294" count="1" selected="0">
            <x v="0"/>
          </reference>
          <reference field="1" count="1" selected="0">
            <x v="45"/>
          </reference>
          <reference field="6" count="1" selected="0">
            <x v="20"/>
          </reference>
        </references>
      </pivotArea>
    </chartFormat>
    <chartFormat chart="23" format="698">
      <pivotArea type="data" outline="0" fieldPosition="0">
        <references count="3">
          <reference field="4294967294" count="1" selected="0">
            <x v="0"/>
          </reference>
          <reference field="1" count="1" selected="0">
            <x v="5"/>
          </reference>
          <reference field="6" count="1" selected="0">
            <x v="21"/>
          </reference>
        </references>
      </pivotArea>
    </chartFormat>
    <chartFormat chart="23" format="699">
      <pivotArea type="data" outline="0" fieldPosition="0">
        <references count="3">
          <reference field="4294967294" count="1" selected="0">
            <x v="0"/>
          </reference>
          <reference field="1" count="1" selected="0">
            <x v="11"/>
          </reference>
          <reference field="6" count="1" selected="0">
            <x v="21"/>
          </reference>
        </references>
      </pivotArea>
    </chartFormat>
    <chartFormat chart="23" format="700">
      <pivotArea type="data" outline="0" fieldPosition="0">
        <references count="3">
          <reference field="4294967294" count="1" selected="0">
            <x v="0"/>
          </reference>
          <reference field="1" count="1" selected="0">
            <x v="17"/>
          </reference>
          <reference field="6" count="1" selected="0">
            <x v="21"/>
          </reference>
        </references>
      </pivotArea>
    </chartFormat>
    <chartFormat chart="23" format="701">
      <pivotArea type="data" outline="0" fieldPosition="0">
        <references count="3">
          <reference field="4294967294" count="1" selected="0">
            <x v="0"/>
          </reference>
          <reference field="1" count="1" selected="0">
            <x v="24"/>
          </reference>
          <reference field="6" count="1" selected="0">
            <x v="21"/>
          </reference>
        </references>
      </pivotArea>
    </chartFormat>
    <chartFormat chart="23" format="702">
      <pivotArea type="data" outline="0" fieldPosition="0">
        <references count="3">
          <reference field="4294967294" count="1" selected="0">
            <x v="0"/>
          </reference>
          <reference field="1" count="1" selected="0">
            <x v="25"/>
          </reference>
          <reference field="6" count="1" selected="0">
            <x v="21"/>
          </reference>
        </references>
      </pivotArea>
    </chartFormat>
    <chartFormat chart="23" format="703">
      <pivotArea type="data" outline="0" fieldPosition="0">
        <references count="3">
          <reference field="4294967294" count="1" selected="0">
            <x v="0"/>
          </reference>
          <reference field="1" count="1" selected="0">
            <x v="35"/>
          </reference>
          <reference field="6" count="1" selected="0">
            <x v="21"/>
          </reference>
        </references>
      </pivotArea>
    </chartFormat>
    <chartFormat chart="23" format="704">
      <pivotArea type="data" outline="0" fieldPosition="0">
        <references count="3">
          <reference field="4294967294" count="1" selected="0">
            <x v="0"/>
          </reference>
          <reference field="1" count="1" selected="0">
            <x v="37"/>
          </reference>
          <reference field="6" count="1" selected="0">
            <x v="21"/>
          </reference>
        </references>
      </pivotArea>
    </chartFormat>
    <chartFormat chart="23" format="705">
      <pivotArea type="data" outline="0" fieldPosition="0">
        <references count="3">
          <reference field="4294967294" count="1" selected="0">
            <x v="0"/>
          </reference>
          <reference field="1" count="1" selected="0">
            <x v="38"/>
          </reference>
          <reference field="6" count="1" selected="0">
            <x v="21"/>
          </reference>
        </references>
      </pivotArea>
    </chartFormat>
    <chartFormat chart="23" format="706">
      <pivotArea type="data" outline="0" fieldPosition="0">
        <references count="3">
          <reference field="4294967294" count="1" selected="0">
            <x v="0"/>
          </reference>
          <reference field="1" count="1" selected="0">
            <x v="39"/>
          </reference>
          <reference field="6" count="1" selected="0">
            <x v="21"/>
          </reference>
        </references>
      </pivotArea>
    </chartFormat>
    <chartFormat chart="23" format="707">
      <pivotArea type="data" outline="0" fieldPosition="0">
        <references count="3">
          <reference field="4294967294" count="1" selected="0">
            <x v="0"/>
          </reference>
          <reference field="1" count="1" selected="0">
            <x v="40"/>
          </reference>
          <reference field="6" count="1" selected="0">
            <x v="21"/>
          </reference>
        </references>
      </pivotArea>
    </chartFormat>
    <chartFormat chart="23" format="708">
      <pivotArea type="data" outline="0" fieldPosition="0">
        <references count="3">
          <reference field="4294967294" count="1" selected="0">
            <x v="0"/>
          </reference>
          <reference field="1" count="1" selected="0">
            <x v="41"/>
          </reference>
          <reference field="6" count="1" selected="0">
            <x v="21"/>
          </reference>
        </references>
      </pivotArea>
    </chartFormat>
    <chartFormat chart="23" format="709">
      <pivotArea type="data" outline="0" fieldPosition="0">
        <references count="3">
          <reference field="4294967294" count="1" selected="0">
            <x v="0"/>
          </reference>
          <reference field="1" count="1" selected="0">
            <x v="42"/>
          </reference>
          <reference field="6" count="1" selected="0">
            <x v="21"/>
          </reference>
        </references>
      </pivotArea>
    </chartFormat>
    <chartFormat chart="23" format="710">
      <pivotArea type="data" outline="0" fieldPosition="0">
        <references count="3">
          <reference field="4294967294" count="1" selected="0">
            <x v="0"/>
          </reference>
          <reference field="1" count="1" selected="0">
            <x v="43"/>
          </reference>
          <reference field="6" count="1" selected="0">
            <x v="21"/>
          </reference>
        </references>
      </pivotArea>
    </chartFormat>
    <chartFormat chart="23" format="711">
      <pivotArea type="data" outline="0" fieldPosition="0">
        <references count="3">
          <reference field="4294967294" count="1" selected="0">
            <x v="0"/>
          </reference>
          <reference field="1" count="1" selected="0">
            <x v="44"/>
          </reference>
          <reference field="6" count="1" selected="0">
            <x v="21"/>
          </reference>
        </references>
      </pivotArea>
    </chartFormat>
    <chartFormat chart="23" format="712">
      <pivotArea type="data" outline="0" fieldPosition="0">
        <references count="3">
          <reference field="4294967294" count="1" selected="0">
            <x v="0"/>
          </reference>
          <reference field="1" count="1" selected="0">
            <x v="45"/>
          </reference>
          <reference field="6" count="1" selected="0">
            <x v="21"/>
          </reference>
        </references>
      </pivotArea>
    </chartFormat>
    <chartFormat chart="23" format="713">
      <pivotArea type="data" outline="0" fieldPosition="0">
        <references count="3">
          <reference field="4294967294" count="1" selected="0">
            <x v="0"/>
          </reference>
          <reference field="1" count="1" selected="0">
            <x v="5"/>
          </reference>
          <reference field="6" count="1" selected="0">
            <x v="22"/>
          </reference>
        </references>
      </pivotArea>
    </chartFormat>
    <chartFormat chart="23" format="714">
      <pivotArea type="data" outline="0" fieldPosition="0">
        <references count="3">
          <reference field="4294967294" count="1" selected="0">
            <x v="0"/>
          </reference>
          <reference field="1" count="1" selected="0">
            <x v="11"/>
          </reference>
          <reference field="6" count="1" selected="0">
            <x v="22"/>
          </reference>
        </references>
      </pivotArea>
    </chartFormat>
    <chartFormat chart="23" format="715">
      <pivotArea type="data" outline="0" fieldPosition="0">
        <references count="3">
          <reference field="4294967294" count="1" selected="0">
            <x v="0"/>
          </reference>
          <reference field="1" count="1" selected="0">
            <x v="17"/>
          </reference>
          <reference field="6" count="1" selected="0">
            <x v="22"/>
          </reference>
        </references>
      </pivotArea>
    </chartFormat>
    <chartFormat chart="23" format="716">
      <pivotArea type="data" outline="0" fieldPosition="0">
        <references count="3">
          <reference field="4294967294" count="1" selected="0">
            <x v="0"/>
          </reference>
          <reference field="1" count="1" selected="0">
            <x v="18"/>
          </reference>
          <reference field="6" count="1" selected="0">
            <x v="22"/>
          </reference>
        </references>
      </pivotArea>
    </chartFormat>
    <chartFormat chart="23" format="717">
      <pivotArea type="data" outline="0" fieldPosition="0">
        <references count="3">
          <reference field="4294967294" count="1" selected="0">
            <x v="0"/>
          </reference>
          <reference field="1" count="1" selected="0">
            <x v="19"/>
          </reference>
          <reference field="6" count="1" selected="0">
            <x v="22"/>
          </reference>
        </references>
      </pivotArea>
    </chartFormat>
    <chartFormat chart="23" format="718">
      <pivotArea type="data" outline="0" fieldPosition="0">
        <references count="3">
          <reference field="4294967294" count="1" selected="0">
            <x v="0"/>
          </reference>
          <reference field="1" count="1" selected="0">
            <x v="24"/>
          </reference>
          <reference field="6" count="1" selected="0">
            <x v="22"/>
          </reference>
        </references>
      </pivotArea>
    </chartFormat>
    <chartFormat chart="23" format="719">
      <pivotArea type="data" outline="0" fieldPosition="0">
        <references count="3">
          <reference field="4294967294" count="1" selected="0">
            <x v="0"/>
          </reference>
          <reference field="1" count="1" selected="0">
            <x v="25"/>
          </reference>
          <reference field="6" count="1" selected="0">
            <x v="22"/>
          </reference>
        </references>
      </pivotArea>
    </chartFormat>
    <chartFormat chart="23" format="720">
      <pivotArea type="data" outline="0" fieldPosition="0">
        <references count="3">
          <reference field="4294967294" count="1" selected="0">
            <x v="0"/>
          </reference>
          <reference field="1" count="1" selected="0">
            <x v="29"/>
          </reference>
          <reference field="6" count="1" selected="0">
            <x v="22"/>
          </reference>
        </references>
      </pivotArea>
    </chartFormat>
    <chartFormat chart="23" format="721">
      <pivotArea type="data" outline="0" fieldPosition="0">
        <references count="3">
          <reference field="4294967294" count="1" selected="0">
            <x v="0"/>
          </reference>
          <reference field="1" count="1" selected="0">
            <x v="30"/>
          </reference>
          <reference field="6" count="1" selected="0">
            <x v="22"/>
          </reference>
        </references>
      </pivotArea>
    </chartFormat>
    <chartFormat chart="23" format="722">
      <pivotArea type="data" outline="0" fieldPosition="0">
        <references count="3">
          <reference field="4294967294" count="1" selected="0">
            <x v="0"/>
          </reference>
          <reference field="1" count="1" selected="0">
            <x v="31"/>
          </reference>
          <reference field="6" count="1" selected="0">
            <x v="22"/>
          </reference>
        </references>
      </pivotArea>
    </chartFormat>
    <chartFormat chart="23" format="723">
      <pivotArea type="data" outline="0" fieldPosition="0">
        <references count="3">
          <reference field="4294967294" count="1" selected="0">
            <x v="0"/>
          </reference>
          <reference field="1" count="1" selected="0">
            <x v="32"/>
          </reference>
          <reference field="6" count="1" selected="0">
            <x v="22"/>
          </reference>
        </references>
      </pivotArea>
    </chartFormat>
    <chartFormat chart="23" format="724">
      <pivotArea type="data" outline="0" fieldPosition="0">
        <references count="3">
          <reference field="4294967294" count="1" selected="0">
            <x v="0"/>
          </reference>
          <reference field="1" count="1" selected="0">
            <x v="33"/>
          </reference>
          <reference field="6" count="1" selected="0">
            <x v="22"/>
          </reference>
        </references>
      </pivotArea>
    </chartFormat>
    <chartFormat chart="23" format="725">
      <pivotArea type="data" outline="0" fieldPosition="0">
        <references count="3">
          <reference field="4294967294" count="1" selected="0">
            <x v="0"/>
          </reference>
          <reference field="1" count="1" selected="0">
            <x v="34"/>
          </reference>
          <reference field="6" count="1" selected="0">
            <x v="22"/>
          </reference>
        </references>
      </pivotArea>
    </chartFormat>
    <chartFormat chart="23" format="726">
      <pivotArea type="data" outline="0" fieldPosition="0">
        <references count="3">
          <reference field="4294967294" count="1" selected="0">
            <x v="0"/>
          </reference>
          <reference field="1" count="1" selected="0">
            <x v="35"/>
          </reference>
          <reference field="6" count="1" selected="0">
            <x v="22"/>
          </reference>
        </references>
      </pivotArea>
    </chartFormat>
    <chartFormat chart="23" format="727">
      <pivotArea type="data" outline="0" fieldPosition="0">
        <references count="3">
          <reference field="4294967294" count="1" selected="0">
            <x v="0"/>
          </reference>
          <reference field="1" count="1" selected="0">
            <x v="36"/>
          </reference>
          <reference field="6" count="1" selected="0">
            <x v="22"/>
          </reference>
        </references>
      </pivotArea>
    </chartFormat>
    <chartFormat chart="23" format="728">
      <pivotArea type="data" outline="0" fieldPosition="0">
        <references count="3">
          <reference field="4294967294" count="1" selected="0">
            <x v="0"/>
          </reference>
          <reference field="1" count="1" selected="0">
            <x v="37"/>
          </reference>
          <reference field="6" count="1" selected="0">
            <x v="22"/>
          </reference>
        </references>
      </pivotArea>
    </chartFormat>
    <chartFormat chart="23" format="729">
      <pivotArea type="data" outline="0" fieldPosition="0">
        <references count="3">
          <reference field="4294967294" count="1" selected="0">
            <x v="0"/>
          </reference>
          <reference field="1" count="1" selected="0">
            <x v="38"/>
          </reference>
          <reference field="6" count="1" selected="0">
            <x v="22"/>
          </reference>
        </references>
      </pivotArea>
    </chartFormat>
    <chartFormat chart="23" format="730">
      <pivotArea type="data" outline="0" fieldPosition="0">
        <references count="3">
          <reference field="4294967294" count="1" selected="0">
            <x v="0"/>
          </reference>
          <reference field="1" count="1" selected="0">
            <x v="39"/>
          </reference>
          <reference field="6" count="1" selected="0">
            <x v="22"/>
          </reference>
        </references>
      </pivotArea>
    </chartFormat>
    <chartFormat chart="23" format="731">
      <pivotArea type="data" outline="0" fieldPosition="0">
        <references count="3">
          <reference field="4294967294" count="1" selected="0">
            <x v="0"/>
          </reference>
          <reference field="1" count="1" selected="0">
            <x v="40"/>
          </reference>
          <reference field="6" count="1" selected="0">
            <x v="22"/>
          </reference>
        </references>
      </pivotArea>
    </chartFormat>
    <chartFormat chart="23" format="732">
      <pivotArea type="data" outline="0" fieldPosition="0">
        <references count="3">
          <reference field="4294967294" count="1" selected="0">
            <x v="0"/>
          </reference>
          <reference field="1" count="1" selected="0">
            <x v="41"/>
          </reference>
          <reference field="6" count="1" selected="0">
            <x v="22"/>
          </reference>
        </references>
      </pivotArea>
    </chartFormat>
    <chartFormat chart="23" format="733">
      <pivotArea type="data" outline="0" fieldPosition="0">
        <references count="3">
          <reference field="4294967294" count="1" selected="0">
            <x v="0"/>
          </reference>
          <reference field="1" count="1" selected="0">
            <x v="42"/>
          </reference>
          <reference field="6" count="1" selected="0">
            <x v="22"/>
          </reference>
        </references>
      </pivotArea>
    </chartFormat>
    <chartFormat chart="23" format="734">
      <pivotArea type="data" outline="0" fieldPosition="0">
        <references count="3">
          <reference field="4294967294" count="1" selected="0">
            <x v="0"/>
          </reference>
          <reference field="1" count="1" selected="0">
            <x v="43"/>
          </reference>
          <reference field="6" count="1" selected="0">
            <x v="22"/>
          </reference>
        </references>
      </pivotArea>
    </chartFormat>
    <chartFormat chart="23" format="735">
      <pivotArea type="data" outline="0" fieldPosition="0">
        <references count="3">
          <reference field="4294967294" count="1" selected="0">
            <x v="0"/>
          </reference>
          <reference field="1" count="1" selected="0">
            <x v="44"/>
          </reference>
          <reference field="6" count="1" selected="0">
            <x v="22"/>
          </reference>
        </references>
      </pivotArea>
    </chartFormat>
    <chartFormat chart="23" format="736">
      <pivotArea type="data" outline="0" fieldPosition="0">
        <references count="3">
          <reference field="4294967294" count="1" selected="0">
            <x v="0"/>
          </reference>
          <reference field="1" count="1" selected="0">
            <x v="45"/>
          </reference>
          <reference field="6" count="1" selected="0">
            <x v="22"/>
          </reference>
        </references>
      </pivotArea>
    </chartFormat>
    <chartFormat chart="23" format="737">
      <pivotArea type="data" outline="0" fieldPosition="0">
        <references count="3">
          <reference field="4294967294" count="1" selected="0">
            <x v="0"/>
          </reference>
          <reference field="1" count="1" selected="0">
            <x v="5"/>
          </reference>
          <reference field="6" count="1" selected="0">
            <x v="23"/>
          </reference>
        </references>
      </pivotArea>
    </chartFormat>
    <chartFormat chart="23" format="738">
      <pivotArea type="data" outline="0" fieldPosition="0">
        <references count="3">
          <reference field="4294967294" count="1" selected="0">
            <x v="0"/>
          </reference>
          <reference field="1" count="1" selected="0">
            <x v="11"/>
          </reference>
          <reference field="6" count="1" selected="0">
            <x v="23"/>
          </reference>
        </references>
      </pivotArea>
    </chartFormat>
    <chartFormat chart="23" format="739">
      <pivotArea type="data" outline="0" fieldPosition="0">
        <references count="3">
          <reference field="4294967294" count="1" selected="0">
            <x v="0"/>
          </reference>
          <reference field="1" count="1" selected="0">
            <x v="17"/>
          </reference>
          <reference field="6" count="1" selected="0">
            <x v="23"/>
          </reference>
        </references>
      </pivotArea>
    </chartFormat>
    <chartFormat chart="23" format="740">
      <pivotArea type="data" outline="0" fieldPosition="0">
        <references count="3">
          <reference field="4294967294" count="1" selected="0">
            <x v="0"/>
          </reference>
          <reference field="1" count="1" selected="0">
            <x v="18"/>
          </reference>
          <reference field="6" count="1" selected="0">
            <x v="23"/>
          </reference>
        </references>
      </pivotArea>
    </chartFormat>
    <chartFormat chart="23" format="741">
      <pivotArea type="data" outline="0" fieldPosition="0">
        <references count="3">
          <reference field="4294967294" count="1" selected="0">
            <x v="0"/>
          </reference>
          <reference field="1" count="1" selected="0">
            <x v="19"/>
          </reference>
          <reference field="6" count="1" selected="0">
            <x v="23"/>
          </reference>
        </references>
      </pivotArea>
    </chartFormat>
    <chartFormat chart="23" format="742">
      <pivotArea type="data" outline="0" fieldPosition="0">
        <references count="3">
          <reference field="4294967294" count="1" selected="0">
            <x v="0"/>
          </reference>
          <reference field="1" count="1" selected="0">
            <x v="24"/>
          </reference>
          <reference field="6" count="1" selected="0">
            <x v="23"/>
          </reference>
        </references>
      </pivotArea>
    </chartFormat>
    <chartFormat chart="23" format="743">
      <pivotArea type="data" outline="0" fieldPosition="0">
        <references count="3">
          <reference field="4294967294" count="1" selected="0">
            <x v="0"/>
          </reference>
          <reference field="1" count="1" selected="0">
            <x v="25"/>
          </reference>
          <reference field="6" count="1" selected="0">
            <x v="23"/>
          </reference>
        </references>
      </pivotArea>
    </chartFormat>
    <chartFormat chart="23" format="744">
      <pivotArea type="data" outline="0" fieldPosition="0">
        <references count="3">
          <reference field="4294967294" count="1" selected="0">
            <x v="0"/>
          </reference>
          <reference field="1" count="1" selected="0">
            <x v="29"/>
          </reference>
          <reference field="6" count="1" selected="0">
            <x v="23"/>
          </reference>
        </references>
      </pivotArea>
    </chartFormat>
    <chartFormat chart="23" format="745">
      <pivotArea type="data" outline="0" fieldPosition="0">
        <references count="3">
          <reference field="4294967294" count="1" selected="0">
            <x v="0"/>
          </reference>
          <reference field="1" count="1" selected="0">
            <x v="30"/>
          </reference>
          <reference field="6" count="1" selected="0">
            <x v="23"/>
          </reference>
        </references>
      </pivotArea>
    </chartFormat>
    <chartFormat chart="23" format="746">
      <pivotArea type="data" outline="0" fieldPosition="0">
        <references count="3">
          <reference field="4294967294" count="1" selected="0">
            <x v="0"/>
          </reference>
          <reference field="1" count="1" selected="0">
            <x v="31"/>
          </reference>
          <reference field="6" count="1" selected="0">
            <x v="23"/>
          </reference>
        </references>
      </pivotArea>
    </chartFormat>
    <chartFormat chart="23" format="747">
      <pivotArea type="data" outline="0" fieldPosition="0">
        <references count="3">
          <reference field="4294967294" count="1" selected="0">
            <x v="0"/>
          </reference>
          <reference field="1" count="1" selected="0">
            <x v="32"/>
          </reference>
          <reference field="6" count="1" selected="0">
            <x v="23"/>
          </reference>
        </references>
      </pivotArea>
    </chartFormat>
    <chartFormat chart="23" format="748">
      <pivotArea type="data" outline="0" fieldPosition="0">
        <references count="3">
          <reference field="4294967294" count="1" selected="0">
            <x v="0"/>
          </reference>
          <reference field="1" count="1" selected="0">
            <x v="33"/>
          </reference>
          <reference field="6" count="1" selected="0">
            <x v="23"/>
          </reference>
        </references>
      </pivotArea>
    </chartFormat>
    <chartFormat chart="23" format="749">
      <pivotArea type="data" outline="0" fieldPosition="0">
        <references count="3">
          <reference field="4294967294" count="1" selected="0">
            <x v="0"/>
          </reference>
          <reference field="1" count="1" selected="0">
            <x v="34"/>
          </reference>
          <reference field="6" count="1" selected="0">
            <x v="23"/>
          </reference>
        </references>
      </pivotArea>
    </chartFormat>
    <chartFormat chart="23" format="750">
      <pivotArea type="data" outline="0" fieldPosition="0">
        <references count="3">
          <reference field="4294967294" count="1" selected="0">
            <x v="0"/>
          </reference>
          <reference field="1" count="1" selected="0">
            <x v="35"/>
          </reference>
          <reference field="6" count="1" selected="0">
            <x v="23"/>
          </reference>
        </references>
      </pivotArea>
    </chartFormat>
    <chartFormat chart="23" format="751">
      <pivotArea type="data" outline="0" fieldPosition="0">
        <references count="3">
          <reference field="4294967294" count="1" selected="0">
            <x v="0"/>
          </reference>
          <reference field="1" count="1" selected="0">
            <x v="36"/>
          </reference>
          <reference field="6" count="1" selected="0">
            <x v="23"/>
          </reference>
        </references>
      </pivotArea>
    </chartFormat>
    <chartFormat chart="23" format="752">
      <pivotArea type="data" outline="0" fieldPosition="0">
        <references count="3">
          <reference field="4294967294" count="1" selected="0">
            <x v="0"/>
          </reference>
          <reference field="1" count="1" selected="0">
            <x v="37"/>
          </reference>
          <reference field="6" count="1" selected="0">
            <x v="23"/>
          </reference>
        </references>
      </pivotArea>
    </chartFormat>
    <chartFormat chart="23" format="753">
      <pivotArea type="data" outline="0" fieldPosition="0">
        <references count="3">
          <reference field="4294967294" count="1" selected="0">
            <x v="0"/>
          </reference>
          <reference field="1" count="1" selected="0">
            <x v="38"/>
          </reference>
          <reference field="6" count="1" selected="0">
            <x v="23"/>
          </reference>
        </references>
      </pivotArea>
    </chartFormat>
    <chartFormat chart="23" format="754">
      <pivotArea type="data" outline="0" fieldPosition="0">
        <references count="3">
          <reference field="4294967294" count="1" selected="0">
            <x v="0"/>
          </reference>
          <reference field="1" count="1" selected="0">
            <x v="39"/>
          </reference>
          <reference field="6" count="1" selected="0">
            <x v="23"/>
          </reference>
        </references>
      </pivotArea>
    </chartFormat>
    <chartFormat chart="23" format="755">
      <pivotArea type="data" outline="0" fieldPosition="0">
        <references count="3">
          <reference field="4294967294" count="1" selected="0">
            <x v="0"/>
          </reference>
          <reference field="1" count="1" selected="0">
            <x v="40"/>
          </reference>
          <reference field="6" count="1" selected="0">
            <x v="23"/>
          </reference>
        </references>
      </pivotArea>
    </chartFormat>
    <chartFormat chart="23" format="756">
      <pivotArea type="data" outline="0" fieldPosition="0">
        <references count="3">
          <reference field="4294967294" count="1" selected="0">
            <x v="0"/>
          </reference>
          <reference field="1" count="1" selected="0">
            <x v="41"/>
          </reference>
          <reference field="6" count="1" selected="0">
            <x v="23"/>
          </reference>
        </references>
      </pivotArea>
    </chartFormat>
    <chartFormat chart="23" format="757">
      <pivotArea type="data" outline="0" fieldPosition="0">
        <references count="3">
          <reference field="4294967294" count="1" selected="0">
            <x v="0"/>
          </reference>
          <reference field="1" count="1" selected="0">
            <x v="42"/>
          </reference>
          <reference field="6" count="1" selected="0">
            <x v="23"/>
          </reference>
        </references>
      </pivotArea>
    </chartFormat>
    <chartFormat chart="23" format="758">
      <pivotArea type="data" outline="0" fieldPosition="0">
        <references count="3">
          <reference field="4294967294" count="1" selected="0">
            <x v="0"/>
          </reference>
          <reference field="1" count="1" selected="0">
            <x v="43"/>
          </reference>
          <reference field="6" count="1" selected="0">
            <x v="23"/>
          </reference>
        </references>
      </pivotArea>
    </chartFormat>
    <chartFormat chart="23" format="759">
      <pivotArea type="data" outline="0" fieldPosition="0">
        <references count="3">
          <reference field="4294967294" count="1" selected="0">
            <x v="0"/>
          </reference>
          <reference field="1" count="1" selected="0">
            <x v="44"/>
          </reference>
          <reference field="6" count="1" selected="0">
            <x v="23"/>
          </reference>
        </references>
      </pivotArea>
    </chartFormat>
    <chartFormat chart="23" format="760">
      <pivotArea type="data" outline="0" fieldPosition="0">
        <references count="3">
          <reference field="4294967294" count="1" selected="0">
            <x v="0"/>
          </reference>
          <reference field="1" count="1" selected="0">
            <x v="45"/>
          </reference>
          <reference field="6" count="1" selected="0">
            <x v="23"/>
          </reference>
        </references>
      </pivotArea>
    </chartFormat>
    <chartFormat chart="23" format="761">
      <pivotArea type="data" outline="0" fieldPosition="0">
        <references count="3">
          <reference field="4294967294" count="1" selected="0">
            <x v="0"/>
          </reference>
          <reference field="1" count="1" selected="0">
            <x v="5"/>
          </reference>
          <reference field="6" count="1" selected="0">
            <x v="24"/>
          </reference>
        </references>
      </pivotArea>
    </chartFormat>
    <chartFormat chart="23" format="762">
      <pivotArea type="data" outline="0" fieldPosition="0">
        <references count="3">
          <reference field="4294967294" count="1" selected="0">
            <x v="0"/>
          </reference>
          <reference field="1" count="1" selected="0">
            <x v="11"/>
          </reference>
          <reference field="6" count="1" selected="0">
            <x v="24"/>
          </reference>
        </references>
      </pivotArea>
    </chartFormat>
    <chartFormat chart="23" format="763">
      <pivotArea type="data" outline="0" fieldPosition="0">
        <references count="3">
          <reference field="4294967294" count="1" selected="0">
            <x v="0"/>
          </reference>
          <reference field="1" count="1" selected="0">
            <x v="17"/>
          </reference>
          <reference field="6" count="1" selected="0">
            <x v="24"/>
          </reference>
        </references>
      </pivotArea>
    </chartFormat>
    <chartFormat chart="23" format="764">
      <pivotArea type="data" outline="0" fieldPosition="0">
        <references count="3">
          <reference field="4294967294" count="1" selected="0">
            <x v="0"/>
          </reference>
          <reference field="1" count="1" selected="0">
            <x v="18"/>
          </reference>
          <reference field="6" count="1" selected="0">
            <x v="24"/>
          </reference>
        </references>
      </pivotArea>
    </chartFormat>
    <chartFormat chart="23" format="765">
      <pivotArea type="data" outline="0" fieldPosition="0">
        <references count="3">
          <reference field="4294967294" count="1" selected="0">
            <x v="0"/>
          </reference>
          <reference field="1" count="1" selected="0">
            <x v="19"/>
          </reference>
          <reference field="6" count="1" selected="0">
            <x v="24"/>
          </reference>
        </references>
      </pivotArea>
    </chartFormat>
    <chartFormat chart="23" format="766">
      <pivotArea type="data" outline="0" fieldPosition="0">
        <references count="3">
          <reference field="4294967294" count="1" selected="0">
            <x v="0"/>
          </reference>
          <reference field="1" count="1" selected="0">
            <x v="24"/>
          </reference>
          <reference field="6" count="1" selected="0">
            <x v="24"/>
          </reference>
        </references>
      </pivotArea>
    </chartFormat>
    <chartFormat chart="23" format="767">
      <pivotArea type="data" outline="0" fieldPosition="0">
        <references count="3">
          <reference field="4294967294" count="1" selected="0">
            <x v="0"/>
          </reference>
          <reference field="1" count="1" selected="0">
            <x v="25"/>
          </reference>
          <reference field="6" count="1" selected="0">
            <x v="24"/>
          </reference>
        </references>
      </pivotArea>
    </chartFormat>
    <chartFormat chart="23" format="768">
      <pivotArea type="data" outline="0" fieldPosition="0">
        <references count="3">
          <reference field="4294967294" count="1" selected="0">
            <x v="0"/>
          </reference>
          <reference field="1" count="1" selected="0">
            <x v="29"/>
          </reference>
          <reference field="6" count="1" selected="0">
            <x v="24"/>
          </reference>
        </references>
      </pivotArea>
    </chartFormat>
    <chartFormat chart="23" format="769">
      <pivotArea type="data" outline="0" fieldPosition="0">
        <references count="3">
          <reference field="4294967294" count="1" selected="0">
            <x v="0"/>
          </reference>
          <reference field="1" count="1" selected="0">
            <x v="30"/>
          </reference>
          <reference field="6" count="1" selected="0">
            <x v="24"/>
          </reference>
        </references>
      </pivotArea>
    </chartFormat>
    <chartFormat chart="23" format="770">
      <pivotArea type="data" outline="0" fieldPosition="0">
        <references count="3">
          <reference field="4294967294" count="1" selected="0">
            <x v="0"/>
          </reference>
          <reference field="1" count="1" selected="0">
            <x v="31"/>
          </reference>
          <reference field="6" count="1" selected="0">
            <x v="24"/>
          </reference>
        </references>
      </pivotArea>
    </chartFormat>
    <chartFormat chart="23" format="771">
      <pivotArea type="data" outline="0" fieldPosition="0">
        <references count="3">
          <reference field="4294967294" count="1" selected="0">
            <x v="0"/>
          </reference>
          <reference field="1" count="1" selected="0">
            <x v="32"/>
          </reference>
          <reference field="6" count="1" selected="0">
            <x v="24"/>
          </reference>
        </references>
      </pivotArea>
    </chartFormat>
    <chartFormat chart="23" format="772">
      <pivotArea type="data" outline="0" fieldPosition="0">
        <references count="3">
          <reference field="4294967294" count="1" selected="0">
            <x v="0"/>
          </reference>
          <reference field="1" count="1" selected="0">
            <x v="33"/>
          </reference>
          <reference field="6" count="1" selected="0">
            <x v="24"/>
          </reference>
        </references>
      </pivotArea>
    </chartFormat>
    <chartFormat chart="23" format="773">
      <pivotArea type="data" outline="0" fieldPosition="0">
        <references count="3">
          <reference field="4294967294" count="1" selected="0">
            <x v="0"/>
          </reference>
          <reference field="1" count="1" selected="0">
            <x v="34"/>
          </reference>
          <reference field="6" count="1" selected="0">
            <x v="24"/>
          </reference>
        </references>
      </pivotArea>
    </chartFormat>
    <chartFormat chart="23" format="774">
      <pivotArea type="data" outline="0" fieldPosition="0">
        <references count="3">
          <reference field="4294967294" count="1" selected="0">
            <x v="0"/>
          </reference>
          <reference field="1" count="1" selected="0">
            <x v="35"/>
          </reference>
          <reference field="6" count="1" selected="0">
            <x v="24"/>
          </reference>
        </references>
      </pivotArea>
    </chartFormat>
    <chartFormat chart="23" format="775">
      <pivotArea type="data" outline="0" fieldPosition="0">
        <references count="3">
          <reference field="4294967294" count="1" selected="0">
            <x v="0"/>
          </reference>
          <reference field="1" count="1" selected="0">
            <x v="36"/>
          </reference>
          <reference field="6" count="1" selected="0">
            <x v="24"/>
          </reference>
        </references>
      </pivotArea>
    </chartFormat>
    <chartFormat chart="23" format="776">
      <pivotArea type="data" outline="0" fieldPosition="0">
        <references count="3">
          <reference field="4294967294" count="1" selected="0">
            <x v="0"/>
          </reference>
          <reference field="1" count="1" selected="0">
            <x v="37"/>
          </reference>
          <reference field="6" count="1" selected="0">
            <x v="24"/>
          </reference>
        </references>
      </pivotArea>
    </chartFormat>
    <chartFormat chart="23" format="777">
      <pivotArea type="data" outline="0" fieldPosition="0">
        <references count="3">
          <reference field="4294967294" count="1" selected="0">
            <x v="0"/>
          </reference>
          <reference field="1" count="1" selected="0">
            <x v="38"/>
          </reference>
          <reference field="6" count="1" selected="0">
            <x v="24"/>
          </reference>
        </references>
      </pivotArea>
    </chartFormat>
    <chartFormat chart="23" format="778">
      <pivotArea type="data" outline="0" fieldPosition="0">
        <references count="3">
          <reference field="4294967294" count="1" selected="0">
            <x v="0"/>
          </reference>
          <reference field="1" count="1" selected="0">
            <x v="39"/>
          </reference>
          <reference field="6" count="1" selected="0">
            <x v="24"/>
          </reference>
        </references>
      </pivotArea>
    </chartFormat>
    <chartFormat chart="23" format="779">
      <pivotArea type="data" outline="0" fieldPosition="0">
        <references count="3">
          <reference field="4294967294" count="1" selected="0">
            <x v="0"/>
          </reference>
          <reference field="1" count="1" selected="0">
            <x v="40"/>
          </reference>
          <reference field="6" count="1" selected="0">
            <x v="24"/>
          </reference>
        </references>
      </pivotArea>
    </chartFormat>
    <chartFormat chart="23" format="780">
      <pivotArea type="data" outline="0" fieldPosition="0">
        <references count="3">
          <reference field="4294967294" count="1" selected="0">
            <x v="0"/>
          </reference>
          <reference field="1" count="1" selected="0">
            <x v="41"/>
          </reference>
          <reference field="6" count="1" selected="0">
            <x v="24"/>
          </reference>
        </references>
      </pivotArea>
    </chartFormat>
    <chartFormat chart="23" format="781">
      <pivotArea type="data" outline="0" fieldPosition="0">
        <references count="3">
          <reference field="4294967294" count="1" selected="0">
            <x v="0"/>
          </reference>
          <reference field="1" count="1" selected="0">
            <x v="42"/>
          </reference>
          <reference field="6" count="1" selected="0">
            <x v="24"/>
          </reference>
        </references>
      </pivotArea>
    </chartFormat>
    <chartFormat chart="23" format="782">
      <pivotArea type="data" outline="0" fieldPosition="0">
        <references count="3">
          <reference field="4294967294" count="1" selected="0">
            <x v="0"/>
          </reference>
          <reference field="1" count="1" selected="0">
            <x v="43"/>
          </reference>
          <reference field="6" count="1" selected="0">
            <x v="24"/>
          </reference>
        </references>
      </pivotArea>
    </chartFormat>
    <chartFormat chart="23" format="783">
      <pivotArea type="data" outline="0" fieldPosition="0">
        <references count="3">
          <reference field="4294967294" count="1" selected="0">
            <x v="0"/>
          </reference>
          <reference field="1" count="1" selected="0">
            <x v="44"/>
          </reference>
          <reference field="6" count="1" selected="0">
            <x v="24"/>
          </reference>
        </references>
      </pivotArea>
    </chartFormat>
    <chartFormat chart="23" format="784">
      <pivotArea type="data" outline="0" fieldPosition="0">
        <references count="3">
          <reference field="4294967294" count="1" selected="0">
            <x v="0"/>
          </reference>
          <reference field="1" count="1" selected="0">
            <x v="45"/>
          </reference>
          <reference field="6" count="1" selected="0">
            <x v="24"/>
          </reference>
        </references>
      </pivotArea>
    </chartFormat>
    <chartFormat chart="23" format="785">
      <pivotArea type="data" outline="0" fieldPosition="0">
        <references count="3">
          <reference field="4294967294" count="1" selected="0">
            <x v="0"/>
          </reference>
          <reference field="1" count="1" selected="0">
            <x v="5"/>
          </reference>
          <reference field="6" count="1" selected="0">
            <x v="25"/>
          </reference>
        </references>
      </pivotArea>
    </chartFormat>
    <chartFormat chart="23" format="786">
      <pivotArea type="data" outline="0" fieldPosition="0">
        <references count="3">
          <reference field="4294967294" count="1" selected="0">
            <x v="0"/>
          </reference>
          <reference field="1" count="1" selected="0">
            <x v="11"/>
          </reference>
          <reference field="6" count="1" selected="0">
            <x v="25"/>
          </reference>
        </references>
      </pivotArea>
    </chartFormat>
    <chartFormat chart="23" format="787">
      <pivotArea type="data" outline="0" fieldPosition="0">
        <references count="3">
          <reference field="4294967294" count="1" selected="0">
            <x v="0"/>
          </reference>
          <reference field="1" count="1" selected="0">
            <x v="17"/>
          </reference>
          <reference field="6" count="1" selected="0">
            <x v="25"/>
          </reference>
        </references>
      </pivotArea>
    </chartFormat>
    <chartFormat chart="23" format="788">
      <pivotArea type="data" outline="0" fieldPosition="0">
        <references count="3">
          <reference field="4294967294" count="1" selected="0">
            <x v="0"/>
          </reference>
          <reference field="1" count="1" selected="0">
            <x v="18"/>
          </reference>
          <reference field="6" count="1" selected="0">
            <x v="25"/>
          </reference>
        </references>
      </pivotArea>
    </chartFormat>
    <chartFormat chart="23" format="789">
      <pivotArea type="data" outline="0" fieldPosition="0">
        <references count="3">
          <reference field="4294967294" count="1" selected="0">
            <x v="0"/>
          </reference>
          <reference field="1" count="1" selected="0">
            <x v="19"/>
          </reference>
          <reference field="6" count="1" selected="0">
            <x v="25"/>
          </reference>
        </references>
      </pivotArea>
    </chartFormat>
    <chartFormat chart="23" format="790">
      <pivotArea type="data" outline="0" fieldPosition="0">
        <references count="3">
          <reference field="4294967294" count="1" selected="0">
            <x v="0"/>
          </reference>
          <reference field="1" count="1" selected="0">
            <x v="24"/>
          </reference>
          <reference field="6" count="1" selected="0">
            <x v="25"/>
          </reference>
        </references>
      </pivotArea>
    </chartFormat>
    <chartFormat chart="23" format="791">
      <pivotArea type="data" outline="0" fieldPosition="0">
        <references count="3">
          <reference field="4294967294" count="1" selected="0">
            <x v="0"/>
          </reference>
          <reference field="1" count="1" selected="0">
            <x v="25"/>
          </reference>
          <reference field="6" count="1" selected="0">
            <x v="25"/>
          </reference>
        </references>
      </pivotArea>
    </chartFormat>
    <chartFormat chart="23" format="792">
      <pivotArea type="data" outline="0" fieldPosition="0">
        <references count="3">
          <reference field="4294967294" count="1" selected="0">
            <x v="0"/>
          </reference>
          <reference field="1" count="1" selected="0">
            <x v="29"/>
          </reference>
          <reference field="6" count="1" selected="0">
            <x v="25"/>
          </reference>
        </references>
      </pivotArea>
    </chartFormat>
    <chartFormat chart="23" format="793">
      <pivotArea type="data" outline="0" fieldPosition="0">
        <references count="3">
          <reference field="4294967294" count="1" selected="0">
            <x v="0"/>
          </reference>
          <reference field="1" count="1" selected="0">
            <x v="30"/>
          </reference>
          <reference field="6" count="1" selected="0">
            <x v="25"/>
          </reference>
        </references>
      </pivotArea>
    </chartFormat>
    <chartFormat chart="23" format="794">
      <pivotArea type="data" outline="0" fieldPosition="0">
        <references count="3">
          <reference field="4294967294" count="1" selected="0">
            <x v="0"/>
          </reference>
          <reference field="1" count="1" selected="0">
            <x v="31"/>
          </reference>
          <reference field="6" count="1" selected="0">
            <x v="25"/>
          </reference>
        </references>
      </pivotArea>
    </chartFormat>
    <chartFormat chart="23" format="795">
      <pivotArea type="data" outline="0" fieldPosition="0">
        <references count="3">
          <reference field="4294967294" count="1" selected="0">
            <x v="0"/>
          </reference>
          <reference field="1" count="1" selected="0">
            <x v="32"/>
          </reference>
          <reference field="6" count="1" selected="0">
            <x v="25"/>
          </reference>
        </references>
      </pivotArea>
    </chartFormat>
    <chartFormat chart="23" format="796">
      <pivotArea type="data" outline="0" fieldPosition="0">
        <references count="3">
          <reference field="4294967294" count="1" selected="0">
            <x v="0"/>
          </reference>
          <reference field="1" count="1" selected="0">
            <x v="33"/>
          </reference>
          <reference field="6" count="1" selected="0">
            <x v="25"/>
          </reference>
        </references>
      </pivotArea>
    </chartFormat>
    <chartFormat chart="23" format="797">
      <pivotArea type="data" outline="0" fieldPosition="0">
        <references count="3">
          <reference field="4294967294" count="1" selected="0">
            <x v="0"/>
          </reference>
          <reference field="1" count="1" selected="0">
            <x v="34"/>
          </reference>
          <reference field="6" count="1" selected="0">
            <x v="25"/>
          </reference>
        </references>
      </pivotArea>
    </chartFormat>
    <chartFormat chart="23" format="798">
      <pivotArea type="data" outline="0" fieldPosition="0">
        <references count="3">
          <reference field="4294967294" count="1" selected="0">
            <x v="0"/>
          </reference>
          <reference field="1" count="1" selected="0">
            <x v="35"/>
          </reference>
          <reference field="6" count="1" selected="0">
            <x v="25"/>
          </reference>
        </references>
      </pivotArea>
    </chartFormat>
    <chartFormat chart="23" format="799">
      <pivotArea type="data" outline="0" fieldPosition="0">
        <references count="3">
          <reference field="4294967294" count="1" selected="0">
            <x v="0"/>
          </reference>
          <reference field="1" count="1" selected="0">
            <x v="36"/>
          </reference>
          <reference field="6" count="1" selected="0">
            <x v="25"/>
          </reference>
        </references>
      </pivotArea>
    </chartFormat>
    <chartFormat chart="23" format="800">
      <pivotArea type="data" outline="0" fieldPosition="0">
        <references count="3">
          <reference field="4294967294" count="1" selected="0">
            <x v="0"/>
          </reference>
          <reference field="1" count="1" selected="0">
            <x v="37"/>
          </reference>
          <reference field="6" count="1" selected="0">
            <x v="25"/>
          </reference>
        </references>
      </pivotArea>
    </chartFormat>
    <chartFormat chart="23" format="801">
      <pivotArea type="data" outline="0" fieldPosition="0">
        <references count="3">
          <reference field="4294967294" count="1" selected="0">
            <x v="0"/>
          </reference>
          <reference field="1" count="1" selected="0">
            <x v="38"/>
          </reference>
          <reference field="6" count="1" selected="0">
            <x v="25"/>
          </reference>
        </references>
      </pivotArea>
    </chartFormat>
    <chartFormat chart="23" format="802">
      <pivotArea type="data" outline="0" fieldPosition="0">
        <references count="3">
          <reference field="4294967294" count="1" selected="0">
            <x v="0"/>
          </reference>
          <reference field="1" count="1" selected="0">
            <x v="39"/>
          </reference>
          <reference field="6" count="1" selected="0">
            <x v="25"/>
          </reference>
        </references>
      </pivotArea>
    </chartFormat>
    <chartFormat chart="23" format="803">
      <pivotArea type="data" outline="0" fieldPosition="0">
        <references count="3">
          <reference field="4294967294" count="1" selected="0">
            <x v="0"/>
          </reference>
          <reference field="1" count="1" selected="0">
            <x v="40"/>
          </reference>
          <reference field="6" count="1" selected="0">
            <x v="25"/>
          </reference>
        </references>
      </pivotArea>
    </chartFormat>
    <chartFormat chart="23" format="804">
      <pivotArea type="data" outline="0" fieldPosition="0">
        <references count="3">
          <reference field="4294967294" count="1" selected="0">
            <x v="0"/>
          </reference>
          <reference field="1" count="1" selected="0">
            <x v="41"/>
          </reference>
          <reference field="6" count="1" selected="0">
            <x v="25"/>
          </reference>
        </references>
      </pivotArea>
    </chartFormat>
    <chartFormat chart="23" format="805">
      <pivotArea type="data" outline="0" fieldPosition="0">
        <references count="3">
          <reference field="4294967294" count="1" selected="0">
            <x v="0"/>
          </reference>
          <reference field="1" count="1" selected="0">
            <x v="42"/>
          </reference>
          <reference field="6" count="1" selected="0">
            <x v="25"/>
          </reference>
        </references>
      </pivotArea>
    </chartFormat>
    <chartFormat chart="23" format="806">
      <pivotArea type="data" outline="0" fieldPosition="0">
        <references count="3">
          <reference field="4294967294" count="1" selected="0">
            <x v="0"/>
          </reference>
          <reference field="1" count="1" selected="0">
            <x v="43"/>
          </reference>
          <reference field="6" count="1" selected="0">
            <x v="25"/>
          </reference>
        </references>
      </pivotArea>
    </chartFormat>
    <chartFormat chart="23" format="807">
      <pivotArea type="data" outline="0" fieldPosition="0">
        <references count="3">
          <reference field="4294967294" count="1" selected="0">
            <x v="0"/>
          </reference>
          <reference field="1" count="1" selected="0">
            <x v="44"/>
          </reference>
          <reference field="6" count="1" selected="0">
            <x v="25"/>
          </reference>
        </references>
      </pivotArea>
    </chartFormat>
    <chartFormat chart="23" format="808">
      <pivotArea type="data" outline="0" fieldPosition="0">
        <references count="3">
          <reference field="4294967294" count="1" selected="0">
            <x v="0"/>
          </reference>
          <reference field="1" count="1" selected="0">
            <x v="45"/>
          </reference>
          <reference field="6" count="1" selected="0">
            <x v="25"/>
          </reference>
        </references>
      </pivotArea>
    </chartFormat>
    <chartFormat chart="23" format="809">
      <pivotArea type="data" outline="0" fieldPosition="0">
        <references count="3">
          <reference field="4294967294" count="1" selected="0">
            <x v="0"/>
          </reference>
          <reference field="1" count="1" selected="0">
            <x v="5"/>
          </reference>
          <reference field="6" count="1" selected="0">
            <x v="26"/>
          </reference>
        </references>
      </pivotArea>
    </chartFormat>
    <chartFormat chart="23" format="810">
      <pivotArea type="data" outline="0" fieldPosition="0">
        <references count="3">
          <reference field="4294967294" count="1" selected="0">
            <x v="0"/>
          </reference>
          <reference field="1" count="1" selected="0">
            <x v="11"/>
          </reference>
          <reference field="6" count="1" selected="0">
            <x v="26"/>
          </reference>
        </references>
      </pivotArea>
    </chartFormat>
    <chartFormat chart="23" format="811">
      <pivotArea type="data" outline="0" fieldPosition="0">
        <references count="3">
          <reference field="4294967294" count="1" selected="0">
            <x v="0"/>
          </reference>
          <reference field="1" count="1" selected="0">
            <x v="17"/>
          </reference>
          <reference field="6" count="1" selected="0">
            <x v="26"/>
          </reference>
        </references>
      </pivotArea>
    </chartFormat>
    <chartFormat chart="23" format="812">
      <pivotArea type="data" outline="0" fieldPosition="0">
        <references count="3">
          <reference field="4294967294" count="1" selected="0">
            <x v="0"/>
          </reference>
          <reference field="1" count="1" selected="0">
            <x v="18"/>
          </reference>
          <reference field="6" count="1" selected="0">
            <x v="26"/>
          </reference>
        </references>
      </pivotArea>
    </chartFormat>
    <chartFormat chart="23" format="813">
      <pivotArea type="data" outline="0" fieldPosition="0">
        <references count="3">
          <reference field="4294967294" count="1" selected="0">
            <x v="0"/>
          </reference>
          <reference field="1" count="1" selected="0">
            <x v="19"/>
          </reference>
          <reference field="6" count="1" selected="0">
            <x v="26"/>
          </reference>
        </references>
      </pivotArea>
    </chartFormat>
    <chartFormat chart="23" format="814">
      <pivotArea type="data" outline="0" fieldPosition="0">
        <references count="3">
          <reference field="4294967294" count="1" selected="0">
            <x v="0"/>
          </reference>
          <reference field="1" count="1" selected="0">
            <x v="24"/>
          </reference>
          <reference field="6" count="1" selected="0">
            <x v="26"/>
          </reference>
        </references>
      </pivotArea>
    </chartFormat>
    <chartFormat chart="23" format="815">
      <pivotArea type="data" outline="0" fieldPosition="0">
        <references count="3">
          <reference field="4294967294" count="1" selected="0">
            <x v="0"/>
          </reference>
          <reference field="1" count="1" selected="0">
            <x v="25"/>
          </reference>
          <reference field="6" count="1" selected="0">
            <x v="26"/>
          </reference>
        </references>
      </pivotArea>
    </chartFormat>
    <chartFormat chart="23" format="816">
      <pivotArea type="data" outline="0" fieldPosition="0">
        <references count="3">
          <reference field="4294967294" count="1" selected="0">
            <x v="0"/>
          </reference>
          <reference field="1" count="1" selected="0">
            <x v="29"/>
          </reference>
          <reference field="6" count="1" selected="0">
            <x v="26"/>
          </reference>
        </references>
      </pivotArea>
    </chartFormat>
    <chartFormat chart="23" format="817">
      <pivotArea type="data" outline="0" fieldPosition="0">
        <references count="3">
          <reference field="4294967294" count="1" selected="0">
            <x v="0"/>
          </reference>
          <reference field="1" count="1" selected="0">
            <x v="30"/>
          </reference>
          <reference field="6" count="1" selected="0">
            <x v="26"/>
          </reference>
        </references>
      </pivotArea>
    </chartFormat>
    <chartFormat chart="23" format="818">
      <pivotArea type="data" outline="0" fieldPosition="0">
        <references count="3">
          <reference field="4294967294" count="1" selected="0">
            <x v="0"/>
          </reference>
          <reference field="1" count="1" selected="0">
            <x v="31"/>
          </reference>
          <reference field="6" count="1" selected="0">
            <x v="26"/>
          </reference>
        </references>
      </pivotArea>
    </chartFormat>
    <chartFormat chart="23" format="819">
      <pivotArea type="data" outline="0" fieldPosition="0">
        <references count="3">
          <reference field="4294967294" count="1" selected="0">
            <x v="0"/>
          </reference>
          <reference field="1" count="1" selected="0">
            <x v="32"/>
          </reference>
          <reference field="6" count="1" selected="0">
            <x v="26"/>
          </reference>
        </references>
      </pivotArea>
    </chartFormat>
    <chartFormat chart="23" format="820">
      <pivotArea type="data" outline="0" fieldPosition="0">
        <references count="3">
          <reference field="4294967294" count="1" selected="0">
            <x v="0"/>
          </reference>
          <reference field="1" count="1" selected="0">
            <x v="33"/>
          </reference>
          <reference field="6" count="1" selected="0">
            <x v="26"/>
          </reference>
        </references>
      </pivotArea>
    </chartFormat>
    <chartFormat chart="23" format="821">
      <pivotArea type="data" outline="0" fieldPosition="0">
        <references count="3">
          <reference field="4294967294" count="1" selected="0">
            <x v="0"/>
          </reference>
          <reference field="1" count="1" selected="0">
            <x v="34"/>
          </reference>
          <reference field="6" count="1" selected="0">
            <x v="26"/>
          </reference>
        </references>
      </pivotArea>
    </chartFormat>
    <chartFormat chart="23" format="822">
      <pivotArea type="data" outline="0" fieldPosition="0">
        <references count="3">
          <reference field="4294967294" count="1" selected="0">
            <x v="0"/>
          </reference>
          <reference field="1" count="1" selected="0">
            <x v="35"/>
          </reference>
          <reference field="6" count="1" selected="0">
            <x v="26"/>
          </reference>
        </references>
      </pivotArea>
    </chartFormat>
    <chartFormat chart="23" format="823">
      <pivotArea type="data" outline="0" fieldPosition="0">
        <references count="3">
          <reference field="4294967294" count="1" selected="0">
            <x v="0"/>
          </reference>
          <reference field="1" count="1" selected="0">
            <x v="36"/>
          </reference>
          <reference field="6" count="1" selected="0">
            <x v="26"/>
          </reference>
        </references>
      </pivotArea>
    </chartFormat>
    <chartFormat chart="23" format="824">
      <pivotArea type="data" outline="0" fieldPosition="0">
        <references count="3">
          <reference field="4294967294" count="1" selected="0">
            <x v="0"/>
          </reference>
          <reference field="1" count="1" selected="0">
            <x v="37"/>
          </reference>
          <reference field="6" count="1" selected="0">
            <x v="26"/>
          </reference>
        </references>
      </pivotArea>
    </chartFormat>
    <chartFormat chart="23" format="825">
      <pivotArea type="data" outline="0" fieldPosition="0">
        <references count="3">
          <reference field="4294967294" count="1" selected="0">
            <x v="0"/>
          </reference>
          <reference field="1" count="1" selected="0">
            <x v="38"/>
          </reference>
          <reference field="6" count="1" selected="0">
            <x v="26"/>
          </reference>
        </references>
      </pivotArea>
    </chartFormat>
    <chartFormat chart="23" format="826">
      <pivotArea type="data" outline="0" fieldPosition="0">
        <references count="3">
          <reference field="4294967294" count="1" selected="0">
            <x v="0"/>
          </reference>
          <reference field="1" count="1" selected="0">
            <x v="39"/>
          </reference>
          <reference field="6" count="1" selected="0">
            <x v="26"/>
          </reference>
        </references>
      </pivotArea>
    </chartFormat>
    <chartFormat chart="23" format="827">
      <pivotArea type="data" outline="0" fieldPosition="0">
        <references count="3">
          <reference field="4294967294" count="1" selected="0">
            <x v="0"/>
          </reference>
          <reference field="1" count="1" selected="0">
            <x v="40"/>
          </reference>
          <reference field="6" count="1" selected="0">
            <x v="26"/>
          </reference>
        </references>
      </pivotArea>
    </chartFormat>
    <chartFormat chart="23" format="828">
      <pivotArea type="data" outline="0" fieldPosition="0">
        <references count="3">
          <reference field="4294967294" count="1" selected="0">
            <x v="0"/>
          </reference>
          <reference field="1" count="1" selected="0">
            <x v="41"/>
          </reference>
          <reference field="6" count="1" selected="0">
            <x v="26"/>
          </reference>
        </references>
      </pivotArea>
    </chartFormat>
    <chartFormat chart="23" format="829">
      <pivotArea type="data" outline="0" fieldPosition="0">
        <references count="3">
          <reference field="4294967294" count="1" selected="0">
            <x v="0"/>
          </reference>
          <reference field="1" count="1" selected="0">
            <x v="42"/>
          </reference>
          <reference field="6" count="1" selected="0">
            <x v="26"/>
          </reference>
        </references>
      </pivotArea>
    </chartFormat>
    <chartFormat chart="23" format="830">
      <pivotArea type="data" outline="0" fieldPosition="0">
        <references count="3">
          <reference field="4294967294" count="1" selected="0">
            <x v="0"/>
          </reference>
          <reference field="1" count="1" selected="0">
            <x v="43"/>
          </reference>
          <reference field="6" count="1" selected="0">
            <x v="26"/>
          </reference>
        </references>
      </pivotArea>
    </chartFormat>
    <chartFormat chart="23" format="831">
      <pivotArea type="data" outline="0" fieldPosition="0">
        <references count="3">
          <reference field="4294967294" count="1" selected="0">
            <x v="0"/>
          </reference>
          <reference field="1" count="1" selected="0">
            <x v="44"/>
          </reference>
          <reference field="6" count="1" selected="0">
            <x v="26"/>
          </reference>
        </references>
      </pivotArea>
    </chartFormat>
    <chartFormat chart="23" format="832">
      <pivotArea type="data" outline="0" fieldPosition="0">
        <references count="3">
          <reference field="4294967294" count="1" selected="0">
            <x v="0"/>
          </reference>
          <reference field="1" count="1" selected="0">
            <x v="45"/>
          </reference>
          <reference field="6" count="1" selected="0">
            <x v="26"/>
          </reference>
        </references>
      </pivotArea>
    </chartFormat>
    <chartFormat chart="23" format="833">
      <pivotArea type="data" outline="0" fieldPosition="0">
        <references count="3">
          <reference field="4294967294" count="1" selected="0">
            <x v="0"/>
          </reference>
          <reference field="1" count="1" selected="0">
            <x v="5"/>
          </reference>
          <reference field="6" count="1" selected="0">
            <x v="27"/>
          </reference>
        </references>
      </pivotArea>
    </chartFormat>
    <chartFormat chart="23" format="834">
      <pivotArea type="data" outline="0" fieldPosition="0">
        <references count="3">
          <reference field="4294967294" count="1" selected="0">
            <x v="0"/>
          </reference>
          <reference field="1" count="1" selected="0">
            <x v="11"/>
          </reference>
          <reference field="6" count="1" selected="0">
            <x v="27"/>
          </reference>
        </references>
      </pivotArea>
    </chartFormat>
    <chartFormat chart="23" format="835">
      <pivotArea type="data" outline="0" fieldPosition="0">
        <references count="3">
          <reference field="4294967294" count="1" selected="0">
            <x v="0"/>
          </reference>
          <reference field="1" count="1" selected="0">
            <x v="17"/>
          </reference>
          <reference field="6" count="1" selected="0">
            <x v="27"/>
          </reference>
        </references>
      </pivotArea>
    </chartFormat>
    <chartFormat chart="23" format="836">
      <pivotArea type="data" outline="0" fieldPosition="0">
        <references count="3">
          <reference field="4294967294" count="1" selected="0">
            <x v="0"/>
          </reference>
          <reference field="1" count="1" selected="0">
            <x v="18"/>
          </reference>
          <reference field="6" count="1" selected="0">
            <x v="27"/>
          </reference>
        </references>
      </pivotArea>
    </chartFormat>
    <chartFormat chart="23" format="837">
      <pivotArea type="data" outline="0" fieldPosition="0">
        <references count="3">
          <reference field="4294967294" count="1" selected="0">
            <x v="0"/>
          </reference>
          <reference field="1" count="1" selected="0">
            <x v="19"/>
          </reference>
          <reference field="6" count="1" selected="0">
            <x v="27"/>
          </reference>
        </references>
      </pivotArea>
    </chartFormat>
    <chartFormat chart="23" format="838">
      <pivotArea type="data" outline="0" fieldPosition="0">
        <references count="3">
          <reference field="4294967294" count="1" selected="0">
            <x v="0"/>
          </reference>
          <reference field="1" count="1" selected="0">
            <x v="24"/>
          </reference>
          <reference field="6" count="1" selected="0">
            <x v="27"/>
          </reference>
        </references>
      </pivotArea>
    </chartFormat>
    <chartFormat chart="23" format="839">
      <pivotArea type="data" outline="0" fieldPosition="0">
        <references count="3">
          <reference field="4294967294" count="1" selected="0">
            <x v="0"/>
          </reference>
          <reference field="1" count="1" selected="0">
            <x v="25"/>
          </reference>
          <reference field="6" count="1" selected="0">
            <x v="27"/>
          </reference>
        </references>
      </pivotArea>
    </chartFormat>
    <chartFormat chart="23" format="840">
      <pivotArea type="data" outline="0" fieldPosition="0">
        <references count="3">
          <reference field="4294967294" count="1" selected="0">
            <x v="0"/>
          </reference>
          <reference field="1" count="1" selected="0">
            <x v="29"/>
          </reference>
          <reference field="6" count="1" selected="0">
            <x v="27"/>
          </reference>
        </references>
      </pivotArea>
    </chartFormat>
    <chartFormat chart="23" format="841">
      <pivotArea type="data" outline="0" fieldPosition="0">
        <references count="3">
          <reference field="4294967294" count="1" selected="0">
            <x v="0"/>
          </reference>
          <reference field="1" count="1" selected="0">
            <x v="30"/>
          </reference>
          <reference field="6" count="1" selected="0">
            <x v="27"/>
          </reference>
        </references>
      </pivotArea>
    </chartFormat>
    <chartFormat chart="23" format="842">
      <pivotArea type="data" outline="0" fieldPosition="0">
        <references count="3">
          <reference field="4294967294" count="1" selected="0">
            <x v="0"/>
          </reference>
          <reference field="1" count="1" selected="0">
            <x v="31"/>
          </reference>
          <reference field="6" count="1" selected="0">
            <x v="27"/>
          </reference>
        </references>
      </pivotArea>
    </chartFormat>
    <chartFormat chart="23" format="843">
      <pivotArea type="data" outline="0" fieldPosition="0">
        <references count="3">
          <reference field="4294967294" count="1" selected="0">
            <x v="0"/>
          </reference>
          <reference field="1" count="1" selected="0">
            <x v="32"/>
          </reference>
          <reference field="6" count="1" selected="0">
            <x v="27"/>
          </reference>
        </references>
      </pivotArea>
    </chartFormat>
    <chartFormat chart="23" format="844">
      <pivotArea type="data" outline="0" fieldPosition="0">
        <references count="3">
          <reference field="4294967294" count="1" selected="0">
            <x v="0"/>
          </reference>
          <reference field="1" count="1" selected="0">
            <x v="33"/>
          </reference>
          <reference field="6" count="1" selected="0">
            <x v="27"/>
          </reference>
        </references>
      </pivotArea>
    </chartFormat>
    <chartFormat chart="23" format="845">
      <pivotArea type="data" outline="0" fieldPosition="0">
        <references count="3">
          <reference field="4294967294" count="1" selected="0">
            <x v="0"/>
          </reference>
          <reference field="1" count="1" selected="0">
            <x v="34"/>
          </reference>
          <reference field="6" count="1" selected="0">
            <x v="27"/>
          </reference>
        </references>
      </pivotArea>
    </chartFormat>
    <chartFormat chart="23" format="846">
      <pivotArea type="data" outline="0" fieldPosition="0">
        <references count="3">
          <reference field="4294967294" count="1" selected="0">
            <x v="0"/>
          </reference>
          <reference field="1" count="1" selected="0">
            <x v="35"/>
          </reference>
          <reference field="6" count="1" selected="0">
            <x v="27"/>
          </reference>
        </references>
      </pivotArea>
    </chartFormat>
    <chartFormat chart="23" format="847">
      <pivotArea type="data" outline="0" fieldPosition="0">
        <references count="3">
          <reference field="4294967294" count="1" selected="0">
            <x v="0"/>
          </reference>
          <reference field="1" count="1" selected="0">
            <x v="36"/>
          </reference>
          <reference field="6" count="1" selected="0">
            <x v="27"/>
          </reference>
        </references>
      </pivotArea>
    </chartFormat>
    <chartFormat chart="23" format="848">
      <pivotArea type="data" outline="0" fieldPosition="0">
        <references count="3">
          <reference field="4294967294" count="1" selected="0">
            <x v="0"/>
          </reference>
          <reference field="1" count="1" selected="0">
            <x v="37"/>
          </reference>
          <reference field="6" count="1" selected="0">
            <x v="27"/>
          </reference>
        </references>
      </pivotArea>
    </chartFormat>
    <chartFormat chart="23" format="849">
      <pivotArea type="data" outline="0" fieldPosition="0">
        <references count="3">
          <reference field="4294967294" count="1" selected="0">
            <x v="0"/>
          </reference>
          <reference field="1" count="1" selected="0">
            <x v="38"/>
          </reference>
          <reference field="6" count="1" selected="0">
            <x v="27"/>
          </reference>
        </references>
      </pivotArea>
    </chartFormat>
    <chartFormat chart="23" format="850">
      <pivotArea type="data" outline="0" fieldPosition="0">
        <references count="3">
          <reference field="4294967294" count="1" selected="0">
            <x v="0"/>
          </reference>
          <reference field="1" count="1" selected="0">
            <x v="39"/>
          </reference>
          <reference field="6" count="1" selected="0">
            <x v="27"/>
          </reference>
        </references>
      </pivotArea>
    </chartFormat>
    <chartFormat chart="23" format="851">
      <pivotArea type="data" outline="0" fieldPosition="0">
        <references count="3">
          <reference field="4294967294" count="1" selected="0">
            <x v="0"/>
          </reference>
          <reference field="1" count="1" selected="0">
            <x v="40"/>
          </reference>
          <reference field="6" count="1" selected="0">
            <x v="27"/>
          </reference>
        </references>
      </pivotArea>
    </chartFormat>
    <chartFormat chart="23" format="852">
      <pivotArea type="data" outline="0" fieldPosition="0">
        <references count="3">
          <reference field="4294967294" count="1" selected="0">
            <x v="0"/>
          </reference>
          <reference field="1" count="1" selected="0">
            <x v="41"/>
          </reference>
          <reference field="6" count="1" selected="0">
            <x v="27"/>
          </reference>
        </references>
      </pivotArea>
    </chartFormat>
    <chartFormat chart="23" format="853">
      <pivotArea type="data" outline="0" fieldPosition="0">
        <references count="3">
          <reference field="4294967294" count="1" selected="0">
            <x v="0"/>
          </reference>
          <reference field="1" count="1" selected="0">
            <x v="42"/>
          </reference>
          <reference field="6" count="1" selected="0">
            <x v="27"/>
          </reference>
        </references>
      </pivotArea>
    </chartFormat>
    <chartFormat chart="23" format="854">
      <pivotArea type="data" outline="0" fieldPosition="0">
        <references count="3">
          <reference field="4294967294" count="1" selected="0">
            <x v="0"/>
          </reference>
          <reference field="1" count="1" selected="0">
            <x v="43"/>
          </reference>
          <reference field="6" count="1" selected="0">
            <x v="27"/>
          </reference>
        </references>
      </pivotArea>
    </chartFormat>
    <chartFormat chart="23" format="855">
      <pivotArea type="data" outline="0" fieldPosition="0">
        <references count="3">
          <reference field="4294967294" count="1" selected="0">
            <x v="0"/>
          </reference>
          <reference field="1" count="1" selected="0">
            <x v="44"/>
          </reference>
          <reference field="6" count="1" selected="0">
            <x v="27"/>
          </reference>
        </references>
      </pivotArea>
    </chartFormat>
    <chartFormat chart="23" format="856">
      <pivotArea type="data" outline="0" fieldPosition="0">
        <references count="3">
          <reference field="4294967294" count="1" selected="0">
            <x v="0"/>
          </reference>
          <reference field="1" count="1" selected="0">
            <x v="45"/>
          </reference>
          <reference field="6" count="1" selected="0">
            <x v="27"/>
          </reference>
        </references>
      </pivotArea>
    </chartFormat>
    <chartFormat chart="23" format="857">
      <pivotArea type="data" outline="0" fieldPosition="0">
        <references count="3">
          <reference field="4294967294" count="1" selected="0">
            <x v="0"/>
          </reference>
          <reference field="1" count="1" selected="0">
            <x v="5"/>
          </reference>
          <reference field="6" count="1" selected="0">
            <x v="28"/>
          </reference>
        </references>
      </pivotArea>
    </chartFormat>
    <chartFormat chart="23" format="858">
      <pivotArea type="data" outline="0" fieldPosition="0">
        <references count="3">
          <reference field="4294967294" count="1" selected="0">
            <x v="0"/>
          </reference>
          <reference field="1" count="1" selected="0">
            <x v="11"/>
          </reference>
          <reference field="6" count="1" selected="0">
            <x v="28"/>
          </reference>
        </references>
      </pivotArea>
    </chartFormat>
    <chartFormat chart="23" format="859">
      <pivotArea type="data" outline="0" fieldPosition="0">
        <references count="3">
          <reference field="4294967294" count="1" selected="0">
            <x v="0"/>
          </reference>
          <reference field="1" count="1" selected="0">
            <x v="17"/>
          </reference>
          <reference field="6" count="1" selected="0">
            <x v="28"/>
          </reference>
        </references>
      </pivotArea>
    </chartFormat>
    <chartFormat chart="23" format="860">
      <pivotArea type="data" outline="0" fieldPosition="0">
        <references count="3">
          <reference field="4294967294" count="1" selected="0">
            <x v="0"/>
          </reference>
          <reference field="1" count="1" selected="0">
            <x v="18"/>
          </reference>
          <reference field="6" count="1" selected="0">
            <x v="28"/>
          </reference>
        </references>
      </pivotArea>
    </chartFormat>
    <chartFormat chart="23" format="861">
      <pivotArea type="data" outline="0" fieldPosition="0">
        <references count="3">
          <reference field="4294967294" count="1" selected="0">
            <x v="0"/>
          </reference>
          <reference field="1" count="1" selected="0">
            <x v="19"/>
          </reference>
          <reference field="6" count="1" selected="0">
            <x v="28"/>
          </reference>
        </references>
      </pivotArea>
    </chartFormat>
    <chartFormat chart="23" format="862">
      <pivotArea type="data" outline="0" fieldPosition="0">
        <references count="3">
          <reference field="4294967294" count="1" selected="0">
            <x v="0"/>
          </reference>
          <reference field="1" count="1" selected="0">
            <x v="24"/>
          </reference>
          <reference field="6" count="1" selected="0">
            <x v="28"/>
          </reference>
        </references>
      </pivotArea>
    </chartFormat>
    <chartFormat chart="23" format="863">
      <pivotArea type="data" outline="0" fieldPosition="0">
        <references count="3">
          <reference field="4294967294" count="1" selected="0">
            <x v="0"/>
          </reference>
          <reference field="1" count="1" selected="0">
            <x v="25"/>
          </reference>
          <reference field="6" count="1" selected="0">
            <x v="28"/>
          </reference>
        </references>
      </pivotArea>
    </chartFormat>
    <chartFormat chart="23" format="864">
      <pivotArea type="data" outline="0" fieldPosition="0">
        <references count="3">
          <reference field="4294967294" count="1" selected="0">
            <x v="0"/>
          </reference>
          <reference field="1" count="1" selected="0">
            <x v="29"/>
          </reference>
          <reference field="6" count="1" selected="0">
            <x v="28"/>
          </reference>
        </references>
      </pivotArea>
    </chartFormat>
    <chartFormat chart="23" format="865">
      <pivotArea type="data" outline="0" fieldPosition="0">
        <references count="3">
          <reference field="4294967294" count="1" selected="0">
            <x v="0"/>
          </reference>
          <reference field="1" count="1" selected="0">
            <x v="30"/>
          </reference>
          <reference field="6" count="1" selected="0">
            <x v="28"/>
          </reference>
        </references>
      </pivotArea>
    </chartFormat>
    <chartFormat chart="23" format="866">
      <pivotArea type="data" outline="0" fieldPosition="0">
        <references count="3">
          <reference field="4294967294" count="1" selected="0">
            <x v="0"/>
          </reference>
          <reference field="1" count="1" selected="0">
            <x v="31"/>
          </reference>
          <reference field="6" count="1" selected="0">
            <x v="28"/>
          </reference>
        </references>
      </pivotArea>
    </chartFormat>
    <chartFormat chart="23" format="867">
      <pivotArea type="data" outline="0" fieldPosition="0">
        <references count="3">
          <reference field="4294967294" count="1" selected="0">
            <x v="0"/>
          </reference>
          <reference field="1" count="1" selected="0">
            <x v="32"/>
          </reference>
          <reference field="6" count="1" selected="0">
            <x v="28"/>
          </reference>
        </references>
      </pivotArea>
    </chartFormat>
    <chartFormat chart="23" format="868">
      <pivotArea type="data" outline="0" fieldPosition="0">
        <references count="3">
          <reference field="4294967294" count="1" selected="0">
            <x v="0"/>
          </reference>
          <reference field="1" count="1" selected="0">
            <x v="33"/>
          </reference>
          <reference field="6" count="1" selected="0">
            <x v="28"/>
          </reference>
        </references>
      </pivotArea>
    </chartFormat>
    <chartFormat chart="23" format="869">
      <pivotArea type="data" outline="0" fieldPosition="0">
        <references count="3">
          <reference field="4294967294" count="1" selected="0">
            <x v="0"/>
          </reference>
          <reference field="1" count="1" selected="0">
            <x v="34"/>
          </reference>
          <reference field="6" count="1" selected="0">
            <x v="28"/>
          </reference>
        </references>
      </pivotArea>
    </chartFormat>
    <chartFormat chart="23" format="870">
      <pivotArea type="data" outline="0" fieldPosition="0">
        <references count="3">
          <reference field="4294967294" count="1" selected="0">
            <x v="0"/>
          </reference>
          <reference field="1" count="1" selected="0">
            <x v="35"/>
          </reference>
          <reference field="6" count="1" selected="0">
            <x v="28"/>
          </reference>
        </references>
      </pivotArea>
    </chartFormat>
    <chartFormat chart="23" format="871">
      <pivotArea type="data" outline="0" fieldPosition="0">
        <references count="3">
          <reference field="4294967294" count="1" selected="0">
            <x v="0"/>
          </reference>
          <reference field="1" count="1" selected="0">
            <x v="36"/>
          </reference>
          <reference field="6" count="1" selected="0">
            <x v="28"/>
          </reference>
        </references>
      </pivotArea>
    </chartFormat>
    <chartFormat chart="23" format="872">
      <pivotArea type="data" outline="0" fieldPosition="0">
        <references count="3">
          <reference field="4294967294" count="1" selected="0">
            <x v="0"/>
          </reference>
          <reference field="1" count="1" selected="0">
            <x v="37"/>
          </reference>
          <reference field="6" count="1" selected="0">
            <x v="28"/>
          </reference>
        </references>
      </pivotArea>
    </chartFormat>
    <chartFormat chart="23" format="873">
      <pivotArea type="data" outline="0" fieldPosition="0">
        <references count="3">
          <reference field="4294967294" count="1" selected="0">
            <x v="0"/>
          </reference>
          <reference field="1" count="1" selected="0">
            <x v="38"/>
          </reference>
          <reference field="6" count="1" selected="0">
            <x v="28"/>
          </reference>
        </references>
      </pivotArea>
    </chartFormat>
    <chartFormat chart="23" format="874">
      <pivotArea type="data" outline="0" fieldPosition="0">
        <references count="3">
          <reference field="4294967294" count="1" selected="0">
            <x v="0"/>
          </reference>
          <reference field="1" count="1" selected="0">
            <x v="39"/>
          </reference>
          <reference field="6" count="1" selected="0">
            <x v="28"/>
          </reference>
        </references>
      </pivotArea>
    </chartFormat>
    <chartFormat chart="23" format="875">
      <pivotArea type="data" outline="0" fieldPosition="0">
        <references count="3">
          <reference field="4294967294" count="1" selected="0">
            <x v="0"/>
          </reference>
          <reference field="1" count="1" selected="0">
            <x v="40"/>
          </reference>
          <reference field="6" count="1" selected="0">
            <x v="28"/>
          </reference>
        </references>
      </pivotArea>
    </chartFormat>
    <chartFormat chart="23" format="876">
      <pivotArea type="data" outline="0" fieldPosition="0">
        <references count="3">
          <reference field="4294967294" count="1" selected="0">
            <x v="0"/>
          </reference>
          <reference field="1" count="1" selected="0">
            <x v="41"/>
          </reference>
          <reference field="6" count="1" selected="0">
            <x v="28"/>
          </reference>
        </references>
      </pivotArea>
    </chartFormat>
    <chartFormat chart="23" format="877">
      <pivotArea type="data" outline="0" fieldPosition="0">
        <references count="3">
          <reference field="4294967294" count="1" selected="0">
            <x v="0"/>
          </reference>
          <reference field="1" count="1" selected="0">
            <x v="42"/>
          </reference>
          <reference field="6" count="1" selected="0">
            <x v="28"/>
          </reference>
        </references>
      </pivotArea>
    </chartFormat>
    <chartFormat chart="23" format="878">
      <pivotArea type="data" outline="0" fieldPosition="0">
        <references count="3">
          <reference field="4294967294" count="1" selected="0">
            <x v="0"/>
          </reference>
          <reference field="1" count="1" selected="0">
            <x v="43"/>
          </reference>
          <reference field="6" count="1" selected="0">
            <x v="28"/>
          </reference>
        </references>
      </pivotArea>
    </chartFormat>
    <chartFormat chart="23" format="879">
      <pivotArea type="data" outline="0" fieldPosition="0">
        <references count="3">
          <reference field="4294967294" count="1" selected="0">
            <x v="0"/>
          </reference>
          <reference field="1" count="1" selected="0">
            <x v="44"/>
          </reference>
          <reference field="6" count="1" selected="0">
            <x v="28"/>
          </reference>
        </references>
      </pivotArea>
    </chartFormat>
    <chartFormat chart="23" format="880">
      <pivotArea type="data" outline="0" fieldPosition="0">
        <references count="3">
          <reference field="4294967294" count="1" selected="0">
            <x v="0"/>
          </reference>
          <reference field="1" count="1" selected="0">
            <x v="45"/>
          </reference>
          <reference field="6" count="1" selected="0">
            <x v="28"/>
          </reference>
        </references>
      </pivotArea>
    </chartFormat>
    <chartFormat chart="23" format="881">
      <pivotArea type="data" outline="0" fieldPosition="0">
        <references count="3">
          <reference field="4294967294" count="1" selected="0">
            <x v="0"/>
          </reference>
          <reference field="1" count="1" selected="0">
            <x v="5"/>
          </reference>
          <reference field="6" count="1" selected="0">
            <x v="29"/>
          </reference>
        </references>
      </pivotArea>
    </chartFormat>
    <chartFormat chart="23" format="882">
      <pivotArea type="data" outline="0" fieldPosition="0">
        <references count="3">
          <reference field="4294967294" count="1" selected="0">
            <x v="0"/>
          </reference>
          <reference field="1" count="1" selected="0">
            <x v="11"/>
          </reference>
          <reference field="6" count="1" selected="0">
            <x v="29"/>
          </reference>
        </references>
      </pivotArea>
    </chartFormat>
    <chartFormat chart="23" format="883">
      <pivotArea type="data" outline="0" fieldPosition="0">
        <references count="3">
          <reference field="4294967294" count="1" selected="0">
            <x v="0"/>
          </reference>
          <reference field="1" count="1" selected="0">
            <x v="17"/>
          </reference>
          <reference field="6" count="1" selected="0">
            <x v="29"/>
          </reference>
        </references>
      </pivotArea>
    </chartFormat>
    <chartFormat chart="23" format="884">
      <pivotArea type="data" outline="0" fieldPosition="0">
        <references count="3">
          <reference field="4294967294" count="1" selected="0">
            <x v="0"/>
          </reference>
          <reference field="1" count="1" selected="0">
            <x v="18"/>
          </reference>
          <reference field="6" count="1" selected="0">
            <x v="29"/>
          </reference>
        </references>
      </pivotArea>
    </chartFormat>
    <chartFormat chart="23" format="885">
      <pivotArea type="data" outline="0" fieldPosition="0">
        <references count="3">
          <reference field="4294967294" count="1" selected="0">
            <x v="0"/>
          </reference>
          <reference field="1" count="1" selected="0">
            <x v="19"/>
          </reference>
          <reference field="6" count="1" selected="0">
            <x v="29"/>
          </reference>
        </references>
      </pivotArea>
    </chartFormat>
    <chartFormat chart="23" format="886">
      <pivotArea type="data" outline="0" fieldPosition="0">
        <references count="3">
          <reference field="4294967294" count="1" selected="0">
            <x v="0"/>
          </reference>
          <reference field="1" count="1" selected="0">
            <x v="24"/>
          </reference>
          <reference field="6" count="1" selected="0">
            <x v="29"/>
          </reference>
        </references>
      </pivotArea>
    </chartFormat>
    <chartFormat chart="23" format="887">
      <pivotArea type="data" outline="0" fieldPosition="0">
        <references count="3">
          <reference field="4294967294" count="1" selected="0">
            <x v="0"/>
          </reference>
          <reference field="1" count="1" selected="0">
            <x v="25"/>
          </reference>
          <reference field="6" count="1" selected="0">
            <x v="29"/>
          </reference>
        </references>
      </pivotArea>
    </chartFormat>
    <chartFormat chart="23" format="888">
      <pivotArea type="data" outline="0" fieldPosition="0">
        <references count="3">
          <reference field="4294967294" count="1" selected="0">
            <x v="0"/>
          </reference>
          <reference field="1" count="1" selected="0">
            <x v="29"/>
          </reference>
          <reference field="6" count="1" selected="0">
            <x v="29"/>
          </reference>
        </references>
      </pivotArea>
    </chartFormat>
    <chartFormat chart="23" format="889">
      <pivotArea type="data" outline="0" fieldPosition="0">
        <references count="3">
          <reference field="4294967294" count="1" selected="0">
            <x v="0"/>
          </reference>
          <reference field="1" count="1" selected="0">
            <x v="30"/>
          </reference>
          <reference field="6" count="1" selected="0">
            <x v="29"/>
          </reference>
        </references>
      </pivotArea>
    </chartFormat>
    <chartFormat chart="23" format="890">
      <pivotArea type="data" outline="0" fieldPosition="0">
        <references count="3">
          <reference field="4294967294" count="1" selected="0">
            <x v="0"/>
          </reference>
          <reference field="1" count="1" selected="0">
            <x v="31"/>
          </reference>
          <reference field="6" count="1" selected="0">
            <x v="29"/>
          </reference>
        </references>
      </pivotArea>
    </chartFormat>
    <chartFormat chart="23" format="891">
      <pivotArea type="data" outline="0" fieldPosition="0">
        <references count="3">
          <reference field="4294967294" count="1" selected="0">
            <x v="0"/>
          </reference>
          <reference field="1" count="1" selected="0">
            <x v="32"/>
          </reference>
          <reference field="6" count="1" selected="0">
            <x v="29"/>
          </reference>
        </references>
      </pivotArea>
    </chartFormat>
    <chartFormat chart="23" format="892">
      <pivotArea type="data" outline="0" fieldPosition="0">
        <references count="3">
          <reference field="4294967294" count="1" selected="0">
            <x v="0"/>
          </reference>
          <reference field="1" count="1" selected="0">
            <x v="33"/>
          </reference>
          <reference field="6" count="1" selected="0">
            <x v="29"/>
          </reference>
        </references>
      </pivotArea>
    </chartFormat>
    <chartFormat chart="23" format="893">
      <pivotArea type="data" outline="0" fieldPosition="0">
        <references count="3">
          <reference field="4294967294" count="1" selected="0">
            <x v="0"/>
          </reference>
          <reference field="1" count="1" selected="0">
            <x v="34"/>
          </reference>
          <reference field="6" count="1" selected="0">
            <x v="29"/>
          </reference>
        </references>
      </pivotArea>
    </chartFormat>
    <chartFormat chart="23" format="894">
      <pivotArea type="data" outline="0" fieldPosition="0">
        <references count="3">
          <reference field="4294967294" count="1" selected="0">
            <x v="0"/>
          </reference>
          <reference field="1" count="1" selected="0">
            <x v="35"/>
          </reference>
          <reference field="6" count="1" selected="0">
            <x v="29"/>
          </reference>
        </references>
      </pivotArea>
    </chartFormat>
    <chartFormat chart="23" format="895">
      <pivotArea type="data" outline="0" fieldPosition="0">
        <references count="3">
          <reference field="4294967294" count="1" selected="0">
            <x v="0"/>
          </reference>
          <reference field="1" count="1" selected="0">
            <x v="36"/>
          </reference>
          <reference field="6" count="1" selected="0">
            <x v="29"/>
          </reference>
        </references>
      </pivotArea>
    </chartFormat>
    <chartFormat chart="23" format="896">
      <pivotArea type="data" outline="0" fieldPosition="0">
        <references count="3">
          <reference field="4294967294" count="1" selected="0">
            <x v="0"/>
          </reference>
          <reference field="1" count="1" selected="0">
            <x v="37"/>
          </reference>
          <reference field="6" count="1" selected="0">
            <x v="29"/>
          </reference>
        </references>
      </pivotArea>
    </chartFormat>
    <chartFormat chart="23" format="897">
      <pivotArea type="data" outline="0" fieldPosition="0">
        <references count="3">
          <reference field="4294967294" count="1" selected="0">
            <x v="0"/>
          </reference>
          <reference field="1" count="1" selected="0">
            <x v="38"/>
          </reference>
          <reference field="6" count="1" selected="0">
            <x v="29"/>
          </reference>
        </references>
      </pivotArea>
    </chartFormat>
    <chartFormat chart="23" format="898">
      <pivotArea type="data" outline="0" fieldPosition="0">
        <references count="3">
          <reference field="4294967294" count="1" selected="0">
            <x v="0"/>
          </reference>
          <reference field="1" count="1" selected="0">
            <x v="39"/>
          </reference>
          <reference field="6" count="1" selected="0">
            <x v="29"/>
          </reference>
        </references>
      </pivotArea>
    </chartFormat>
    <chartFormat chart="23" format="899">
      <pivotArea type="data" outline="0" fieldPosition="0">
        <references count="3">
          <reference field="4294967294" count="1" selected="0">
            <x v="0"/>
          </reference>
          <reference field="1" count="1" selected="0">
            <x v="40"/>
          </reference>
          <reference field="6" count="1" selected="0">
            <x v="29"/>
          </reference>
        </references>
      </pivotArea>
    </chartFormat>
    <chartFormat chart="23" format="900">
      <pivotArea type="data" outline="0" fieldPosition="0">
        <references count="3">
          <reference field="4294967294" count="1" selected="0">
            <x v="0"/>
          </reference>
          <reference field="1" count="1" selected="0">
            <x v="41"/>
          </reference>
          <reference field="6" count="1" selected="0">
            <x v="29"/>
          </reference>
        </references>
      </pivotArea>
    </chartFormat>
    <chartFormat chart="23" format="901">
      <pivotArea type="data" outline="0" fieldPosition="0">
        <references count="3">
          <reference field="4294967294" count="1" selected="0">
            <x v="0"/>
          </reference>
          <reference field="1" count="1" selected="0">
            <x v="42"/>
          </reference>
          <reference field="6" count="1" selected="0">
            <x v="29"/>
          </reference>
        </references>
      </pivotArea>
    </chartFormat>
    <chartFormat chart="23" format="902">
      <pivotArea type="data" outline="0" fieldPosition="0">
        <references count="3">
          <reference field="4294967294" count="1" selected="0">
            <x v="0"/>
          </reference>
          <reference field="1" count="1" selected="0">
            <x v="43"/>
          </reference>
          <reference field="6" count="1" selected="0">
            <x v="29"/>
          </reference>
        </references>
      </pivotArea>
    </chartFormat>
    <chartFormat chart="23" format="903">
      <pivotArea type="data" outline="0" fieldPosition="0">
        <references count="3">
          <reference field="4294967294" count="1" selected="0">
            <x v="0"/>
          </reference>
          <reference field="1" count="1" selected="0">
            <x v="44"/>
          </reference>
          <reference field="6" count="1" selected="0">
            <x v="29"/>
          </reference>
        </references>
      </pivotArea>
    </chartFormat>
    <chartFormat chart="23" format="904">
      <pivotArea type="data" outline="0" fieldPosition="0">
        <references count="3">
          <reference field="4294967294" count="1" selected="0">
            <x v="0"/>
          </reference>
          <reference field="1" count="1" selected="0">
            <x v="45"/>
          </reference>
          <reference field="6" count="1" selected="0">
            <x v="29"/>
          </reference>
        </references>
      </pivotArea>
    </chartFormat>
    <chartFormat chart="23" format="905">
      <pivotArea type="data" outline="0" fieldPosition="0">
        <references count="3">
          <reference field="4294967294" count="1" selected="0">
            <x v="0"/>
          </reference>
          <reference field="1" count="1" selected="0">
            <x v="5"/>
          </reference>
          <reference field="6" count="1" selected="0">
            <x v="30"/>
          </reference>
        </references>
      </pivotArea>
    </chartFormat>
    <chartFormat chart="23" format="906">
      <pivotArea type="data" outline="0" fieldPosition="0">
        <references count="3">
          <reference field="4294967294" count="1" selected="0">
            <x v="0"/>
          </reference>
          <reference field="1" count="1" selected="0">
            <x v="11"/>
          </reference>
          <reference field="6" count="1" selected="0">
            <x v="30"/>
          </reference>
        </references>
      </pivotArea>
    </chartFormat>
    <chartFormat chart="23" format="907">
      <pivotArea type="data" outline="0" fieldPosition="0">
        <references count="3">
          <reference field="4294967294" count="1" selected="0">
            <x v="0"/>
          </reference>
          <reference field="1" count="1" selected="0">
            <x v="17"/>
          </reference>
          <reference field="6" count="1" selected="0">
            <x v="30"/>
          </reference>
        </references>
      </pivotArea>
    </chartFormat>
    <chartFormat chart="23" format="908">
      <pivotArea type="data" outline="0" fieldPosition="0">
        <references count="3">
          <reference field="4294967294" count="1" selected="0">
            <x v="0"/>
          </reference>
          <reference field="1" count="1" selected="0">
            <x v="18"/>
          </reference>
          <reference field="6" count="1" selected="0">
            <x v="30"/>
          </reference>
        </references>
      </pivotArea>
    </chartFormat>
    <chartFormat chart="23" format="909">
      <pivotArea type="data" outline="0" fieldPosition="0">
        <references count="3">
          <reference field="4294967294" count="1" selected="0">
            <x v="0"/>
          </reference>
          <reference field="1" count="1" selected="0">
            <x v="19"/>
          </reference>
          <reference field="6" count="1" selected="0">
            <x v="30"/>
          </reference>
        </references>
      </pivotArea>
    </chartFormat>
    <chartFormat chart="23" format="910">
      <pivotArea type="data" outline="0" fieldPosition="0">
        <references count="3">
          <reference field="4294967294" count="1" selected="0">
            <x v="0"/>
          </reference>
          <reference field="1" count="1" selected="0">
            <x v="24"/>
          </reference>
          <reference field="6" count="1" selected="0">
            <x v="30"/>
          </reference>
        </references>
      </pivotArea>
    </chartFormat>
    <chartFormat chart="23" format="911">
      <pivotArea type="data" outline="0" fieldPosition="0">
        <references count="3">
          <reference field="4294967294" count="1" selected="0">
            <x v="0"/>
          </reference>
          <reference field="1" count="1" selected="0">
            <x v="25"/>
          </reference>
          <reference field="6" count="1" selected="0">
            <x v="30"/>
          </reference>
        </references>
      </pivotArea>
    </chartFormat>
    <chartFormat chart="23" format="912">
      <pivotArea type="data" outline="0" fieldPosition="0">
        <references count="3">
          <reference field="4294967294" count="1" selected="0">
            <x v="0"/>
          </reference>
          <reference field="1" count="1" selected="0">
            <x v="29"/>
          </reference>
          <reference field="6" count="1" selected="0">
            <x v="30"/>
          </reference>
        </references>
      </pivotArea>
    </chartFormat>
    <chartFormat chart="23" format="913">
      <pivotArea type="data" outline="0" fieldPosition="0">
        <references count="3">
          <reference field="4294967294" count="1" selected="0">
            <x v="0"/>
          </reference>
          <reference field="1" count="1" selected="0">
            <x v="30"/>
          </reference>
          <reference field="6" count="1" selected="0">
            <x v="30"/>
          </reference>
        </references>
      </pivotArea>
    </chartFormat>
    <chartFormat chart="23" format="914">
      <pivotArea type="data" outline="0" fieldPosition="0">
        <references count="3">
          <reference field="4294967294" count="1" selected="0">
            <x v="0"/>
          </reference>
          <reference field="1" count="1" selected="0">
            <x v="31"/>
          </reference>
          <reference field="6" count="1" selected="0">
            <x v="30"/>
          </reference>
        </references>
      </pivotArea>
    </chartFormat>
    <chartFormat chart="23" format="915">
      <pivotArea type="data" outline="0" fieldPosition="0">
        <references count="3">
          <reference field="4294967294" count="1" selected="0">
            <x v="0"/>
          </reference>
          <reference field="1" count="1" selected="0">
            <x v="32"/>
          </reference>
          <reference field="6" count="1" selected="0">
            <x v="30"/>
          </reference>
        </references>
      </pivotArea>
    </chartFormat>
    <chartFormat chart="23" format="916">
      <pivotArea type="data" outline="0" fieldPosition="0">
        <references count="3">
          <reference field="4294967294" count="1" selected="0">
            <x v="0"/>
          </reference>
          <reference field="1" count="1" selected="0">
            <x v="33"/>
          </reference>
          <reference field="6" count="1" selected="0">
            <x v="30"/>
          </reference>
        </references>
      </pivotArea>
    </chartFormat>
    <chartFormat chart="23" format="917">
      <pivotArea type="data" outline="0" fieldPosition="0">
        <references count="3">
          <reference field="4294967294" count="1" selected="0">
            <x v="0"/>
          </reference>
          <reference field="1" count="1" selected="0">
            <x v="34"/>
          </reference>
          <reference field="6" count="1" selected="0">
            <x v="30"/>
          </reference>
        </references>
      </pivotArea>
    </chartFormat>
    <chartFormat chart="23" format="918">
      <pivotArea type="data" outline="0" fieldPosition="0">
        <references count="3">
          <reference field="4294967294" count="1" selected="0">
            <x v="0"/>
          </reference>
          <reference field="1" count="1" selected="0">
            <x v="35"/>
          </reference>
          <reference field="6" count="1" selected="0">
            <x v="30"/>
          </reference>
        </references>
      </pivotArea>
    </chartFormat>
    <chartFormat chart="23" format="919">
      <pivotArea type="data" outline="0" fieldPosition="0">
        <references count="3">
          <reference field="4294967294" count="1" selected="0">
            <x v="0"/>
          </reference>
          <reference field="1" count="1" selected="0">
            <x v="36"/>
          </reference>
          <reference field="6" count="1" selected="0">
            <x v="30"/>
          </reference>
        </references>
      </pivotArea>
    </chartFormat>
    <chartFormat chart="23" format="920">
      <pivotArea type="data" outline="0" fieldPosition="0">
        <references count="3">
          <reference field="4294967294" count="1" selected="0">
            <x v="0"/>
          </reference>
          <reference field="1" count="1" selected="0">
            <x v="37"/>
          </reference>
          <reference field="6" count="1" selected="0">
            <x v="30"/>
          </reference>
        </references>
      </pivotArea>
    </chartFormat>
    <chartFormat chart="23" format="921">
      <pivotArea type="data" outline="0" fieldPosition="0">
        <references count="3">
          <reference field="4294967294" count="1" selected="0">
            <x v="0"/>
          </reference>
          <reference field="1" count="1" selected="0">
            <x v="38"/>
          </reference>
          <reference field="6" count="1" selected="0">
            <x v="30"/>
          </reference>
        </references>
      </pivotArea>
    </chartFormat>
    <chartFormat chart="23" format="922">
      <pivotArea type="data" outline="0" fieldPosition="0">
        <references count="3">
          <reference field="4294967294" count="1" selected="0">
            <x v="0"/>
          </reference>
          <reference field="1" count="1" selected="0">
            <x v="39"/>
          </reference>
          <reference field="6" count="1" selected="0">
            <x v="30"/>
          </reference>
        </references>
      </pivotArea>
    </chartFormat>
    <chartFormat chart="23" format="923">
      <pivotArea type="data" outline="0" fieldPosition="0">
        <references count="3">
          <reference field="4294967294" count="1" selected="0">
            <x v="0"/>
          </reference>
          <reference field="1" count="1" selected="0">
            <x v="40"/>
          </reference>
          <reference field="6" count="1" selected="0">
            <x v="30"/>
          </reference>
        </references>
      </pivotArea>
    </chartFormat>
    <chartFormat chart="23" format="924">
      <pivotArea type="data" outline="0" fieldPosition="0">
        <references count="3">
          <reference field="4294967294" count="1" selected="0">
            <x v="0"/>
          </reference>
          <reference field="1" count="1" selected="0">
            <x v="41"/>
          </reference>
          <reference field="6" count="1" selected="0">
            <x v="30"/>
          </reference>
        </references>
      </pivotArea>
    </chartFormat>
    <chartFormat chart="23" format="925">
      <pivotArea type="data" outline="0" fieldPosition="0">
        <references count="3">
          <reference field="4294967294" count="1" selected="0">
            <x v="0"/>
          </reference>
          <reference field="1" count="1" selected="0">
            <x v="42"/>
          </reference>
          <reference field="6" count="1" selected="0">
            <x v="30"/>
          </reference>
        </references>
      </pivotArea>
    </chartFormat>
    <chartFormat chart="23" format="926">
      <pivotArea type="data" outline="0" fieldPosition="0">
        <references count="3">
          <reference field="4294967294" count="1" selected="0">
            <x v="0"/>
          </reference>
          <reference field="1" count="1" selected="0">
            <x v="43"/>
          </reference>
          <reference field="6" count="1" selected="0">
            <x v="30"/>
          </reference>
        </references>
      </pivotArea>
    </chartFormat>
    <chartFormat chart="23" format="927">
      <pivotArea type="data" outline="0" fieldPosition="0">
        <references count="3">
          <reference field="4294967294" count="1" selected="0">
            <x v="0"/>
          </reference>
          <reference field="1" count="1" selected="0">
            <x v="44"/>
          </reference>
          <reference field="6" count="1" selected="0">
            <x v="30"/>
          </reference>
        </references>
      </pivotArea>
    </chartFormat>
    <chartFormat chart="23" format="928">
      <pivotArea type="data" outline="0" fieldPosition="0">
        <references count="3">
          <reference field="4294967294" count="1" selected="0">
            <x v="0"/>
          </reference>
          <reference field="1" count="1" selected="0">
            <x v="45"/>
          </reference>
          <reference field="6" count="1" selected="0">
            <x v="30"/>
          </reference>
        </references>
      </pivotArea>
    </chartFormat>
    <chartFormat chart="23" format="929">
      <pivotArea type="data" outline="0" fieldPosition="0">
        <references count="3">
          <reference field="4294967294" count="1" selected="0">
            <x v="0"/>
          </reference>
          <reference field="1" count="1" selected="0">
            <x v="5"/>
          </reference>
          <reference field="6" count="1" selected="0">
            <x v="31"/>
          </reference>
        </references>
      </pivotArea>
    </chartFormat>
    <chartFormat chart="23" format="930">
      <pivotArea type="data" outline="0" fieldPosition="0">
        <references count="3">
          <reference field="4294967294" count="1" selected="0">
            <x v="0"/>
          </reference>
          <reference field="1" count="1" selected="0">
            <x v="11"/>
          </reference>
          <reference field="6" count="1" selected="0">
            <x v="31"/>
          </reference>
        </references>
      </pivotArea>
    </chartFormat>
    <chartFormat chart="23" format="931">
      <pivotArea type="data" outline="0" fieldPosition="0">
        <references count="3">
          <reference field="4294967294" count="1" selected="0">
            <x v="0"/>
          </reference>
          <reference field="1" count="1" selected="0">
            <x v="17"/>
          </reference>
          <reference field="6" count="1" selected="0">
            <x v="31"/>
          </reference>
        </references>
      </pivotArea>
    </chartFormat>
    <chartFormat chart="23" format="932">
      <pivotArea type="data" outline="0" fieldPosition="0">
        <references count="3">
          <reference field="4294967294" count="1" selected="0">
            <x v="0"/>
          </reference>
          <reference field="1" count="1" selected="0">
            <x v="18"/>
          </reference>
          <reference field="6" count="1" selected="0">
            <x v="31"/>
          </reference>
        </references>
      </pivotArea>
    </chartFormat>
    <chartFormat chart="23" format="933">
      <pivotArea type="data" outline="0" fieldPosition="0">
        <references count="3">
          <reference field="4294967294" count="1" selected="0">
            <x v="0"/>
          </reference>
          <reference field="1" count="1" selected="0">
            <x v="19"/>
          </reference>
          <reference field="6" count="1" selected="0">
            <x v="31"/>
          </reference>
        </references>
      </pivotArea>
    </chartFormat>
    <chartFormat chart="23" format="934">
      <pivotArea type="data" outline="0" fieldPosition="0">
        <references count="3">
          <reference field="4294967294" count="1" selected="0">
            <x v="0"/>
          </reference>
          <reference field="1" count="1" selected="0">
            <x v="24"/>
          </reference>
          <reference field="6" count="1" selected="0">
            <x v="31"/>
          </reference>
        </references>
      </pivotArea>
    </chartFormat>
    <chartFormat chart="23" format="935">
      <pivotArea type="data" outline="0" fieldPosition="0">
        <references count="3">
          <reference field="4294967294" count="1" selected="0">
            <x v="0"/>
          </reference>
          <reference field="1" count="1" selected="0">
            <x v="25"/>
          </reference>
          <reference field="6" count="1" selected="0">
            <x v="31"/>
          </reference>
        </references>
      </pivotArea>
    </chartFormat>
    <chartFormat chart="23" format="936">
      <pivotArea type="data" outline="0" fieldPosition="0">
        <references count="3">
          <reference field="4294967294" count="1" selected="0">
            <x v="0"/>
          </reference>
          <reference field="1" count="1" selected="0">
            <x v="29"/>
          </reference>
          <reference field="6" count="1" selected="0">
            <x v="31"/>
          </reference>
        </references>
      </pivotArea>
    </chartFormat>
    <chartFormat chart="23" format="937">
      <pivotArea type="data" outline="0" fieldPosition="0">
        <references count="3">
          <reference field="4294967294" count="1" selected="0">
            <x v="0"/>
          </reference>
          <reference field="1" count="1" selected="0">
            <x v="30"/>
          </reference>
          <reference field="6" count="1" selected="0">
            <x v="31"/>
          </reference>
        </references>
      </pivotArea>
    </chartFormat>
    <chartFormat chart="23" format="938">
      <pivotArea type="data" outline="0" fieldPosition="0">
        <references count="3">
          <reference field="4294967294" count="1" selected="0">
            <x v="0"/>
          </reference>
          <reference field="1" count="1" selected="0">
            <x v="31"/>
          </reference>
          <reference field="6" count="1" selected="0">
            <x v="31"/>
          </reference>
        </references>
      </pivotArea>
    </chartFormat>
    <chartFormat chart="23" format="939">
      <pivotArea type="data" outline="0" fieldPosition="0">
        <references count="3">
          <reference field="4294967294" count="1" selected="0">
            <x v="0"/>
          </reference>
          <reference field="1" count="1" selected="0">
            <x v="32"/>
          </reference>
          <reference field="6" count="1" selected="0">
            <x v="31"/>
          </reference>
        </references>
      </pivotArea>
    </chartFormat>
    <chartFormat chart="23" format="940">
      <pivotArea type="data" outline="0" fieldPosition="0">
        <references count="3">
          <reference field="4294967294" count="1" selected="0">
            <x v="0"/>
          </reference>
          <reference field="1" count="1" selected="0">
            <x v="33"/>
          </reference>
          <reference field="6" count="1" selected="0">
            <x v="31"/>
          </reference>
        </references>
      </pivotArea>
    </chartFormat>
    <chartFormat chart="23" format="941">
      <pivotArea type="data" outline="0" fieldPosition="0">
        <references count="3">
          <reference field="4294967294" count="1" selected="0">
            <x v="0"/>
          </reference>
          <reference field="1" count="1" selected="0">
            <x v="34"/>
          </reference>
          <reference field="6" count="1" selected="0">
            <x v="31"/>
          </reference>
        </references>
      </pivotArea>
    </chartFormat>
    <chartFormat chart="23" format="942">
      <pivotArea type="data" outline="0" fieldPosition="0">
        <references count="3">
          <reference field="4294967294" count="1" selected="0">
            <x v="0"/>
          </reference>
          <reference field="1" count="1" selected="0">
            <x v="35"/>
          </reference>
          <reference field="6" count="1" selected="0">
            <x v="31"/>
          </reference>
        </references>
      </pivotArea>
    </chartFormat>
    <chartFormat chart="23" format="943">
      <pivotArea type="data" outline="0" fieldPosition="0">
        <references count="3">
          <reference field="4294967294" count="1" selected="0">
            <x v="0"/>
          </reference>
          <reference field="1" count="1" selected="0">
            <x v="36"/>
          </reference>
          <reference field="6" count="1" selected="0">
            <x v="31"/>
          </reference>
        </references>
      </pivotArea>
    </chartFormat>
    <chartFormat chart="23" format="944">
      <pivotArea type="data" outline="0" fieldPosition="0">
        <references count="3">
          <reference field="4294967294" count="1" selected="0">
            <x v="0"/>
          </reference>
          <reference field="1" count="1" selected="0">
            <x v="37"/>
          </reference>
          <reference field="6" count="1" selected="0">
            <x v="31"/>
          </reference>
        </references>
      </pivotArea>
    </chartFormat>
    <chartFormat chart="23" format="945">
      <pivotArea type="data" outline="0" fieldPosition="0">
        <references count="3">
          <reference field="4294967294" count="1" selected="0">
            <x v="0"/>
          </reference>
          <reference field="1" count="1" selected="0">
            <x v="38"/>
          </reference>
          <reference field="6" count="1" selected="0">
            <x v="31"/>
          </reference>
        </references>
      </pivotArea>
    </chartFormat>
    <chartFormat chart="23" format="946">
      <pivotArea type="data" outline="0" fieldPosition="0">
        <references count="3">
          <reference field="4294967294" count="1" selected="0">
            <x v="0"/>
          </reference>
          <reference field="1" count="1" selected="0">
            <x v="39"/>
          </reference>
          <reference field="6" count="1" selected="0">
            <x v="31"/>
          </reference>
        </references>
      </pivotArea>
    </chartFormat>
    <chartFormat chart="23" format="947">
      <pivotArea type="data" outline="0" fieldPosition="0">
        <references count="3">
          <reference field="4294967294" count="1" selected="0">
            <x v="0"/>
          </reference>
          <reference field="1" count="1" selected="0">
            <x v="40"/>
          </reference>
          <reference field="6" count="1" selected="0">
            <x v="31"/>
          </reference>
        </references>
      </pivotArea>
    </chartFormat>
    <chartFormat chart="23" format="948">
      <pivotArea type="data" outline="0" fieldPosition="0">
        <references count="3">
          <reference field="4294967294" count="1" selected="0">
            <x v="0"/>
          </reference>
          <reference field="1" count="1" selected="0">
            <x v="41"/>
          </reference>
          <reference field="6" count="1" selected="0">
            <x v="31"/>
          </reference>
        </references>
      </pivotArea>
    </chartFormat>
    <chartFormat chart="23" format="949">
      <pivotArea type="data" outline="0" fieldPosition="0">
        <references count="3">
          <reference field="4294967294" count="1" selected="0">
            <x v="0"/>
          </reference>
          <reference field="1" count="1" selected="0">
            <x v="42"/>
          </reference>
          <reference field="6" count="1" selected="0">
            <x v="31"/>
          </reference>
        </references>
      </pivotArea>
    </chartFormat>
    <chartFormat chart="23" format="950">
      <pivotArea type="data" outline="0" fieldPosition="0">
        <references count="3">
          <reference field="4294967294" count="1" selected="0">
            <x v="0"/>
          </reference>
          <reference field="1" count="1" selected="0">
            <x v="43"/>
          </reference>
          <reference field="6" count="1" selected="0">
            <x v="31"/>
          </reference>
        </references>
      </pivotArea>
    </chartFormat>
    <chartFormat chart="23" format="951">
      <pivotArea type="data" outline="0" fieldPosition="0">
        <references count="3">
          <reference field="4294967294" count="1" selected="0">
            <x v="0"/>
          </reference>
          <reference field="1" count="1" selected="0">
            <x v="44"/>
          </reference>
          <reference field="6" count="1" selected="0">
            <x v="31"/>
          </reference>
        </references>
      </pivotArea>
    </chartFormat>
    <chartFormat chart="23" format="952">
      <pivotArea type="data" outline="0" fieldPosition="0">
        <references count="3">
          <reference field="4294967294" count="1" selected="0">
            <x v="0"/>
          </reference>
          <reference field="1" count="1" selected="0">
            <x v="45"/>
          </reference>
          <reference field="6" count="1" selected="0">
            <x v="31"/>
          </reference>
        </references>
      </pivotArea>
    </chartFormat>
    <chartFormat chart="23" format="953">
      <pivotArea type="data" outline="0" fieldPosition="0">
        <references count="3">
          <reference field="4294967294" count="1" selected="0">
            <x v="0"/>
          </reference>
          <reference field="1" count="1" selected="0">
            <x v="5"/>
          </reference>
          <reference field="6" count="1" selected="0">
            <x v="32"/>
          </reference>
        </references>
      </pivotArea>
    </chartFormat>
    <chartFormat chart="23" format="954">
      <pivotArea type="data" outline="0" fieldPosition="0">
        <references count="3">
          <reference field="4294967294" count="1" selected="0">
            <x v="0"/>
          </reference>
          <reference field="1" count="1" selected="0">
            <x v="11"/>
          </reference>
          <reference field="6" count="1" selected="0">
            <x v="32"/>
          </reference>
        </references>
      </pivotArea>
    </chartFormat>
    <chartFormat chart="23" format="955">
      <pivotArea type="data" outline="0" fieldPosition="0">
        <references count="3">
          <reference field="4294967294" count="1" selected="0">
            <x v="0"/>
          </reference>
          <reference field="1" count="1" selected="0">
            <x v="17"/>
          </reference>
          <reference field="6" count="1" selected="0">
            <x v="32"/>
          </reference>
        </references>
      </pivotArea>
    </chartFormat>
    <chartFormat chart="23" format="956">
      <pivotArea type="data" outline="0" fieldPosition="0">
        <references count="3">
          <reference field="4294967294" count="1" selected="0">
            <x v="0"/>
          </reference>
          <reference field="1" count="1" selected="0">
            <x v="18"/>
          </reference>
          <reference field="6" count="1" selected="0">
            <x v="32"/>
          </reference>
        </references>
      </pivotArea>
    </chartFormat>
    <chartFormat chart="23" format="957">
      <pivotArea type="data" outline="0" fieldPosition="0">
        <references count="3">
          <reference field="4294967294" count="1" selected="0">
            <x v="0"/>
          </reference>
          <reference field="1" count="1" selected="0">
            <x v="19"/>
          </reference>
          <reference field="6" count="1" selected="0">
            <x v="32"/>
          </reference>
        </references>
      </pivotArea>
    </chartFormat>
    <chartFormat chart="23" format="958">
      <pivotArea type="data" outline="0" fieldPosition="0">
        <references count="3">
          <reference field="4294967294" count="1" selected="0">
            <x v="0"/>
          </reference>
          <reference field="1" count="1" selected="0">
            <x v="24"/>
          </reference>
          <reference field="6" count="1" selected="0">
            <x v="32"/>
          </reference>
        </references>
      </pivotArea>
    </chartFormat>
    <chartFormat chart="23" format="959">
      <pivotArea type="data" outline="0" fieldPosition="0">
        <references count="3">
          <reference field="4294967294" count="1" selected="0">
            <x v="0"/>
          </reference>
          <reference field="1" count="1" selected="0">
            <x v="25"/>
          </reference>
          <reference field="6" count="1" selected="0">
            <x v="32"/>
          </reference>
        </references>
      </pivotArea>
    </chartFormat>
    <chartFormat chart="23" format="960">
      <pivotArea type="data" outline="0" fieldPosition="0">
        <references count="3">
          <reference field="4294967294" count="1" selected="0">
            <x v="0"/>
          </reference>
          <reference field="1" count="1" selected="0">
            <x v="29"/>
          </reference>
          <reference field="6" count="1" selected="0">
            <x v="32"/>
          </reference>
        </references>
      </pivotArea>
    </chartFormat>
    <chartFormat chart="23" format="961">
      <pivotArea type="data" outline="0" fieldPosition="0">
        <references count="3">
          <reference field="4294967294" count="1" selected="0">
            <x v="0"/>
          </reference>
          <reference field="1" count="1" selected="0">
            <x v="30"/>
          </reference>
          <reference field="6" count="1" selected="0">
            <x v="32"/>
          </reference>
        </references>
      </pivotArea>
    </chartFormat>
    <chartFormat chart="23" format="962">
      <pivotArea type="data" outline="0" fieldPosition="0">
        <references count="3">
          <reference field="4294967294" count="1" selected="0">
            <x v="0"/>
          </reference>
          <reference field="1" count="1" selected="0">
            <x v="31"/>
          </reference>
          <reference field="6" count="1" selected="0">
            <x v="32"/>
          </reference>
        </references>
      </pivotArea>
    </chartFormat>
    <chartFormat chart="23" format="963">
      <pivotArea type="data" outline="0" fieldPosition="0">
        <references count="3">
          <reference field="4294967294" count="1" selected="0">
            <x v="0"/>
          </reference>
          <reference field="1" count="1" selected="0">
            <x v="32"/>
          </reference>
          <reference field="6" count="1" selected="0">
            <x v="32"/>
          </reference>
        </references>
      </pivotArea>
    </chartFormat>
    <chartFormat chart="23" format="964">
      <pivotArea type="data" outline="0" fieldPosition="0">
        <references count="3">
          <reference field="4294967294" count="1" selected="0">
            <x v="0"/>
          </reference>
          <reference field="1" count="1" selected="0">
            <x v="33"/>
          </reference>
          <reference field="6" count="1" selected="0">
            <x v="32"/>
          </reference>
        </references>
      </pivotArea>
    </chartFormat>
    <chartFormat chart="23" format="965">
      <pivotArea type="data" outline="0" fieldPosition="0">
        <references count="3">
          <reference field="4294967294" count="1" selected="0">
            <x v="0"/>
          </reference>
          <reference field="1" count="1" selected="0">
            <x v="34"/>
          </reference>
          <reference field="6" count="1" selected="0">
            <x v="32"/>
          </reference>
        </references>
      </pivotArea>
    </chartFormat>
    <chartFormat chart="23" format="966">
      <pivotArea type="data" outline="0" fieldPosition="0">
        <references count="3">
          <reference field="4294967294" count="1" selected="0">
            <x v="0"/>
          </reference>
          <reference field="1" count="1" selected="0">
            <x v="35"/>
          </reference>
          <reference field="6" count="1" selected="0">
            <x v="32"/>
          </reference>
        </references>
      </pivotArea>
    </chartFormat>
    <chartFormat chart="23" format="967">
      <pivotArea type="data" outline="0" fieldPosition="0">
        <references count="3">
          <reference field="4294967294" count="1" selected="0">
            <x v="0"/>
          </reference>
          <reference field="1" count="1" selected="0">
            <x v="36"/>
          </reference>
          <reference field="6" count="1" selected="0">
            <x v="32"/>
          </reference>
        </references>
      </pivotArea>
    </chartFormat>
    <chartFormat chart="23" format="968">
      <pivotArea type="data" outline="0" fieldPosition="0">
        <references count="3">
          <reference field="4294967294" count="1" selected="0">
            <x v="0"/>
          </reference>
          <reference field="1" count="1" selected="0">
            <x v="37"/>
          </reference>
          <reference field="6" count="1" selected="0">
            <x v="32"/>
          </reference>
        </references>
      </pivotArea>
    </chartFormat>
    <chartFormat chart="23" format="969">
      <pivotArea type="data" outline="0" fieldPosition="0">
        <references count="3">
          <reference field="4294967294" count="1" selected="0">
            <x v="0"/>
          </reference>
          <reference field="1" count="1" selected="0">
            <x v="38"/>
          </reference>
          <reference field="6" count="1" selected="0">
            <x v="32"/>
          </reference>
        </references>
      </pivotArea>
    </chartFormat>
    <chartFormat chart="23" format="970">
      <pivotArea type="data" outline="0" fieldPosition="0">
        <references count="3">
          <reference field="4294967294" count="1" selected="0">
            <x v="0"/>
          </reference>
          <reference field="1" count="1" selected="0">
            <x v="39"/>
          </reference>
          <reference field="6" count="1" selected="0">
            <x v="32"/>
          </reference>
        </references>
      </pivotArea>
    </chartFormat>
    <chartFormat chart="23" format="971">
      <pivotArea type="data" outline="0" fieldPosition="0">
        <references count="3">
          <reference field="4294967294" count="1" selected="0">
            <x v="0"/>
          </reference>
          <reference field="1" count="1" selected="0">
            <x v="40"/>
          </reference>
          <reference field="6" count="1" selected="0">
            <x v="32"/>
          </reference>
        </references>
      </pivotArea>
    </chartFormat>
    <chartFormat chart="23" format="972">
      <pivotArea type="data" outline="0" fieldPosition="0">
        <references count="3">
          <reference field="4294967294" count="1" selected="0">
            <x v="0"/>
          </reference>
          <reference field="1" count="1" selected="0">
            <x v="41"/>
          </reference>
          <reference field="6" count="1" selected="0">
            <x v="32"/>
          </reference>
        </references>
      </pivotArea>
    </chartFormat>
    <chartFormat chart="23" format="973">
      <pivotArea type="data" outline="0" fieldPosition="0">
        <references count="3">
          <reference field="4294967294" count="1" selected="0">
            <x v="0"/>
          </reference>
          <reference field="1" count="1" selected="0">
            <x v="42"/>
          </reference>
          <reference field="6" count="1" selected="0">
            <x v="32"/>
          </reference>
        </references>
      </pivotArea>
    </chartFormat>
    <chartFormat chart="23" format="974">
      <pivotArea type="data" outline="0" fieldPosition="0">
        <references count="3">
          <reference field="4294967294" count="1" selected="0">
            <x v="0"/>
          </reference>
          <reference field="1" count="1" selected="0">
            <x v="43"/>
          </reference>
          <reference field="6" count="1" selected="0">
            <x v="32"/>
          </reference>
        </references>
      </pivotArea>
    </chartFormat>
    <chartFormat chart="23" format="975">
      <pivotArea type="data" outline="0" fieldPosition="0">
        <references count="3">
          <reference field="4294967294" count="1" selected="0">
            <x v="0"/>
          </reference>
          <reference field="1" count="1" selected="0">
            <x v="44"/>
          </reference>
          <reference field="6" count="1" selected="0">
            <x v="32"/>
          </reference>
        </references>
      </pivotArea>
    </chartFormat>
    <chartFormat chart="23" format="976">
      <pivotArea type="data" outline="0" fieldPosition="0">
        <references count="3">
          <reference field="4294967294" count="1" selected="0">
            <x v="0"/>
          </reference>
          <reference field="1" count="1" selected="0">
            <x v="45"/>
          </reference>
          <reference field="6" count="1" selected="0">
            <x v="32"/>
          </reference>
        </references>
      </pivotArea>
    </chartFormat>
    <chartFormat chart="23" format="977">
      <pivotArea type="data" outline="0" fieldPosition="0">
        <references count="3">
          <reference field="4294967294" count="1" selected="0">
            <x v="0"/>
          </reference>
          <reference field="1" count="1" selected="0">
            <x v="5"/>
          </reference>
          <reference field="6" count="1" selected="0">
            <x v="33"/>
          </reference>
        </references>
      </pivotArea>
    </chartFormat>
    <chartFormat chart="23" format="978">
      <pivotArea type="data" outline="0" fieldPosition="0">
        <references count="3">
          <reference field="4294967294" count="1" selected="0">
            <x v="0"/>
          </reference>
          <reference field="1" count="1" selected="0">
            <x v="11"/>
          </reference>
          <reference field="6" count="1" selected="0">
            <x v="33"/>
          </reference>
        </references>
      </pivotArea>
    </chartFormat>
    <chartFormat chart="23" format="979">
      <pivotArea type="data" outline="0" fieldPosition="0">
        <references count="3">
          <reference field="4294967294" count="1" selected="0">
            <x v="0"/>
          </reference>
          <reference field="1" count="1" selected="0">
            <x v="17"/>
          </reference>
          <reference field="6" count="1" selected="0">
            <x v="33"/>
          </reference>
        </references>
      </pivotArea>
    </chartFormat>
    <chartFormat chart="23" format="980">
      <pivotArea type="data" outline="0" fieldPosition="0">
        <references count="3">
          <reference field="4294967294" count="1" selected="0">
            <x v="0"/>
          </reference>
          <reference field="1" count="1" selected="0">
            <x v="18"/>
          </reference>
          <reference field="6" count="1" selected="0">
            <x v="33"/>
          </reference>
        </references>
      </pivotArea>
    </chartFormat>
    <chartFormat chart="23" format="981">
      <pivotArea type="data" outline="0" fieldPosition="0">
        <references count="3">
          <reference field="4294967294" count="1" selected="0">
            <x v="0"/>
          </reference>
          <reference field="1" count="1" selected="0">
            <x v="19"/>
          </reference>
          <reference field="6" count="1" selected="0">
            <x v="33"/>
          </reference>
        </references>
      </pivotArea>
    </chartFormat>
    <chartFormat chart="23" format="982">
      <pivotArea type="data" outline="0" fieldPosition="0">
        <references count="3">
          <reference field="4294967294" count="1" selected="0">
            <x v="0"/>
          </reference>
          <reference field="1" count="1" selected="0">
            <x v="24"/>
          </reference>
          <reference field="6" count="1" selected="0">
            <x v="33"/>
          </reference>
        </references>
      </pivotArea>
    </chartFormat>
    <chartFormat chart="23" format="983">
      <pivotArea type="data" outline="0" fieldPosition="0">
        <references count="3">
          <reference field="4294967294" count="1" selected="0">
            <x v="0"/>
          </reference>
          <reference field="1" count="1" selected="0">
            <x v="25"/>
          </reference>
          <reference field="6" count="1" selected="0">
            <x v="33"/>
          </reference>
        </references>
      </pivotArea>
    </chartFormat>
    <chartFormat chart="23" format="984">
      <pivotArea type="data" outline="0" fieldPosition="0">
        <references count="3">
          <reference field="4294967294" count="1" selected="0">
            <x v="0"/>
          </reference>
          <reference field="1" count="1" selected="0">
            <x v="29"/>
          </reference>
          <reference field="6" count="1" selected="0">
            <x v="33"/>
          </reference>
        </references>
      </pivotArea>
    </chartFormat>
    <chartFormat chart="23" format="985">
      <pivotArea type="data" outline="0" fieldPosition="0">
        <references count="3">
          <reference field="4294967294" count="1" selected="0">
            <x v="0"/>
          </reference>
          <reference field="1" count="1" selected="0">
            <x v="30"/>
          </reference>
          <reference field="6" count="1" selected="0">
            <x v="33"/>
          </reference>
        </references>
      </pivotArea>
    </chartFormat>
    <chartFormat chart="23" format="986">
      <pivotArea type="data" outline="0" fieldPosition="0">
        <references count="3">
          <reference field="4294967294" count="1" selected="0">
            <x v="0"/>
          </reference>
          <reference field="1" count="1" selected="0">
            <x v="31"/>
          </reference>
          <reference field="6" count="1" selected="0">
            <x v="33"/>
          </reference>
        </references>
      </pivotArea>
    </chartFormat>
    <chartFormat chart="23" format="987">
      <pivotArea type="data" outline="0" fieldPosition="0">
        <references count="3">
          <reference field="4294967294" count="1" selected="0">
            <x v="0"/>
          </reference>
          <reference field="1" count="1" selected="0">
            <x v="32"/>
          </reference>
          <reference field="6" count="1" selected="0">
            <x v="33"/>
          </reference>
        </references>
      </pivotArea>
    </chartFormat>
    <chartFormat chart="23" format="988">
      <pivotArea type="data" outline="0" fieldPosition="0">
        <references count="3">
          <reference field="4294967294" count="1" selected="0">
            <x v="0"/>
          </reference>
          <reference field="1" count="1" selected="0">
            <x v="33"/>
          </reference>
          <reference field="6" count="1" selected="0">
            <x v="33"/>
          </reference>
        </references>
      </pivotArea>
    </chartFormat>
    <chartFormat chart="23" format="989">
      <pivotArea type="data" outline="0" fieldPosition="0">
        <references count="3">
          <reference field="4294967294" count="1" selected="0">
            <x v="0"/>
          </reference>
          <reference field="1" count="1" selected="0">
            <x v="34"/>
          </reference>
          <reference field="6" count="1" selected="0">
            <x v="33"/>
          </reference>
        </references>
      </pivotArea>
    </chartFormat>
    <chartFormat chart="23" format="990">
      <pivotArea type="data" outline="0" fieldPosition="0">
        <references count="3">
          <reference field="4294967294" count="1" selected="0">
            <x v="0"/>
          </reference>
          <reference field="1" count="1" selected="0">
            <x v="35"/>
          </reference>
          <reference field="6" count="1" selected="0">
            <x v="33"/>
          </reference>
        </references>
      </pivotArea>
    </chartFormat>
    <chartFormat chart="23" format="991">
      <pivotArea type="data" outline="0" fieldPosition="0">
        <references count="3">
          <reference field="4294967294" count="1" selected="0">
            <x v="0"/>
          </reference>
          <reference field="1" count="1" selected="0">
            <x v="36"/>
          </reference>
          <reference field="6" count="1" selected="0">
            <x v="33"/>
          </reference>
        </references>
      </pivotArea>
    </chartFormat>
    <chartFormat chart="23" format="992">
      <pivotArea type="data" outline="0" fieldPosition="0">
        <references count="3">
          <reference field="4294967294" count="1" selected="0">
            <x v="0"/>
          </reference>
          <reference field="1" count="1" selected="0">
            <x v="37"/>
          </reference>
          <reference field="6" count="1" selected="0">
            <x v="33"/>
          </reference>
        </references>
      </pivotArea>
    </chartFormat>
    <chartFormat chart="23" format="993">
      <pivotArea type="data" outline="0" fieldPosition="0">
        <references count="3">
          <reference field="4294967294" count="1" selected="0">
            <x v="0"/>
          </reference>
          <reference field="1" count="1" selected="0">
            <x v="38"/>
          </reference>
          <reference field="6" count="1" selected="0">
            <x v="33"/>
          </reference>
        </references>
      </pivotArea>
    </chartFormat>
    <chartFormat chart="23" format="994">
      <pivotArea type="data" outline="0" fieldPosition="0">
        <references count="3">
          <reference field="4294967294" count="1" selected="0">
            <x v="0"/>
          </reference>
          <reference field="1" count="1" selected="0">
            <x v="39"/>
          </reference>
          <reference field="6" count="1" selected="0">
            <x v="33"/>
          </reference>
        </references>
      </pivotArea>
    </chartFormat>
    <chartFormat chart="23" format="995">
      <pivotArea type="data" outline="0" fieldPosition="0">
        <references count="3">
          <reference field="4294967294" count="1" selected="0">
            <x v="0"/>
          </reference>
          <reference field="1" count="1" selected="0">
            <x v="40"/>
          </reference>
          <reference field="6" count="1" selected="0">
            <x v="33"/>
          </reference>
        </references>
      </pivotArea>
    </chartFormat>
    <chartFormat chart="23" format="996">
      <pivotArea type="data" outline="0" fieldPosition="0">
        <references count="3">
          <reference field="4294967294" count="1" selected="0">
            <x v="0"/>
          </reference>
          <reference field="1" count="1" selected="0">
            <x v="41"/>
          </reference>
          <reference field="6" count="1" selected="0">
            <x v="33"/>
          </reference>
        </references>
      </pivotArea>
    </chartFormat>
    <chartFormat chart="23" format="997">
      <pivotArea type="data" outline="0" fieldPosition="0">
        <references count="3">
          <reference field="4294967294" count="1" selected="0">
            <x v="0"/>
          </reference>
          <reference field="1" count="1" selected="0">
            <x v="42"/>
          </reference>
          <reference field="6" count="1" selected="0">
            <x v="33"/>
          </reference>
        </references>
      </pivotArea>
    </chartFormat>
    <chartFormat chart="23" format="998">
      <pivotArea type="data" outline="0" fieldPosition="0">
        <references count="3">
          <reference field="4294967294" count="1" selected="0">
            <x v="0"/>
          </reference>
          <reference field="1" count="1" selected="0">
            <x v="43"/>
          </reference>
          <reference field="6" count="1" selected="0">
            <x v="33"/>
          </reference>
        </references>
      </pivotArea>
    </chartFormat>
    <chartFormat chart="23" format="999">
      <pivotArea type="data" outline="0" fieldPosition="0">
        <references count="3">
          <reference field="4294967294" count="1" selected="0">
            <x v="0"/>
          </reference>
          <reference field="1" count="1" selected="0">
            <x v="44"/>
          </reference>
          <reference field="6" count="1" selected="0">
            <x v="33"/>
          </reference>
        </references>
      </pivotArea>
    </chartFormat>
    <chartFormat chart="23" format="1000">
      <pivotArea type="data" outline="0" fieldPosition="0">
        <references count="3">
          <reference field="4294967294" count="1" selected="0">
            <x v="0"/>
          </reference>
          <reference field="1" count="1" selected="0">
            <x v="45"/>
          </reference>
          <reference field="6" count="1" selected="0">
            <x v="33"/>
          </reference>
        </references>
      </pivotArea>
    </chartFormat>
    <chartFormat chart="23" format="1001">
      <pivotArea type="data" outline="0" fieldPosition="0">
        <references count="3">
          <reference field="4294967294" count="1" selected="0">
            <x v="0"/>
          </reference>
          <reference field="1" count="1" selected="0">
            <x v="5"/>
          </reference>
          <reference field="6" count="1" selected="0">
            <x v="34"/>
          </reference>
        </references>
      </pivotArea>
    </chartFormat>
    <chartFormat chart="23" format="1002">
      <pivotArea type="data" outline="0" fieldPosition="0">
        <references count="3">
          <reference field="4294967294" count="1" selected="0">
            <x v="0"/>
          </reference>
          <reference field="1" count="1" selected="0">
            <x v="11"/>
          </reference>
          <reference field="6" count="1" selected="0">
            <x v="34"/>
          </reference>
        </references>
      </pivotArea>
    </chartFormat>
    <chartFormat chart="23" format="1003">
      <pivotArea type="data" outline="0" fieldPosition="0">
        <references count="3">
          <reference field="4294967294" count="1" selected="0">
            <x v="0"/>
          </reference>
          <reference field="1" count="1" selected="0">
            <x v="17"/>
          </reference>
          <reference field="6" count="1" selected="0">
            <x v="34"/>
          </reference>
        </references>
      </pivotArea>
    </chartFormat>
    <chartFormat chart="23" format="1004">
      <pivotArea type="data" outline="0" fieldPosition="0">
        <references count="3">
          <reference field="4294967294" count="1" selected="0">
            <x v="0"/>
          </reference>
          <reference field="1" count="1" selected="0">
            <x v="18"/>
          </reference>
          <reference field="6" count="1" selected="0">
            <x v="34"/>
          </reference>
        </references>
      </pivotArea>
    </chartFormat>
    <chartFormat chart="23" format="1005">
      <pivotArea type="data" outline="0" fieldPosition="0">
        <references count="3">
          <reference field="4294967294" count="1" selected="0">
            <x v="0"/>
          </reference>
          <reference field="1" count="1" selected="0">
            <x v="19"/>
          </reference>
          <reference field="6" count="1" selected="0">
            <x v="34"/>
          </reference>
        </references>
      </pivotArea>
    </chartFormat>
    <chartFormat chart="23" format="1006">
      <pivotArea type="data" outline="0" fieldPosition="0">
        <references count="3">
          <reference field="4294967294" count="1" selected="0">
            <x v="0"/>
          </reference>
          <reference field="1" count="1" selected="0">
            <x v="24"/>
          </reference>
          <reference field="6" count="1" selected="0">
            <x v="34"/>
          </reference>
        </references>
      </pivotArea>
    </chartFormat>
    <chartFormat chart="23" format="1007">
      <pivotArea type="data" outline="0" fieldPosition="0">
        <references count="3">
          <reference field="4294967294" count="1" selected="0">
            <x v="0"/>
          </reference>
          <reference field="1" count="1" selected="0">
            <x v="25"/>
          </reference>
          <reference field="6" count="1" selected="0">
            <x v="34"/>
          </reference>
        </references>
      </pivotArea>
    </chartFormat>
    <chartFormat chart="23" format="1008">
      <pivotArea type="data" outline="0" fieldPosition="0">
        <references count="3">
          <reference field="4294967294" count="1" selected="0">
            <x v="0"/>
          </reference>
          <reference field="1" count="1" selected="0">
            <x v="29"/>
          </reference>
          <reference field="6" count="1" selected="0">
            <x v="34"/>
          </reference>
        </references>
      </pivotArea>
    </chartFormat>
    <chartFormat chart="23" format="1009">
      <pivotArea type="data" outline="0" fieldPosition="0">
        <references count="3">
          <reference field="4294967294" count="1" selected="0">
            <x v="0"/>
          </reference>
          <reference field="1" count="1" selected="0">
            <x v="30"/>
          </reference>
          <reference field="6" count="1" selected="0">
            <x v="34"/>
          </reference>
        </references>
      </pivotArea>
    </chartFormat>
    <chartFormat chart="23" format="1010">
      <pivotArea type="data" outline="0" fieldPosition="0">
        <references count="3">
          <reference field="4294967294" count="1" selected="0">
            <x v="0"/>
          </reference>
          <reference field="1" count="1" selected="0">
            <x v="31"/>
          </reference>
          <reference field="6" count="1" selected="0">
            <x v="34"/>
          </reference>
        </references>
      </pivotArea>
    </chartFormat>
    <chartFormat chart="23" format="1011">
      <pivotArea type="data" outline="0" fieldPosition="0">
        <references count="3">
          <reference field="4294967294" count="1" selected="0">
            <x v="0"/>
          </reference>
          <reference field="1" count="1" selected="0">
            <x v="32"/>
          </reference>
          <reference field="6" count="1" selected="0">
            <x v="34"/>
          </reference>
        </references>
      </pivotArea>
    </chartFormat>
    <chartFormat chart="23" format="1012">
      <pivotArea type="data" outline="0" fieldPosition="0">
        <references count="3">
          <reference field="4294967294" count="1" selected="0">
            <x v="0"/>
          </reference>
          <reference field="1" count="1" selected="0">
            <x v="33"/>
          </reference>
          <reference field="6" count="1" selected="0">
            <x v="34"/>
          </reference>
        </references>
      </pivotArea>
    </chartFormat>
    <chartFormat chart="23" format="1013">
      <pivotArea type="data" outline="0" fieldPosition="0">
        <references count="3">
          <reference field="4294967294" count="1" selected="0">
            <x v="0"/>
          </reference>
          <reference field="1" count="1" selected="0">
            <x v="34"/>
          </reference>
          <reference field="6" count="1" selected="0">
            <x v="34"/>
          </reference>
        </references>
      </pivotArea>
    </chartFormat>
    <chartFormat chart="23" format="1014">
      <pivotArea type="data" outline="0" fieldPosition="0">
        <references count="3">
          <reference field="4294967294" count="1" selected="0">
            <x v="0"/>
          </reference>
          <reference field="1" count="1" selected="0">
            <x v="35"/>
          </reference>
          <reference field="6" count="1" selected="0">
            <x v="34"/>
          </reference>
        </references>
      </pivotArea>
    </chartFormat>
    <chartFormat chart="23" format="1015">
      <pivotArea type="data" outline="0" fieldPosition="0">
        <references count="3">
          <reference field="4294967294" count="1" selected="0">
            <x v="0"/>
          </reference>
          <reference field="1" count="1" selected="0">
            <x v="36"/>
          </reference>
          <reference field="6" count="1" selected="0">
            <x v="34"/>
          </reference>
        </references>
      </pivotArea>
    </chartFormat>
    <chartFormat chart="23" format="1016">
      <pivotArea type="data" outline="0" fieldPosition="0">
        <references count="3">
          <reference field="4294967294" count="1" selected="0">
            <x v="0"/>
          </reference>
          <reference field="1" count="1" selected="0">
            <x v="37"/>
          </reference>
          <reference field="6" count="1" selected="0">
            <x v="34"/>
          </reference>
        </references>
      </pivotArea>
    </chartFormat>
    <chartFormat chart="23" format="1017">
      <pivotArea type="data" outline="0" fieldPosition="0">
        <references count="3">
          <reference field="4294967294" count="1" selected="0">
            <x v="0"/>
          </reference>
          <reference field="1" count="1" selected="0">
            <x v="38"/>
          </reference>
          <reference field="6" count="1" selected="0">
            <x v="34"/>
          </reference>
        </references>
      </pivotArea>
    </chartFormat>
    <chartFormat chart="23" format="1018">
      <pivotArea type="data" outline="0" fieldPosition="0">
        <references count="3">
          <reference field="4294967294" count="1" selected="0">
            <x v="0"/>
          </reference>
          <reference field="1" count="1" selected="0">
            <x v="39"/>
          </reference>
          <reference field="6" count="1" selected="0">
            <x v="34"/>
          </reference>
        </references>
      </pivotArea>
    </chartFormat>
    <chartFormat chart="23" format="1019">
      <pivotArea type="data" outline="0" fieldPosition="0">
        <references count="3">
          <reference field="4294967294" count="1" selected="0">
            <x v="0"/>
          </reference>
          <reference field="1" count="1" selected="0">
            <x v="40"/>
          </reference>
          <reference field="6" count="1" selected="0">
            <x v="34"/>
          </reference>
        </references>
      </pivotArea>
    </chartFormat>
    <chartFormat chart="23" format="1020">
      <pivotArea type="data" outline="0" fieldPosition="0">
        <references count="3">
          <reference field="4294967294" count="1" selected="0">
            <x v="0"/>
          </reference>
          <reference field="1" count="1" selected="0">
            <x v="41"/>
          </reference>
          <reference field="6" count="1" selected="0">
            <x v="34"/>
          </reference>
        </references>
      </pivotArea>
    </chartFormat>
    <chartFormat chart="23" format="1021">
      <pivotArea type="data" outline="0" fieldPosition="0">
        <references count="3">
          <reference field="4294967294" count="1" selected="0">
            <x v="0"/>
          </reference>
          <reference field="1" count="1" selected="0">
            <x v="42"/>
          </reference>
          <reference field="6" count="1" selected="0">
            <x v="34"/>
          </reference>
        </references>
      </pivotArea>
    </chartFormat>
    <chartFormat chart="23" format="1022">
      <pivotArea type="data" outline="0" fieldPosition="0">
        <references count="3">
          <reference field="4294967294" count="1" selected="0">
            <x v="0"/>
          </reference>
          <reference field="1" count="1" selected="0">
            <x v="43"/>
          </reference>
          <reference field="6" count="1" selected="0">
            <x v="34"/>
          </reference>
        </references>
      </pivotArea>
    </chartFormat>
    <chartFormat chart="23" format="1023">
      <pivotArea type="data" outline="0" fieldPosition="0">
        <references count="3">
          <reference field="4294967294" count="1" selected="0">
            <x v="0"/>
          </reference>
          <reference field="1" count="1" selected="0">
            <x v="44"/>
          </reference>
          <reference field="6" count="1" selected="0">
            <x v="34"/>
          </reference>
        </references>
      </pivotArea>
    </chartFormat>
    <chartFormat chart="23" format="1024">
      <pivotArea type="data" outline="0" fieldPosition="0">
        <references count="3">
          <reference field="4294967294" count="1" selected="0">
            <x v="0"/>
          </reference>
          <reference field="1" count="1" selected="0">
            <x v="45"/>
          </reference>
          <reference field="6" count="1" selected="0">
            <x v="34"/>
          </reference>
        </references>
      </pivotArea>
    </chartFormat>
    <chartFormat chart="23" format="1025">
      <pivotArea type="data" outline="0" fieldPosition="0">
        <references count="3">
          <reference field="4294967294" count="1" selected="0">
            <x v="0"/>
          </reference>
          <reference field="1" count="1" selected="0">
            <x v="5"/>
          </reference>
          <reference field="6" count="1" selected="0">
            <x v="35"/>
          </reference>
        </references>
      </pivotArea>
    </chartFormat>
    <chartFormat chart="23" format="1026">
      <pivotArea type="data" outline="0" fieldPosition="0">
        <references count="3">
          <reference field="4294967294" count="1" selected="0">
            <x v="0"/>
          </reference>
          <reference field="1" count="1" selected="0">
            <x v="11"/>
          </reference>
          <reference field="6" count="1" selected="0">
            <x v="35"/>
          </reference>
        </references>
      </pivotArea>
    </chartFormat>
    <chartFormat chart="23" format="1027">
      <pivotArea type="data" outline="0" fieldPosition="0">
        <references count="3">
          <reference field="4294967294" count="1" selected="0">
            <x v="0"/>
          </reference>
          <reference field="1" count="1" selected="0">
            <x v="17"/>
          </reference>
          <reference field="6" count="1" selected="0">
            <x v="35"/>
          </reference>
        </references>
      </pivotArea>
    </chartFormat>
    <chartFormat chart="23" format="1028">
      <pivotArea type="data" outline="0" fieldPosition="0">
        <references count="3">
          <reference field="4294967294" count="1" selected="0">
            <x v="0"/>
          </reference>
          <reference field="1" count="1" selected="0">
            <x v="18"/>
          </reference>
          <reference field="6" count="1" selected="0">
            <x v="35"/>
          </reference>
        </references>
      </pivotArea>
    </chartFormat>
    <chartFormat chart="23" format="1029">
      <pivotArea type="data" outline="0" fieldPosition="0">
        <references count="3">
          <reference field="4294967294" count="1" selected="0">
            <x v="0"/>
          </reference>
          <reference field="1" count="1" selected="0">
            <x v="19"/>
          </reference>
          <reference field="6" count="1" selected="0">
            <x v="35"/>
          </reference>
        </references>
      </pivotArea>
    </chartFormat>
    <chartFormat chart="23" format="1030">
      <pivotArea type="data" outline="0" fieldPosition="0">
        <references count="3">
          <reference field="4294967294" count="1" selected="0">
            <x v="0"/>
          </reference>
          <reference field="1" count="1" selected="0">
            <x v="24"/>
          </reference>
          <reference field="6" count="1" selected="0">
            <x v="35"/>
          </reference>
        </references>
      </pivotArea>
    </chartFormat>
    <chartFormat chart="23" format="1031">
      <pivotArea type="data" outline="0" fieldPosition="0">
        <references count="3">
          <reference field="4294967294" count="1" selected="0">
            <x v="0"/>
          </reference>
          <reference field="1" count="1" selected="0">
            <x v="25"/>
          </reference>
          <reference field="6" count="1" selected="0">
            <x v="35"/>
          </reference>
        </references>
      </pivotArea>
    </chartFormat>
    <chartFormat chart="23" format="1032">
      <pivotArea type="data" outline="0" fieldPosition="0">
        <references count="3">
          <reference field="4294967294" count="1" selected="0">
            <x v="0"/>
          </reference>
          <reference field="1" count="1" selected="0">
            <x v="29"/>
          </reference>
          <reference field="6" count="1" selected="0">
            <x v="35"/>
          </reference>
        </references>
      </pivotArea>
    </chartFormat>
    <chartFormat chart="23" format="1033">
      <pivotArea type="data" outline="0" fieldPosition="0">
        <references count="3">
          <reference field="4294967294" count="1" selected="0">
            <x v="0"/>
          </reference>
          <reference field="1" count="1" selected="0">
            <x v="30"/>
          </reference>
          <reference field="6" count="1" selected="0">
            <x v="35"/>
          </reference>
        </references>
      </pivotArea>
    </chartFormat>
    <chartFormat chart="23" format="1034">
      <pivotArea type="data" outline="0" fieldPosition="0">
        <references count="3">
          <reference field="4294967294" count="1" selected="0">
            <x v="0"/>
          </reference>
          <reference field="1" count="1" selected="0">
            <x v="31"/>
          </reference>
          <reference field="6" count="1" selected="0">
            <x v="35"/>
          </reference>
        </references>
      </pivotArea>
    </chartFormat>
    <chartFormat chart="23" format="1035">
      <pivotArea type="data" outline="0" fieldPosition="0">
        <references count="3">
          <reference field="4294967294" count="1" selected="0">
            <x v="0"/>
          </reference>
          <reference field="1" count="1" selected="0">
            <x v="32"/>
          </reference>
          <reference field="6" count="1" selected="0">
            <x v="35"/>
          </reference>
        </references>
      </pivotArea>
    </chartFormat>
    <chartFormat chart="23" format="1036">
      <pivotArea type="data" outline="0" fieldPosition="0">
        <references count="3">
          <reference field="4294967294" count="1" selected="0">
            <x v="0"/>
          </reference>
          <reference field="1" count="1" selected="0">
            <x v="33"/>
          </reference>
          <reference field="6" count="1" selected="0">
            <x v="35"/>
          </reference>
        </references>
      </pivotArea>
    </chartFormat>
    <chartFormat chart="23" format="1037">
      <pivotArea type="data" outline="0" fieldPosition="0">
        <references count="3">
          <reference field="4294967294" count="1" selected="0">
            <x v="0"/>
          </reference>
          <reference field="1" count="1" selected="0">
            <x v="34"/>
          </reference>
          <reference field="6" count="1" selected="0">
            <x v="35"/>
          </reference>
        </references>
      </pivotArea>
    </chartFormat>
    <chartFormat chart="23" format="1038">
      <pivotArea type="data" outline="0" fieldPosition="0">
        <references count="3">
          <reference field="4294967294" count="1" selected="0">
            <x v="0"/>
          </reference>
          <reference field="1" count="1" selected="0">
            <x v="35"/>
          </reference>
          <reference field="6" count="1" selected="0">
            <x v="35"/>
          </reference>
        </references>
      </pivotArea>
    </chartFormat>
    <chartFormat chart="23" format="1039">
      <pivotArea type="data" outline="0" fieldPosition="0">
        <references count="3">
          <reference field="4294967294" count="1" selected="0">
            <x v="0"/>
          </reference>
          <reference field="1" count="1" selected="0">
            <x v="36"/>
          </reference>
          <reference field="6" count="1" selected="0">
            <x v="35"/>
          </reference>
        </references>
      </pivotArea>
    </chartFormat>
    <chartFormat chart="23" format="1040">
      <pivotArea type="data" outline="0" fieldPosition="0">
        <references count="3">
          <reference field="4294967294" count="1" selected="0">
            <x v="0"/>
          </reference>
          <reference field="1" count="1" selected="0">
            <x v="37"/>
          </reference>
          <reference field="6" count="1" selected="0">
            <x v="35"/>
          </reference>
        </references>
      </pivotArea>
    </chartFormat>
    <chartFormat chart="23" format="1041">
      <pivotArea type="data" outline="0" fieldPosition="0">
        <references count="3">
          <reference field="4294967294" count="1" selected="0">
            <x v="0"/>
          </reference>
          <reference field="1" count="1" selected="0">
            <x v="38"/>
          </reference>
          <reference field="6" count="1" selected="0">
            <x v="35"/>
          </reference>
        </references>
      </pivotArea>
    </chartFormat>
    <chartFormat chart="23" format="1042">
      <pivotArea type="data" outline="0" fieldPosition="0">
        <references count="3">
          <reference field="4294967294" count="1" selected="0">
            <x v="0"/>
          </reference>
          <reference field="1" count="1" selected="0">
            <x v="39"/>
          </reference>
          <reference field="6" count="1" selected="0">
            <x v="35"/>
          </reference>
        </references>
      </pivotArea>
    </chartFormat>
    <chartFormat chart="23" format="1043">
      <pivotArea type="data" outline="0" fieldPosition="0">
        <references count="3">
          <reference field="4294967294" count="1" selected="0">
            <x v="0"/>
          </reference>
          <reference field="1" count="1" selected="0">
            <x v="40"/>
          </reference>
          <reference field="6" count="1" selected="0">
            <x v="35"/>
          </reference>
        </references>
      </pivotArea>
    </chartFormat>
    <chartFormat chart="23" format="1044">
      <pivotArea type="data" outline="0" fieldPosition="0">
        <references count="3">
          <reference field="4294967294" count="1" selected="0">
            <x v="0"/>
          </reference>
          <reference field="1" count="1" selected="0">
            <x v="41"/>
          </reference>
          <reference field="6" count="1" selected="0">
            <x v="35"/>
          </reference>
        </references>
      </pivotArea>
    </chartFormat>
    <chartFormat chart="23" format="1045">
      <pivotArea type="data" outline="0" fieldPosition="0">
        <references count="3">
          <reference field="4294967294" count="1" selected="0">
            <x v="0"/>
          </reference>
          <reference field="1" count="1" selected="0">
            <x v="42"/>
          </reference>
          <reference field="6" count="1" selected="0">
            <x v="35"/>
          </reference>
        </references>
      </pivotArea>
    </chartFormat>
    <chartFormat chart="23" format="1046">
      <pivotArea type="data" outline="0" fieldPosition="0">
        <references count="3">
          <reference field="4294967294" count="1" selected="0">
            <x v="0"/>
          </reference>
          <reference field="1" count="1" selected="0">
            <x v="43"/>
          </reference>
          <reference field="6" count="1" selected="0">
            <x v="35"/>
          </reference>
        </references>
      </pivotArea>
    </chartFormat>
    <chartFormat chart="23" format="1047">
      <pivotArea type="data" outline="0" fieldPosition="0">
        <references count="3">
          <reference field="4294967294" count="1" selected="0">
            <x v="0"/>
          </reference>
          <reference field="1" count="1" selected="0">
            <x v="44"/>
          </reference>
          <reference field="6" count="1" selected="0">
            <x v="35"/>
          </reference>
        </references>
      </pivotArea>
    </chartFormat>
    <chartFormat chart="23" format="1048">
      <pivotArea type="data" outline="0" fieldPosition="0">
        <references count="3">
          <reference field="4294967294" count="1" selected="0">
            <x v="0"/>
          </reference>
          <reference field="1" count="1" selected="0">
            <x v="45"/>
          </reference>
          <reference field="6" count="1" selected="0">
            <x v="35"/>
          </reference>
        </references>
      </pivotArea>
    </chartFormat>
    <chartFormat chart="23" format="1049">
      <pivotArea type="data" outline="0" fieldPosition="0">
        <references count="3">
          <reference field="4294967294" count="1" selected="0">
            <x v="0"/>
          </reference>
          <reference field="1" count="1" selected="0">
            <x v="5"/>
          </reference>
          <reference field="6" count="1" selected="0">
            <x v="36"/>
          </reference>
        </references>
      </pivotArea>
    </chartFormat>
    <chartFormat chart="23" format="1050">
      <pivotArea type="data" outline="0" fieldPosition="0">
        <references count="3">
          <reference field="4294967294" count="1" selected="0">
            <x v="0"/>
          </reference>
          <reference field="1" count="1" selected="0">
            <x v="11"/>
          </reference>
          <reference field="6" count="1" selected="0">
            <x v="36"/>
          </reference>
        </references>
      </pivotArea>
    </chartFormat>
    <chartFormat chart="23" format="1051">
      <pivotArea type="data" outline="0" fieldPosition="0">
        <references count="3">
          <reference field="4294967294" count="1" selected="0">
            <x v="0"/>
          </reference>
          <reference field="1" count="1" selected="0">
            <x v="17"/>
          </reference>
          <reference field="6" count="1" selected="0">
            <x v="36"/>
          </reference>
        </references>
      </pivotArea>
    </chartFormat>
    <chartFormat chart="23" format="1052">
      <pivotArea type="data" outline="0" fieldPosition="0">
        <references count="3">
          <reference field="4294967294" count="1" selected="0">
            <x v="0"/>
          </reference>
          <reference field="1" count="1" selected="0">
            <x v="18"/>
          </reference>
          <reference field="6" count="1" selected="0">
            <x v="36"/>
          </reference>
        </references>
      </pivotArea>
    </chartFormat>
    <chartFormat chart="23" format="1053">
      <pivotArea type="data" outline="0" fieldPosition="0">
        <references count="3">
          <reference field="4294967294" count="1" selected="0">
            <x v="0"/>
          </reference>
          <reference field="1" count="1" selected="0">
            <x v="19"/>
          </reference>
          <reference field="6" count="1" selected="0">
            <x v="36"/>
          </reference>
        </references>
      </pivotArea>
    </chartFormat>
    <chartFormat chart="23" format="1054">
      <pivotArea type="data" outline="0" fieldPosition="0">
        <references count="3">
          <reference field="4294967294" count="1" selected="0">
            <x v="0"/>
          </reference>
          <reference field="1" count="1" selected="0">
            <x v="24"/>
          </reference>
          <reference field="6" count="1" selected="0">
            <x v="36"/>
          </reference>
        </references>
      </pivotArea>
    </chartFormat>
    <chartFormat chart="23" format="1055">
      <pivotArea type="data" outline="0" fieldPosition="0">
        <references count="3">
          <reference field="4294967294" count="1" selected="0">
            <x v="0"/>
          </reference>
          <reference field="1" count="1" selected="0">
            <x v="25"/>
          </reference>
          <reference field="6" count="1" selected="0">
            <x v="36"/>
          </reference>
        </references>
      </pivotArea>
    </chartFormat>
    <chartFormat chart="23" format="1056">
      <pivotArea type="data" outline="0" fieldPosition="0">
        <references count="3">
          <reference field="4294967294" count="1" selected="0">
            <x v="0"/>
          </reference>
          <reference field="1" count="1" selected="0">
            <x v="29"/>
          </reference>
          <reference field="6" count="1" selected="0">
            <x v="36"/>
          </reference>
        </references>
      </pivotArea>
    </chartFormat>
    <chartFormat chart="23" format="1057">
      <pivotArea type="data" outline="0" fieldPosition="0">
        <references count="3">
          <reference field="4294967294" count="1" selected="0">
            <x v="0"/>
          </reference>
          <reference field="1" count="1" selected="0">
            <x v="30"/>
          </reference>
          <reference field="6" count="1" selected="0">
            <x v="36"/>
          </reference>
        </references>
      </pivotArea>
    </chartFormat>
    <chartFormat chart="23" format="1058">
      <pivotArea type="data" outline="0" fieldPosition="0">
        <references count="3">
          <reference field="4294967294" count="1" selected="0">
            <x v="0"/>
          </reference>
          <reference field="1" count="1" selected="0">
            <x v="31"/>
          </reference>
          <reference field="6" count="1" selected="0">
            <x v="36"/>
          </reference>
        </references>
      </pivotArea>
    </chartFormat>
    <chartFormat chart="23" format="1059">
      <pivotArea type="data" outline="0" fieldPosition="0">
        <references count="3">
          <reference field="4294967294" count="1" selected="0">
            <x v="0"/>
          </reference>
          <reference field="1" count="1" selected="0">
            <x v="32"/>
          </reference>
          <reference field="6" count="1" selected="0">
            <x v="36"/>
          </reference>
        </references>
      </pivotArea>
    </chartFormat>
    <chartFormat chart="23" format="1060">
      <pivotArea type="data" outline="0" fieldPosition="0">
        <references count="3">
          <reference field="4294967294" count="1" selected="0">
            <x v="0"/>
          </reference>
          <reference field="1" count="1" selected="0">
            <x v="33"/>
          </reference>
          <reference field="6" count="1" selected="0">
            <x v="36"/>
          </reference>
        </references>
      </pivotArea>
    </chartFormat>
    <chartFormat chart="23" format="1061">
      <pivotArea type="data" outline="0" fieldPosition="0">
        <references count="3">
          <reference field="4294967294" count="1" selected="0">
            <x v="0"/>
          </reference>
          <reference field="1" count="1" selected="0">
            <x v="34"/>
          </reference>
          <reference field="6" count="1" selected="0">
            <x v="36"/>
          </reference>
        </references>
      </pivotArea>
    </chartFormat>
    <chartFormat chart="23" format="1062">
      <pivotArea type="data" outline="0" fieldPosition="0">
        <references count="3">
          <reference field="4294967294" count="1" selected="0">
            <x v="0"/>
          </reference>
          <reference field="1" count="1" selected="0">
            <x v="35"/>
          </reference>
          <reference field="6" count="1" selected="0">
            <x v="36"/>
          </reference>
        </references>
      </pivotArea>
    </chartFormat>
    <chartFormat chart="23" format="1063">
      <pivotArea type="data" outline="0" fieldPosition="0">
        <references count="3">
          <reference field="4294967294" count="1" selected="0">
            <x v="0"/>
          </reference>
          <reference field="1" count="1" selected="0">
            <x v="36"/>
          </reference>
          <reference field="6" count="1" selected="0">
            <x v="36"/>
          </reference>
        </references>
      </pivotArea>
    </chartFormat>
    <chartFormat chart="23" format="1064">
      <pivotArea type="data" outline="0" fieldPosition="0">
        <references count="3">
          <reference field="4294967294" count="1" selected="0">
            <x v="0"/>
          </reference>
          <reference field="1" count="1" selected="0">
            <x v="37"/>
          </reference>
          <reference field="6" count="1" selected="0">
            <x v="36"/>
          </reference>
        </references>
      </pivotArea>
    </chartFormat>
    <chartFormat chart="23" format="1065">
      <pivotArea type="data" outline="0" fieldPosition="0">
        <references count="3">
          <reference field="4294967294" count="1" selected="0">
            <x v="0"/>
          </reference>
          <reference field="1" count="1" selected="0">
            <x v="38"/>
          </reference>
          <reference field="6" count="1" selected="0">
            <x v="36"/>
          </reference>
        </references>
      </pivotArea>
    </chartFormat>
    <chartFormat chart="23" format="1066">
      <pivotArea type="data" outline="0" fieldPosition="0">
        <references count="3">
          <reference field="4294967294" count="1" selected="0">
            <x v="0"/>
          </reference>
          <reference field="1" count="1" selected="0">
            <x v="39"/>
          </reference>
          <reference field="6" count="1" selected="0">
            <x v="36"/>
          </reference>
        </references>
      </pivotArea>
    </chartFormat>
    <chartFormat chart="23" format="1067">
      <pivotArea type="data" outline="0" fieldPosition="0">
        <references count="3">
          <reference field="4294967294" count="1" selected="0">
            <x v="0"/>
          </reference>
          <reference field="1" count="1" selected="0">
            <x v="40"/>
          </reference>
          <reference field="6" count="1" selected="0">
            <x v="36"/>
          </reference>
        </references>
      </pivotArea>
    </chartFormat>
    <chartFormat chart="23" format="1068">
      <pivotArea type="data" outline="0" fieldPosition="0">
        <references count="3">
          <reference field="4294967294" count="1" selected="0">
            <x v="0"/>
          </reference>
          <reference field="1" count="1" selected="0">
            <x v="41"/>
          </reference>
          <reference field="6" count="1" selected="0">
            <x v="36"/>
          </reference>
        </references>
      </pivotArea>
    </chartFormat>
    <chartFormat chart="23" format="1069">
      <pivotArea type="data" outline="0" fieldPosition="0">
        <references count="3">
          <reference field="4294967294" count="1" selected="0">
            <x v="0"/>
          </reference>
          <reference field="1" count="1" selected="0">
            <x v="42"/>
          </reference>
          <reference field="6" count="1" selected="0">
            <x v="36"/>
          </reference>
        </references>
      </pivotArea>
    </chartFormat>
    <chartFormat chart="23" format="1070">
      <pivotArea type="data" outline="0" fieldPosition="0">
        <references count="3">
          <reference field="4294967294" count="1" selected="0">
            <x v="0"/>
          </reference>
          <reference field="1" count="1" selected="0">
            <x v="43"/>
          </reference>
          <reference field="6" count="1" selected="0">
            <x v="36"/>
          </reference>
        </references>
      </pivotArea>
    </chartFormat>
    <chartFormat chart="23" format="1071">
      <pivotArea type="data" outline="0" fieldPosition="0">
        <references count="3">
          <reference field="4294967294" count="1" selected="0">
            <x v="0"/>
          </reference>
          <reference field="1" count="1" selected="0">
            <x v="44"/>
          </reference>
          <reference field="6" count="1" selected="0">
            <x v="36"/>
          </reference>
        </references>
      </pivotArea>
    </chartFormat>
    <chartFormat chart="23" format="1072">
      <pivotArea type="data" outline="0" fieldPosition="0">
        <references count="3">
          <reference field="4294967294" count="1" selected="0">
            <x v="0"/>
          </reference>
          <reference field="1" count="1" selected="0">
            <x v="45"/>
          </reference>
          <reference field="6" count="1" selected="0">
            <x v="36"/>
          </reference>
        </references>
      </pivotArea>
    </chartFormat>
    <chartFormat chart="23" format="1073">
      <pivotArea type="data" outline="0" fieldPosition="0">
        <references count="3">
          <reference field="4294967294" count="1" selected="0">
            <x v="0"/>
          </reference>
          <reference field="1" count="1" selected="0">
            <x v="5"/>
          </reference>
          <reference field="6" count="1" selected="0">
            <x v="37"/>
          </reference>
        </references>
      </pivotArea>
    </chartFormat>
    <chartFormat chart="23" format="1074">
      <pivotArea type="data" outline="0" fieldPosition="0">
        <references count="3">
          <reference field="4294967294" count="1" selected="0">
            <x v="0"/>
          </reference>
          <reference field="1" count="1" selected="0">
            <x v="11"/>
          </reference>
          <reference field="6" count="1" selected="0">
            <x v="37"/>
          </reference>
        </references>
      </pivotArea>
    </chartFormat>
    <chartFormat chart="23" format="1075">
      <pivotArea type="data" outline="0" fieldPosition="0">
        <references count="3">
          <reference field="4294967294" count="1" selected="0">
            <x v="0"/>
          </reference>
          <reference field="1" count="1" selected="0">
            <x v="17"/>
          </reference>
          <reference field="6" count="1" selected="0">
            <x v="37"/>
          </reference>
        </references>
      </pivotArea>
    </chartFormat>
    <chartFormat chart="23" format="1076">
      <pivotArea type="data" outline="0" fieldPosition="0">
        <references count="3">
          <reference field="4294967294" count="1" selected="0">
            <x v="0"/>
          </reference>
          <reference field="1" count="1" selected="0">
            <x v="18"/>
          </reference>
          <reference field="6" count="1" selected="0">
            <x v="37"/>
          </reference>
        </references>
      </pivotArea>
    </chartFormat>
    <chartFormat chart="23" format="1077">
      <pivotArea type="data" outline="0" fieldPosition="0">
        <references count="3">
          <reference field="4294967294" count="1" selected="0">
            <x v="0"/>
          </reference>
          <reference field="1" count="1" selected="0">
            <x v="19"/>
          </reference>
          <reference field="6" count="1" selected="0">
            <x v="37"/>
          </reference>
        </references>
      </pivotArea>
    </chartFormat>
    <chartFormat chart="23" format="1078">
      <pivotArea type="data" outline="0" fieldPosition="0">
        <references count="3">
          <reference field="4294967294" count="1" selected="0">
            <x v="0"/>
          </reference>
          <reference field="1" count="1" selected="0">
            <x v="24"/>
          </reference>
          <reference field="6" count="1" selected="0">
            <x v="37"/>
          </reference>
        </references>
      </pivotArea>
    </chartFormat>
    <chartFormat chart="23" format="1079">
      <pivotArea type="data" outline="0" fieldPosition="0">
        <references count="3">
          <reference field="4294967294" count="1" selected="0">
            <x v="0"/>
          </reference>
          <reference field="1" count="1" selected="0">
            <x v="25"/>
          </reference>
          <reference field="6" count="1" selected="0">
            <x v="37"/>
          </reference>
        </references>
      </pivotArea>
    </chartFormat>
    <chartFormat chart="23" format="1080">
      <pivotArea type="data" outline="0" fieldPosition="0">
        <references count="3">
          <reference field="4294967294" count="1" selected="0">
            <x v="0"/>
          </reference>
          <reference field="1" count="1" selected="0">
            <x v="29"/>
          </reference>
          <reference field="6" count="1" selected="0">
            <x v="37"/>
          </reference>
        </references>
      </pivotArea>
    </chartFormat>
    <chartFormat chart="23" format="1081">
      <pivotArea type="data" outline="0" fieldPosition="0">
        <references count="3">
          <reference field="4294967294" count="1" selected="0">
            <x v="0"/>
          </reference>
          <reference field="1" count="1" selected="0">
            <x v="30"/>
          </reference>
          <reference field="6" count="1" selected="0">
            <x v="37"/>
          </reference>
        </references>
      </pivotArea>
    </chartFormat>
    <chartFormat chart="23" format="1082">
      <pivotArea type="data" outline="0" fieldPosition="0">
        <references count="3">
          <reference field="4294967294" count="1" selected="0">
            <x v="0"/>
          </reference>
          <reference field="1" count="1" selected="0">
            <x v="31"/>
          </reference>
          <reference field="6" count="1" selected="0">
            <x v="37"/>
          </reference>
        </references>
      </pivotArea>
    </chartFormat>
    <chartFormat chart="23" format="1083">
      <pivotArea type="data" outline="0" fieldPosition="0">
        <references count="3">
          <reference field="4294967294" count="1" selected="0">
            <x v="0"/>
          </reference>
          <reference field="1" count="1" selected="0">
            <x v="32"/>
          </reference>
          <reference field="6" count="1" selected="0">
            <x v="37"/>
          </reference>
        </references>
      </pivotArea>
    </chartFormat>
    <chartFormat chart="23" format="1084">
      <pivotArea type="data" outline="0" fieldPosition="0">
        <references count="3">
          <reference field="4294967294" count="1" selected="0">
            <x v="0"/>
          </reference>
          <reference field="1" count="1" selected="0">
            <x v="33"/>
          </reference>
          <reference field="6" count="1" selected="0">
            <x v="37"/>
          </reference>
        </references>
      </pivotArea>
    </chartFormat>
    <chartFormat chart="23" format="1085">
      <pivotArea type="data" outline="0" fieldPosition="0">
        <references count="3">
          <reference field="4294967294" count="1" selected="0">
            <x v="0"/>
          </reference>
          <reference field="1" count="1" selected="0">
            <x v="34"/>
          </reference>
          <reference field="6" count="1" selected="0">
            <x v="37"/>
          </reference>
        </references>
      </pivotArea>
    </chartFormat>
    <chartFormat chart="23" format="1086">
      <pivotArea type="data" outline="0" fieldPosition="0">
        <references count="3">
          <reference field="4294967294" count="1" selected="0">
            <x v="0"/>
          </reference>
          <reference field="1" count="1" selected="0">
            <x v="35"/>
          </reference>
          <reference field="6" count="1" selected="0">
            <x v="37"/>
          </reference>
        </references>
      </pivotArea>
    </chartFormat>
    <chartFormat chart="23" format="1087">
      <pivotArea type="data" outline="0" fieldPosition="0">
        <references count="3">
          <reference field="4294967294" count="1" selected="0">
            <x v="0"/>
          </reference>
          <reference field="1" count="1" selected="0">
            <x v="36"/>
          </reference>
          <reference field="6" count="1" selected="0">
            <x v="37"/>
          </reference>
        </references>
      </pivotArea>
    </chartFormat>
    <chartFormat chart="23" format="1088">
      <pivotArea type="data" outline="0" fieldPosition="0">
        <references count="3">
          <reference field="4294967294" count="1" selected="0">
            <x v="0"/>
          </reference>
          <reference field="1" count="1" selected="0">
            <x v="37"/>
          </reference>
          <reference field="6" count="1" selected="0">
            <x v="37"/>
          </reference>
        </references>
      </pivotArea>
    </chartFormat>
    <chartFormat chart="23" format="1089">
      <pivotArea type="data" outline="0" fieldPosition="0">
        <references count="3">
          <reference field="4294967294" count="1" selected="0">
            <x v="0"/>
          </reference>
          <reference field="1" count="1" selected="0">
            <x v="38"/>
          </reference>
          <reference field="6" count="1" selected="0">
            <x v="37"/>
          </reference>
        </references>
      </pivotArea>
    </chartFormat>
    <chartFormat chart="23" format="1090">
      <pivotArea type="data" outline="0" fieldPosition="0">
        <references count="3">
          <reference field="4294967294" count="1" selected="0">
            <x v="0"/>
          </reference>
          <reference field="1" count="1" selected="0">
            <x v="39"/>
          </reference>
          <reference field="6" count="1" selected="0">
            <x v="37"/>
          </reference>
        </references>
      </pivotArea>
    </chartFormat>
    <chartFormat chart="23" format="1091">
      <pivotArea type="data" outline="0" fieldPosition="0">
        <references count="3">
          <reference field="4294967294" count="1" selected="0">
            <x v="0"/>
          </reference>
          <reference field="1" count="1" selected="0">
            <x v="40"/>
          </reference>
          <reference field="6" count="1" selected="0">
            <x v="37"/>
          </reference>
        </references>
      </pivotArea>
    </chartFormat>
    <chartFormat chart="23" format="1092">
      <pivotArea type="data" outline="0" fieldPosition="0">
        <references count="3">
          <reference field="4294967294" count="1" selected="0">
            <x v="0"/>
          </reference>
          <reference field="1" count="1" selected="0">
            <x v="41"/>
          </reference>
          <reference field="6" count="1" selected="0">
            <x v="37"/>
          </reference>
        </references>
      </pivotArea>
    </chartFormat>
    <chartFormat chart="23" format="1093">
      <pivotArea type="data" outline="0" fieldPosition="0">
        <references count="3">
          <reference field="4294967294" count="1" selected="0">
            <x v="0"/>
          </reference>
          <reference field="1" count="1" selected="0">
            <x v="42"/>
          </reference>
          <reference field="6" count="1" selected="0">
            <x v="37"/>
          </reference>
        </references>
      </pivotArea>
    </chartFormat>
    <chartFormat chart="23" format="1094">
      <pivotArea type="data" outline="0" fieldPosition="0">
        <references count="3">
          <reference field="4294967294" count="1" selected="0">
            <x v="0"/>
          </reference>
          <reference field="1" count="1" selected="0">
            <x v="43"/>
          </reference>
          <reference field="6" count="1" selected="0">
            <x v="37"/>
          </reference>
        </references>
      </pivotArea>
    </chartFormat>
    <chartFormat chart="23" format="1095">
      <pivotArea type="data" outline="0" fieldPosition="0">
        <references count="3">
          <reference field="4294967294" count="1" selected="0">
            <x v="0"/>
          </reference>
          <reference field="1" count="1" selected="0">
            <x v="44"/>
          </reference>
          <reference field="6" count="1" selected="0">
            <x v="37"/>
          </reference>
        </references>
      </pivotArea>
    </chartFormat>
    <chartFormat chart="23" format="1096">
      <pivotArea type="data" outline="0" fieldPosition="0">
        <references count="3">
          <reference field="4294967294" count="1" selected="0">
            <x v="0"/>
          </reference>
          <reference field="1" count="1" selected="0">
            <x v="45"/>
          </reference>
          <reference field="6" count="1" selected="0">
            <x v="37"/>
          </reference>
        </references>
      </pivotArea>
    </chartFormat>
    <chartFormat chart="23" format="1097">
      <pivotArea type="data" outline="0" fieldPosition="0">
        <references count="3">
          <reference field="4294967294" count="1" selected="0">
            <x v="0"/>
          </reference>
          <reference field="1" count="1" selected="0">
            <x v="5"/>
          </reference>
          <reference field="6" count="1" selected="0">
            <x v="38"/>
          </reference>
        </references>
      </pivotArea>
    </chartFormat>
    <chartFormat chart="23" format="1098">
      <pivotArea type="data" outline="0" fieldPosition="0">
        <references count="3">
          <reference field="4294967294" count="1" selected="0">
            <x v="0"/>
          </reference>
          <reference field="1" count="1" selected="0">
            <x v="11"/>
          </reference>
          <reference field="6" count="1" selected="0">
            <x v="38"/>
          </reference>
        </references>
      </pivotArea>
    </chartFormat>
    <chartFormat chart="23" format="1099">
      <pivotArea type="data" outline="0" fieldPosition="0">
        <references count="3">
          <reference field="4294967294" count="1" selected="0">
            <x v="0"/>
          </reference>
          <reference field="1" count="1" selected="0">
            <x v="17"/>
          </reference>
          <reference field="6" count="1" selected="0">
            <x v="38"/>
          </reference>
        </references>
      </pivotArea>
    </chartFormat>
    <chartFormat chart="23" format="1100">
      <pivotArea type="data" outline="0" fieldPosition="0">
        <references count="3">
          <reference field="4294967294" count="1" selected="0">
            <x v="0"/>
          </reference>
          <reference field="1" count="1" selected="0">
            <x v="18"/>
          </reference>
          <reference field="6" count="1" selected="0">
            <x v="38"/>
          </reference>
        </references>
      </pivotArea>
    </chartFormat>
    <chartFormat chart="23" format="1101">
      <pivotArea type="data" outline="0" fieldPosition="0">
        <references count="3">
          <reference field="4294967294" count="1" selected="0">
            <x v="0"/>
          </reference>
          <reference field="1" count="1" selected="0">
            <x v="19"/>
          </reference>
          <reference field="6" count="1" selected="0">
            <x v="38"/>
          </reference>
        </references>
      </pivotArea>
    </chartFormat>
    <chartFormat chart="23" format="1102">
      <pivotArea type="data" outline="0" fieldPosition="0">
        <references count="3">
          <reference field="4294967294" count="1" selected="0">
            <x v="0"/>
          </reference>
          <reference field="1" count="1" selected="0">
            <x v="24"/>
          </reference>
          <reference field="6" count="1" selected="0">
            <x v="38"/>
          </reference>
        </references>
      </pivotArea>
    </chartFormat>
    <chartFormat chart="23" format="1103">
      <pivotArea type="data" outline="0" fieldPosition="0">
        <references count="3">
          <reference field="4294967294" count="1" selected="0">
            <x v="0"/>
          </reference>
          <reference field="1" count="1" selected="0">
            <x v="25"/>
          </reference>
          <reference field="6" count="1" selected="0">
            <x v="38"/>
          </reference>
        </references>
      </pivotArea>
    </chartFormat>
    <chartFormat chart="23" format="1104">
      <pivotArea type="data" outline="0" fieldPosition="0">
        <references count="3">
          <reference field="4294967294" count="1" selected="0">
            <x v="0"/>
          </reference>
          <reference field="1" count="1" selected="0">
            <x v="29"/>
          </reference>
          <reference field="6" count="1" selected="0">
            <x v="38"/>
          </reference>
        </references>
      </pivotArea>
    </chartFormat>
    <chartFormat chart="23" format="1105">
      <pivotArea type="data" outline="0" fieldPosition="0">
        <references count="3">
          <reference field="4294967294" count="1" selected="0">
            <x v="0"/>
          </reference>
          <reference field="1" count="1" selected="0">
            <x v="30"/>
          </reference>
          <reference field="6" count="1" selected="0">
            <x v="38"/>
          </reference>
        </references>
      </pivotArea>
    </chartFormat>
    <chartFormat chart="23" format="1106">
      <pivotArea type="data" outline="0" fieldPosition="0">
        <references count="3">
          <reference field="4294967294" count="1" selected="0">
            <x v="0"/>
          </reference>
          <reference field="1" count="1" selected="0">
            <x v="31"/>
          </reference>
          <reference field="6" count="1" selected="0">
            <x v="38"/>
          </reference>
        </references>
      </pivotArea>
    </chartFormat>
    <chartFormat chart="23" format="1107">
      <pivotArea type="data" outline="0" fieldPosition="0">
        <references count="3">
          <reference field="4294967294" count="1" selected="0">
            <x v="0"/>
          </reference>
          <reference field="1" count="1" selected="0">
            <x v="32"/>
          </reference>
          <reference field="6" count="1" selected="0">
            <x v="38"/>
          </reference>
        </references>
      </pivotArea>
    </chartFormat>
    <chartFormat chart="23" format="1108">
      <pivotArea type="data" outline="0" fieldPosition="0">
        <references count="3">
          <reference field="4294967294" count="1" selected="0">
            <x v="0"/>
          </reference>
          <reference field="1" count="1" selected="0">
            <x v="33"/>
          </reference>
          <reference field="6" count="1" selected="0">
            <x v="38"/>
          </reference>
        </references>
      </pivotArea>
    </chartFormat>
    <chartFormat chart="23" format="1109">
      <pivotArea type="data" outline="0" fieldPosition="0">
        <references count="3">
          <reference field="4294967294" count="1" selected="0">
            <x v="0"/>
          </reference>
          <reference field="1" count="1" selected="0">
            <x v="34"/>
          </reference>
          <reference field="6" count="1" selected="0">
            <x v="38"/>
          </reference>
        </references>
      </pivotArea>
    </chartFormat>
    <chartFormat chart="23" format="1110">
      <pivotArea type="data" outline="0" fieldPosition="0">
        <references count="3">
          <reference field="4294967294" count="1" selected="0">
            <x v="0"/>
          </reference>
          <reference field="1" count="1" selected="0">
            <x v="35"/>
          </reference>
          <reference field="6" count="1" selected="0">
            <x v="38"/>
          </reference>
        </references>
      </pivotArea>
    </chartFormat>
    <chartFormat chart="23" format="1111">
      <pivotArea type="data" outline="0" fieldPosition="0">
        <references count="3">
          <reference field="4294967294" count="1" selected="0">
            <x v="0"/>
          </reference>
          <reference field="1" count="1" selected="0">
            <x v="36"/>
          </reference>
          <reference field="6" count="1" selected="0">
            <x v="38"/>
          </reference>
        </references>
      </pivotArea>
    </chartFormat>
    <chartFormat chart="23" format="1112">
      <pivotArea type="data" outline="0" fieldPosition="0">
        <references count="3">
          <reference field="4294967294" count="1" selected="0">
            <x v="0"/>
          </reference>
          <reference field="1" count="1" selected="0">
            <x v="37"/>
          </reference>
          <reference field="6" count="1" selected="0">
            <x v="38"/>
          </reference>
        </references>
      </pivotArea>
    </chartFormat>
    <chartFormat chart="23" format="1113">
      <pivotArea type="data" outline="0" fieldPosition="0">
        <references count="3">
          <reference field="4294967294" count="1" selected="0">
            <x v="0"/>
          </reference>
          <reference field="1" count="1" selected="0">
            <x v="38"/>
          </reference>
          <reference field="6" count="1" selected="0">
            <x v="38"/>
          </reference>
        </references>
      </pivotArea>
    </chartFormat>
    <chartFormat chart="23" format="1114">
      <pivotArea type="data" outline="0" fieldPosition="0">
        <references count="3">
          <reference field="4294967294" count="1" selected="0">
            <x v="0"/>
          </reference>
          <reference field="1" count="1" selected="0">
            <x v="39"/>
          </reference>
          <reference field="6" count="1" selected="0">
            <x v="38"/>
          </reference>
        </references>
      </pivotArea>
    </chartFormat>
    <chartFormat chart="23" format="1115">
      <pivotArea type="data" outline="0" fieldPosition="0">
        <references count="3">
          <reference field="4294967294" count="1" selected="0">
            <x v="0"/>
          </reference>
          <reference field="1" count="1" selected="0">
            <x v="40"/>
          </reference>
          <reference field="6" count="1" selected="0">
            <x v="38"/>
          </reference>
        </references>
      </pivotArea>
    </chartFormat>
    <chartFormat chart="23" format="1116">
      <pivotArea type="data" outline="0" fieldPosition="0">
        <references count="3">
          <reference field="4294967294" count="1" selected="0">
            <x v="0"/>
          </reference>
          <reference field="1" count="1" selected="0">
            <x v="41"/>
          </reference>
          <reference field="6" count="1" selected="0">
            <x v="38"/>
          </reference>
        </references>
      </pivotArea>
    </chartFormat>
    <chartFormat chart="23" format="1117">
      <pivotArea type="data" outline="0" fieldPosition="0">
        <references count="3">
          <reference field="4294967294" count="1" selected="0">
            <x v="0"/>
          </reference>
          <reference field="1" count="1" selected="0">
            <x v="42"/>
          </reference>
          <reference field="6" count="1" selected="0">
            <x v="38"/>
          </reference>
        </references>
      </pivotArea>
    </chartFormat>
    <chartFormat chart="23" format="1118">
      <pivotArea type="data" outline="0" fieldPosition="0">
        <references count="3">
          <reference field="4294967294" count="1" selected="0">
            <x v="0"/>
          </reference>
          <reference field="1" count="1" selected="0">
            <x v="43"/>
          </reference>
          <reference field="6" count="1" selected="0">
            <x v="38"/>
          </reference>
        </references>
      </pivotArea>
    </chartFormat>
    <chartFormat chart="23" format="1119">
      <pivotArea type="data" outline="0" fieldPosition="0">
        <references count="3">
          <reference field="4294967294" count="1" selected="0">
            <x v="0"/>
          </reference>
          <reference field="1" count="1" selected="0">
            <x v="44"/>
          </reference>
          <reference field="6" count="1" selected="0">
            <x v="38"/>
          </reference>
        </references>
      </pivotArea>
    </chartFormat>
    <chartFormat chart="23" format="1120">
      <pivotArea type="data" outline="0" fieldPosition="0">
        <references count="3">
          <reference field="4294967294" count="1" selected="0">
            <x v="0"/>
          </reference>
          <reference field="1" count="1" selected="0">
            <x v="45"/>
          </reference>
          <reference field="6" count="1" selected="0">
            <x v="38"/>
          </reference>
        </references>
      </pivotArea>
    </chartFormat>
    <chartFormat chart="23" format="1121">
      <pivotArea type="data" outline="0" fieldPosition="0">
        <references count="3">
          <reference field="4294967294" count="1" selected="0">
            <x v="0"/>
          </reference>
          <reference field="1" count="1" selected="0">
            <x v="5"/>
          </reference>
          <reference field="6" count="1" selected="0">
            <x v="39"/>
          </reference>
        </references>
      </pivotArea>
    </chartFormat>
    <chartFormat chart="23" format="1122">
      <pivotArea type="data" outline="0" fieldPosition="0">
        <references count="3">
          <reference field="4294967294" count="1" selected="0">
            <x v="0"/>
          </reference>
          <reference field="1" count="1" selected="0">
            <x v="11"/>
          </reference>
          <reference field="6" count="1" selected="0">
            <x v="39"/>
          </reference>
        </references>
      </pivotArea>
    </chartFormat>
    <chartFormat chart="23" format="1123">
      <pivotArea type="data" outline="0" fieldPosition="0">
        <references count="3">
          <reference field="4294967294" count="1" selected="0">
            <x v="0"/>
          </reference>
          <reference field="1" count="1" selected="0">
            <x v="17"/>
          </reference>
          <reference field="6" count="1" selected="0">
            <x v="39"/>
          </reference>
        </references>
      </pivotArea>
    </chartFormat>
    <chartFormat chart="23" format="1124">
      <pivotArea type="data" outline="0" fieldPosition="0">
        <references count="3">
          <reference field="4294967294" count="1" selected="0">
            <x v="0"/>
          </reference>
          <reference field="1" count="1" selected="0">
            <x v="18"/>
          </reference>
          <reference field="6" count="1" selected="0">
            <x v="39"/>
          </reference>
        </references>
      </pivotArea>
    </chartFormat>
    <chartFormat chart="23" format="1125">
      <pivotArea type="data" outline="0" fieldPosition="0">
        <references count="3">
          <reference field="4294967294" count="1" selected="0">
            <x v="0"/>
          </reference>
          <reference field="1" count="1" selected="0">
            <x v="19"/>
          </reference>
          <reference field="6" count="1" selected="0">
            <x v="39"/>
          </reference>
        </references>
      </pivotArea>
    </chartFormat>
    <chartFormat chart="23" format="1126">
      <pivotArea type="data" outline="0" fieldPosition="0">
        <references count="3">
          <reference field="4294967294" count="1" selected="0">
            <x v="0"/>
          </reference>
          <reference field="1" count="1" selected="0">
            <x v="24"/>
          </reference>
          <reference field="6" count="1" selected="0">
            <x v="39"/>
          </reference>
        </references>
      </pivotArea>
    </chartFormat>
    <chartFormat chart="23" format="1127">
      <pivotArea type="data" outline="0" fieldPosition="0">
        <references count="3">
          <reference field="4294967294" count="1" selected="0">
            <x v="0"/>
          </reference>
          <reference field="1" count="1" selected="0">
            <x v="25"/>
          </reference>
          <reference field="6" count="1" selected="0">
            <x v="39"/>
          </reference>
        </references>
      </pivotArea>
    </chartFormat>
    <chartFormat chart="23" format="1128">
      <pivotArea type="data" outline="0" fieldPosition="0">
        <references count="3">
          <reference field="4294967294" count="1" selected="0">
            <x v="0"/>
          </reference>
          <reference field="1" count="1" selected="0">
            <x v="29"/>
          </reference>
          <reference field="6" count="1" selected="0">
            <x v="39"/>
          </reference>
        </references>
      </pivotArea>
    </chartFormat>
    <chartFormat chart="23" format="1129">
      <pivotArea type="data" outline="0" fieldPosition="0">
        <references count="3">
          <reference field="4294967294" count="1" selected="0">
            <x v="0"/>
          </reference>
          <reference field="1" count="1" selected="0">
            <x v="30"/>
          </reference>
          <reference field="6" count="1" selected="0">
            <x v="39"/>
          </reference>
        </references>
      </pivotArea>
    </chartFormat>
    <chartFormat chart="23" format="1130">
      <pivotArea type="data" outline="0" fieldPosition="0">
        <references count="3">
          <reference field="4294967294" count="1" selected="0">
            <x v="0"/>
          </reference>
          <reference field="1" count="1" selected="0">
            <x v="31"/>
          </reference>
          <reference field="6" count="1" selected="0">
            <x v="39"/>
          </reference>
        </references>
      </pivotArea>
    </chartFormat>
    <chartFormat chart="23" format="1131">
      <pivotArea type="data" outline="0" fieldPosition="0">
        <references count="3">
          <reference field="4294967294" count="1" selected="0">
            <x v="0"/>
          </reference>
          <reference field="1" count="1" selected="0">
            <x v="32"/>
          </reference>
          <reference field="6" count="1" selected="0">
            <x v="39"/>
          </reference>
        </references>
      </pivotArea>
    </chartFormat>
    <chartFormat chart="23" format="1132">
      <pivotArea type="data" outline="0" fieldPosition="0">
        <references count="3">
          <reference field="4294967294" count="1" selected="0">
            <x v="0"/>
          </reference>
          <reference field="1" count="1" selected="0">
            <x v="33"/>
          </reference>
          <reference field="6" count="1" selected="0">
            <x v="39"/>
          </reference>
        </references>
      </pivotArea>
    </chartFormat>
    <chartFormat chart="23" format="1133">
      <pivotArea type="data" outline="0" fieldPosition="0">
        <references count="3">
          <reference field="4294967294" count="1" selected="0">
            <x v="0"/>
          </reference>
          <reference field="1" count="1" selected="0">
            <x v="34"/>
          </reference>
          <reference field="6" count="1" selected="0">
            <x v="39"/>
          </reference>
        </references>
      </pivotArea>
    </chartFormat>
    <chartFormat chart="23" format="1134">
      <pivotArea type="data" outline="0" fieldPosition="0">
        <references count="3">
          <reference field="4294967294" count="1" selected="0">
            <x v="0"/>
          </reference>
          <reference field="1" count="1" selected="0">
            <x v="35"/>
          </reference>
          <reference field="6" count="1" selected="0">
            <x v="39"/>
          </reference>
        </references>
      </pivotArea>
    </chartFormat>
    <chartFormat chart="23" format="1135">
      <pivotArea type="data" outline="0" fieldPosition="0">
        <references count="3">
          <reference field="4294967294" count="1" selected="0">
            <x v="0"/>
          </reference>
          <reference field="1" count="1" selected="0">
            <x v="36"/>
          </reference>
          <reference field="6" count="1" selected="0">
            <x v="39"/>
          </reference>
        </references>
      </pivotArea>
    </chartFormat>
    <chartFormat chart="23" format="1136">
      <pivotArea type="data" outline="0" fieldPosition="0">
        <references count="3">
          <reference field="4294967294" count="1" selected="0">
            <x v="0"/>
          </reference>
          <reference field="1" count="1" selected="0">
            <x v="37"/>
          </reference>
          <reference field="6" count="1" selected="0">
            <x v="39"/>
          </reference>
        </references>
      </pivotArea>
    </chartFormat>
    <chartFormat chart="23" format="1137">
      <pivotArea type="data" outline="0" fieldPosition="0">
        <references count="3">
          <reference field="4294967294" count="1" selected="0">
            <x v="0"/>
          </reference>
          <reference field="1" count="1" selected="0">
            <x v="38"/>
          </reference>
          <reference field="6" count="1" selected="0">
            <x v="39"/>
          </reference>
        </references>
      </pivotArea>
    </chartFormat>
    <chartFormat chart="23" format="1138">
      <pivotArea type="data" outline="0" fieldPosition="0">
        <references count="3">
          <reference field="4294967294" count="1" selected="0">
            <x v="0"/>
          </reference>
          <reference field="1" count="1" selected="0">
            <x v="39"/>
          </reference>
          <reference field="6" count="1" selected="0">
            <x v="39"/>
          </reference>
        </references>
      </pivotArea>
    </chartFormat>
    <chartFormat chart="23" format="1139">
      <pivotArea type="data" outline="0" fieldPosition="0">
        <references count="3">
          <reference field="4294967294" count="1" selected="0">
            <x v="0"/>
          </reference>
          <reference field="1" count="1" selected="0">
            <x v="40"/>
          </reference>
          <reference field="6" count="1" selected="0">
            <x v="39"/>
          </reference>
        </references>
      </pivotArea>
    </chartFormat>
    <chartFormat chart="23" format="1140">
      <pivotArea type="data" outline="0" fieldPosition="0">
        <references count="3">
          <reference field="4294967294" count="1" selected="0">
            <x v="0"/>
          </reference>
          <reference field="1" count="1" selected="0">
            <x v="41"/>
          </reference>
          <reference field="6" count="1" selected="0">
            <x v="39"/>
          </reference>
        </references>
      </pivotArea>
    </chartFormat>
    <chartFormat chart="23" format="1141">
      <pivotArea type="data" outline="0" fieldPosition="0">
        <references count="3">
          <reference field="4294967294" count="1" selected="0">
            <x v="0"/>
          </reference>
          <reference field="1" count="1" selected="0">
            <x v="42"/>
          </reference>
          <reference field="6" count="1" selected="0">
            <x v="39"/>
          </reference>
        </references>
      </pivotArea>
    </chartFormat>
    <chartFormat chart="23" format="1142">
      <pivotArea type="data" outline="0" fieldPosition="0">
        <references count="3">
          <reference field="4294967294" count="1" selected="0">
            <x v="0"/>
          </reference>
          <reference field="1" count="1" selected="0">
            <x v="43"/>
          </reference>
          <reference field="6" count="1" selected="0">
            <x v="39"/>
          </reference>
        </references>
      </pivotArea>
    </chartFormat>
    <chartFormat chart="23" format="1143">
      <pivotArea type="data" outline="0" fieldPosition="0">
        <references count="3">
          <reference field="4294967294" count="1" selected="0">
            <x v="0"/>
          </reference>
          <reference field="1" count="1" selected="0">
            <x v="44"/>
          </reference>
          <reference field="6" count="1" selected="0">
            <x v="39"/>
          </reference>
        </references>
      </pivotArea>
    </chartFormat>
    <chartFormat chart="23" format="1144">
      <pivotArea type="data" outline="0" fieldPosition="0">
        <references count="3">
          <reference field="4294967294" count="1" selected="0">
            <x v="0"/>
          </reference>
          <reference field="1" count="1" selected="0">
            <x v="45"/>
          </reference>
          <reference field="6" count="1" selected="0">
            <x v="39"/>
          </reference>
        </references>
      </pivotArea>
    </chartFormat>
    <chartFormat chart="23" format="1145">
      <pivotArea type="data" outline="0" fieldPosition="0">
        <references count="3">
          <reference field="4294967294" count="1" selected="0">
            <x v="0"/>
          </reference>
          <reference field="1" count="1" selected="0">
            <x v="5"/>
          </reference>
          <reference field="6" count="1" selected="0">
            <x v="40"/>
          </reference>
        </references>
      </pivotArea>
    </chartFormat>
    <chartFormat chart="23" format="1146">
      <pivotArea type="data" outline="0" fieldPosition="0">
        <references count="3">
          <reference field="4294967294" count="1" selected="0">
            <x v="0"/>
          </reference>
          <reference field="1" count="1" selected="0">
            <x v="11"/>
          </reference>
          <reference field="6" count="1" selected="0">
            <x v="40"/>
          </reference>
        </references>
      </pivotArea>
    </chartFormat>
    <chartFormat chart="23" format="1147">
      <pivotArea type="data" outline="0" fieldPosition="0">
        <references count="3">
          <reference field="4294967294" count="1" selected="0">
            <x v="0"/>
          </reference>
          <reference field="1" count="1" selected="0">
            <x v="17"/>
          </reference>
          <reference field="6" count="1" selected="0">
            <x v="40"/>
          </reference>
        </references>
      </pivotArea>
    </chartFormat>
    <chartFormat chart="23" format="1148">
      <pivotArea type="data" outline="0" fieldPosition="0">
        <references count="3">
          <reference field="4294967294" count="1" selected="0">
            <x v="0"/>
          </reference>
          <reference field="1" count="1" selected="0">
            <x v="18"/>
          </reference>
          <reference field="6" count="1" selected="0">
            <x v="40"/>
          </reference>
        </references>
      </pivotArea>
    </chartFormat>
    <chartFormat chart="23" format="1149">
      <pivotArea type="data" outline="0" fieldPosition="0">
        <references count="3">
          <reference field="4294967294" count="1" selected="0">
            <x v="0"/>
          </reference>
          <reference field="1" count="1" selected="0">
            <x v="19"/>
          </reference>
          <reference field="6" count="1" selected="0">
            <x v="40"/>
          </reference>
        </references>
      </pivotArea>
    </chartFormat>
    <chartFormat chart="23" format="1150">
      <pivotArea type="data" outline="0" fieldPosition="0">
        <references count="3">
          <reference field="4294967294" count="1" selected="0">
            <x v="0"/>
          </reference>
          <reference field="1" count="1" selected="0">
            <x v="24"/>
          </reference>
          <reference field="6" count="1" selected="0">
            <x v="40"/>
          </reference>
        </references>
      </pivotArea>
    </chartFormat>
    <chartFormat chart="23" format="1151">
      <pivotArea type="data" outline="0" fieldPosition="0">
        <references count="3">
          <reference field="4294967294" count="1" selected="0">
            <x v="0"/>
          </reference>
          <reference field="1" count="1" selected="0">
            <x v="25"/>
          </reference>
          <reference field="6" count="1" selected="0">
            <x v="40"/>
          </reference>
        </references>
      </pivotArea>
    </chartFormat>
    <chartFormat chart="23" format="1152">
      <pivotArea type="data" outline="0" fieldPosition="0">
        <references count="3">
          <reference field="4294967294" count="1" selected="0">
            <x v="0"/>
          </reference>
          <reference field="1" count="1" selected="0">
            <x v="29"/>
          </reference>
          <reference field="6" count="1" selected="0">
            <x v="40"/>
          </reference>
        </references>
      </pivotArea>
    </chartFormat>
    <chartFormat chart="23" format="1153">
      <pivotArea type="data" outline="0" fieldPosition="0">
        <references count="3">
          <reference field="4294967294" count="1" selected="0">
            <x v="0"/>
          </reference>
          <reference field="1" count="1" selected="0">
            <x v="30"/>
          </reference>
          <reference field="6" count="1" selected="0">
            <x v="40"/>
          </reference>
        </references>
      </pivotArea>
    </chartFormat>
    <chartFormat chart="23" format="1154">
      <pivotArea type="data" outline="0" fieldPosition="0">
        <references count="3">
          <reference field="4294967294" count="1" selected="0">
            <x v="0"/>
          </reference>
          <reference field="1" count="1" selected="0">
            <x v="31"/>
          </reference>
          <reference field="6" count="1" selected="0">
            <x v="40"/>
          </reference>
        </references>
      </pivotArea>
    </chartFormat>
    <chartFormat chart="23" format="1155">
      <pivotArea type="data" outline="0" fieldPosition="0">
        <references count="3">
          <reference field="4294967294" count="1" selected="0">
            <x v="0"/>
          </reference>
          <reference field="1" count="1" selected="0">
            <x v="32"/>
          </reference>
          <reference field="6" count="1" selected="0">
            <x v="40"/>
          </reference>
        </references>
      </pivotArea>
    </chartFormat>
    <chartFormat chart="23" format="1156">
      <pivotArea type="data" outline="0" fieldPosition="0">
        <references count="3">
          <reference field="4294967294" count="1" selected="0">
            <x v="0"/>
          </reference>
          <reference field="1" count="1" selected="0">
            <x v="33"/>
          </reference>
          <reference field="6" count="1" selected="0">
            <x v="40"/>
          </reference>
        </references>
      </pivotArea>
    </chartFormat>
    <chartFormat chart="23" format="1157">
      <pivotArea type="data" outline="0" fieldPosition="0">
        <references count="3">
          <reference field="4294967294" count="1" selected="0">
            <x v="0"/>
          </reference>
          <reference field="1" count="1" selected="0">
            <x v="34"/>
          </reference>
          <reference field="6" count="1" selected="0">
            <x v="40"/>
          </reference>
        </references>
      </pivotArea>
    </chartFormat>
    <chartFormat chart="23" format="1158">
      <pivotArea type="data" outline="0" fieldPosition="0">
        <references count="3">
          <reference field="4294967294" count="1" selected="0">
            <x v="0"/>
          </reference>
          <reference field="1" count="1" selected="0">
            <x v="35"/>
          </reference>
          <reference field="6" count="1" selected="0">
            <x v="40"/>
          </reference>
        </references>
      </pivotArea>
    </chartFormat>
    <chartFormat chart="23" format="1159">
      <pivotArea type="data" outline="0" fieldPosition="0">
        <references count="3">
          <reference field="4294967294" count="1" selected="0">
            <x v="0"/>
          </reference>
          <reference field="1" count="1" selected="0">
            <x v="36"/>
          </reference>
          <reference field="6" count="1" selected="0">
            <x v="40"/>
          </reference>
        </references>
      </pivotArea>
    </chartFormat>
    <chartFormat chart="23" format="1160">
      <pivotArea type="data" outline="0" fieldPosition="0">
        <references count="3">
          <reference field="4294967294" count="1" selected="0">
            <x v="0"/>
          </reference>
          <reference field="1" count="1" selected="0">
            <x v="37"/>
          </reference>
          <reference field="6" count="1" selected="0">
            <x v="40"/>
          </reference>
        </references>
      </pivotArea>
    </chartFormat>
    <chartFormat chart="23" format="1161">
      <pivotArea type="data" outline="0" fieldPosition="0">
        <references count="3">
          <reference field="4294967294" count="1" selected="0">
            <x v="0"/>
          </reference>
          <reference field="1" count="1" selected="0">
            <x v="38"/>
          </reference>
          <reference field="6" count="1" selected="0">
            <x v="40"/>
          </reference>
        </references>
      </pivotArea>
    </chartFormat>
    <chartFormat chart="23" format="1162">
      <pivotArea type="data" outline="0" fieldPosition="0">
        <references count="3">
          <reference field="4294967294" count="1" selected="0">
            <x v="0"/>
          </reference>
          <reference field="1" count="1" selected="0">
            <x v="39"/>
          </reference>
          <reference field="6" count="1" selected="0">
            <x v="40"/>
          </reference>
        </references>
      </pivotArea>
    </chartFormat>
    <chartFormat chart="23" format="1163">
      <pivotArea type="data" outline="0" fieldPosition="0">
        <references count="3">
          <reference field="4294967294" count="1" selected="0">
            <x v="0"/>
          </reference>
          <reference field="1" count="1" selected="0">
            <x v="40"/>
          </reference>
          <reference field="6" count="1" selected="0">
            <x v="40"/>
          </reference>
        </references>
      </pivotArea>
    </chartFormat>
    <chartFormat chart="23" format="1164">
      <pivotArea type="data" outline="0" fieldPosition="0">
        <references count="3">
          <reference field="4294967294" count="1" selected="0">
            <x v="0"/>
          </reference>
          <reference field="1" count="1" selected="0">
            <x v="41"/>
          </reference>
          <reference field="6" count="1" selected="0">
            <x v="40"/>
          </reference>
        </references>
      </pivotArea>
    </chartFormat>
    <chartFormat chart="23" format="1165">
      <pivotArea type="data" outline="0" fieldPosition="0">
        <references count="3">
          <reference field="4294967294" count="1" selected="0">
            <x v="0"/>
          </reference>
          <reference field="1" count="1" selected="0">
            <x v="42"/>
          </reference>
          <reference field="6" count="1" selected="0">
            <x v="40"/>
          </reference>
        </references>
      </pivotArea>
    </chartFormat>
    <chartFormat chart="23" format="1166">
      <pivotArea type="data" outline="0" fieldPosition="0">
        <references count="3">
          <reference field="4294967294" count="1" selected="0">
            <x v="0"/>
          </reference>
          <reference field="1" count="1" selected="0">
            <x v="43"/>
          </reference>
          <reference field="6" count="1" selected="0">
            <x v="40"/>
          </reference>
        </references>
      </pivotArea>
    </chartFormat>
    <chartFormat chart="23" format="1167">
      <pivotArea type="data" outline="0" fieldPosition="0">
        <references count="3">
          <reference field="4294967294" count="1" selected="0">
            <x v="0"/>
          </reference>
          <reference field="1" count="1" selected="0">
            <x v="44"/>
          </reference>
          <reference field="6" count="1" selected="0">
            <x v="40"/>
          </reference>
        </references>
      </pivotArea>
    </chartFormat>
    <chartFormat chart="23" format="1168">
      <pivotArea type="data" outline="0" fieldPosition="0">
        <references count="3">
          <reference field="4294967294" count="1" selected="0">
            <x v="0"/>
          </reference>
          <reference field="1" count="1" selected="0">
            <x v="45"/>
          </reference>
          <reference field="6" count="1" selected="0">
            <x v="40"/>
          </reference>
        </references>
      </pivotArea>
    </chartFormat>
    <chartFormat chart="23" format="1169">
      <pivotArea type="data" outline="0" fieldPosition="0">
        <references count="3">
          <reference field="4294967294" count="1" selected="0">
            <x v="0"/>
          </reference>
          <reference field="1" count="1" selected="0">
            <x v="5"/>
          </reference>
          <reference field="6" count="1" selected="0">
            <x v="41"/>
          </reference>
        </references>
      </pivotArea>
    </chartFormat>
    <chartFormat chart="23" format="1170">
      <pivotArea type="data" outline="0" fieldPosition="0">
        <references count="3">
          <reference field="4294967294" count="1" selected="0">
            <x v="0"/>
          </reference>
          <reference field="1" count="1" selected="0">
            <x v="11"/>
          </reference>
          <reference field="6" count="1" selected="0">
            <x v="41"/>
          </reference>
        </references>
      </pivotArea>
    </chartFormat>
    <chartFormat chart="23" format="1171">
      <pivotArea type="data" outline="0" fieldPosition="0">
        <references count="3">
          <reference field="4294967294" count="1" selected="0">
            <x v="0"/>
          </reference>
          <reference field="1" count="1" selected="0">
            <x v="17"/>
          </reference>
          <reference field="6" count="1" selected="0">
            <x v="41"/>
          </reference>
        </references>
      </pivotArea>
    </chartFormat>
    <chartFormat chart="23" format="1172">
      <pivotArea type="data" outline="0" fieldPosition="0">
        <references count="3">
          <reference field="4294967294" count="1" selected="0">
            <x v="0"/>
          </reference>
          <reference field="1" count="1" selected="0">
            <x v="18"/>
          </reference>
          <reference field="6" count="1" selected="0">
            <x v="41"/>
          </reference>
        </references>
      </pivotArea>
    </chartFormat>
    <chartFormat chart="23" format="1173">
      <pivotArea type="data" outline="0" fieldPosition="0">
        <references count="3">
          <reference field="4294967294" count="1" selected="0">
            <x v="0"/>
          </reference>
          <reference field="1" count="1" selected="0">
            <x v="19"/>
          </reference>
          <reference field="6" count="1" selected="0">
            <x v="41"/>
          </reference>
        </references>
      </pivotArea>
    </chartFormat>
    <chartFormat chart="23" format="1174">
      <pivotArea type="data" outline="0" fieldPosition="0">
        <references count="3">
          <reference field="4294967294" count="1" selected="0">
            <x v="0"/>
          </reference>
          <reference field="1" count="1" selected="0">
            <x v="24"/>
          </reference>
          <reference field="6" count="1" selected="0">
            <x v="41"/>
          </reference>
        </references>
      </pivotArea>
    </chartFormat>
    <chartFormat chart="23" format="1175">
      <pivotArea type="data" outline="0" fieldPosition="0">
        <references count="3">
          <reference field="4294967294" count="1" selected="0">
            <x v="0"/>
          </reference>
          <reference field="1" count="1" selected="0">
            <x v="25"/>
          </reference>
          <reference field="6" count="1" selected="0">
            <x v="41"/>
          </reference>
        </references>
      </pivotArea>
    </chartFormat>
    <chartFormat chart="23" format="1176">
      <pivotArea type="data" outline="0" fieldPosition="0">
        <references count="3">
          <reference field="4294967294" count="1" selected="0">
            <x v="0"/>
          </reference>
          <reference field="1" count="1" selected="0">
            <x v="29"/>
          </reference>
          <reference field="6" count="1" selected="0">
            <x v="41"/>
          </reference>
        </references>
      </pivotArea>
    </chartFormat>
    <chartFormat chart="23" format="1177">
      <pivotArea type="data" outline="0" fieldPosition="0">
        <references count="3">
          <reference field="4294967294" count="1" selected="0">
            <x v="0"/>
          </reference>
          <reference field="1" count="1" selected="0">
            <x v="30"/>
          </reference>
          <reference field="6" count="1" selected="0">
            <x v="41"/>
          </reference>
        </references>
      </pivotArea>
    </chartFormat>
    <chartFormat chart="23" format="1178">
      <pivotArea type="data" outline="0" fieldPosition="0">
        <references count="3">
          <reference field="4294967294" count="1" selected="0">
            <x v="0"/>
          </reference>
          <reference field="1" count="1" selected="0">
            <x v="31"/>
          </reference>
          <reference field="6" count="1" selected="0">
            <x v="41"/>
          </reference>
        </references>
      </pivotArea>
    </chartFormat>
    <chartFormat chart="23" format="1179">
      <pivotArea type="data" outline="0" fieldPosition="0">
        <references count="3">
          <reference field="4294967294" count="1" selected="0">
            <x v="0"/>
          </reference>
          <reference field="1" count="1" selected="0">
            <x v="32"/>
          </reference>
          <reference field="6" count="1" selected="0">
            <x v="41"/>
          </reference>
        </references>
      </pivotArea>
    </chartFormat>
    <chartFormat chart="23" format="1180">
      <pivotArea type="data" outline="0" fieldPosition="0">
        <references count="3">
          <reference field="4294967294" count="1" selected="0">
            <x v="0"/>
          </reference>
          <reference field="1" count="1" selected="0">
            <x v="33"/>
          </reference>
          <reference field="6" count="1" selected="0">
            <x v="41"/>
          </reference>
        </references>
      </pivotArea>
    </chartFormat>
    <chartFormat chart="23" format="1181">
      <pivotArea type="data" outline="0" fieldPosition="0">
        <references count="3">
          <reference field="4294967294" count="1" selected="0">
            <x v="0"/>
          </reference>
          <reference field="1" count="1" selected="0">
            <x v="34"/>
          </reference>
          <reference field="6" count="1" selected="0">
            <x v="41"/>
          </reference>
        </references>
      </pivotArea>
    </chartFormat>
    <chartFormat chart="23" format="1182">
      <pivotArea type="data" outline="0" fieldPosition="0">
        <references count="3">
          <reference field="4294967294" count="1" selected="0">
            <x v="0"/>
          </reference>
          <reference field="1" count="1" selected="0">
            <x v="35"/>
          </reference>
          <reference field="6" count="1" selected="0">
            <x v="41"/>
          </reference>
        </references>
      </pivotArea>
    </chartFormat>
    <chartFormat chart="23" format="1183">
      <pivotArea type="data" outline="0" fieldPosition="0">
        <references count="3">
          <reference field="4294967294" count="1" selected="0">
            <x v="0"/>
          </reference>
          <reference field="1" count="1" selected="0">
            <x v="36"/>
          </reference>
          <reference field="6" count="1" selected="0">
            <x v="41"/>
          </reference>
        </references>
      </pivotArea>
    </chartFormat>
    <chartFormat chart="23" format="1184">
      <pivotArea type="data" outline="0" fieldPosition="0">
        <references count="3">
          <reference field="4294967294" count="1" selected="0">
            <x v="0"/>
          </reference>
          <reference field="1" count="1" selected="0">
            <x v="37"/>
          </reference>
          <reference field="6" count="1" selected="0">
            <x v="41"/>
          </reference>
        </references>
      </pivotArea>
    </chartFormat>
    <chartFormat chart="23" format="1185">
      <pivotArea type="data" outline="0" fieldPosition="0">
        <references count="3">
          <reference field="4294967294" count="1" selected="0">
            <x v="0"/>
          </reference>
          <reference field="1" count="1" selected="0">
            <x v="38"/>
          </reference>
          <reference field="6" count="1" selected="0">
            <x v="41"/>
          </reference>
        </references>
      </pivotArea>
    </chartFormat>
    <chartFormat chart="23" format="1186">
      <pivotArea type="data" outline="0" fieldPosition="0">
        <references count="3">
          <reference field="4294967294" count="1" selected="0">
            <x v="0"/>
          </reference>
          <reference field="1" count="1" selected="0">
            <x v="39"/>
          </reference>
          <reference field="6" count="1" selected="0">
            <x v="41"/>
          </reference>
        </references>
      </pivotArea>
    </chartFormat>
    <chartFormat chart="23" format="1187">
      <pivotArea type="data" outline="0" fieldPosition="0">
        <references count="3">
          <reference field="4294967294" count="1" selected="0">
            <x v="0"/>
          </reference>
          <reference field="1" count="1" selected="0">
            <x v="40"/>
          </reference>
          <reference field="6" count="1" selected="0">
            <x v="41"/>
          </reference>
        </references>
      </pivotArea>
    </chartFormat>
    <chartFormat chart="23" format="1188">
      <pivotArea type="data" outline="0" fieldPosition="0">
        <references count="3">
          <reference field="4294967294" count="1" selected="0">
            <x v="0"/>
          </reference>
          <reference field="1" count="1" selected="0">
            <x v="41"/>
          </reference>
          <reference field="6" count="1" selected="0">
            <x v="41"/>
          </reference>
        </references>
      </pivotArea>
    </chartFormat>
    <chartFormat chart="23" format="1189">
      <pivotArea type="data" outline="0" fieldPosition="0">
        <references count="3">
          <reference field="4294967294" count="1" selected="0">
            <x v="0"/>
          </reference>
          <reference field="1" count="1" selected="0">
            <x v="42"/>
          </reference>
          <reference field="6" count="1" selected="0">
            <x v="41"/>
          </reference>
        </references>
      </pivotArea>
    </chartFormat>
    <chartFormat chart="23" format="1190">
      <pivotArea type="data" outline="0" fieldPosition="0">
        <references count="3">
          <reference field="4294967294" count="1" selected="0">
            <x v="0"/>
          </reference>
          <reference field="1" count="1" selected="0">
            <x v="43"/>
          </reference>
          <reference field="6" count="1" selected="0">
            <x v="41"/>
          </reference>
        </references>
      </pivotArea>
    </chartFormat>
    <chartFormat chart="23" format="1191">
      <pivotArea type="data" outline="0" fieldPosition="0">
        <references count="3">
          <reference field="4294967294" count="1" selected="0">
            <x v="0"/>
          </reference>
          <reference field="1" count="1" selected="0">
            <x v="44"/>
          </reference>
          <reference field="6" count="1" selected="0">
            <x v="41"/>
          </reference>
        </references>
      </pivotArea>
    </chartFormat>
    <chartFormat chart="23" format="1192">
      <pivotArea type="data" outline="0" fieldPosition="0">
        <references count="3">
          <reference field="4294967294" count="1" selected="0">
            <x v="0"/>
          </reference>
          <reference field="1" count="1" selected="0">
            <x v="45"/>
          </reference>
          <reference field="6" count="1" selected="0">
            <x v="41"/>
          </reference>
        </references>
      </pivotArea>
    </chartFormat>
    <chartFormat chart="23" format="1193">
      <pivotArea type="data" outline="0" fieldPosition="0">
        <references count="3">
          <reference field="4294967294" count="1" selected="0">
            <x v="0"/>
          </reference>
          <reference field="1" count="1" selected="0">
            <x v="5"/>
          </reference>
          <reference field="6" count="1" selected="0">
            <x v="42"/>
          </reference>
        </references>
      </pivotArea>
    </chartFormat>
    <chartFormat chart="23" format="1194">
      <pivotArea type="data" outline="0" fieldPosition="0">
        <references count="3">
          <reference field="4294967294" count="1" selected="0">
            <x v="0"/>
          </reference>
          <reference field="1" count="1" selected="0">
            <x v="11"/>
          </reference>
          <reference field="6" count="1" selected="0">
            <x v="42"/>
          </reference>
        </references>
      </pivotArea>
    </chartFormat>
    <chartFormat chart="23" format="1195">
      <pivotArea type="data" outline="0" fieldPosition="0">
        <references count="3">
          <reference field="4294967294" count="1" selected="0">
            <x v="0"/>
          </reference>
          <reference field="1" count="1" selected="0">
            <x v="17"/>
          </reference>
          <reference field="6" count="1" selected="0">
            <x v="42"/>
          </reference>
        </references>
      </pivotArea>
    </chartFormat>
    <chartFormat chart="23" format="1196">
      <pivotArea type="data" outline="0" fieldPosition="0">
        <references count="3">
          <reference field="4294967294" count="1" selected="0">
            <x v="0"/>
          </reference>
          <reference field="1" count="1" selected="0">
            <x v="18"/>
          </reference>
          <reference field="6" count="1" selected="0">
            <x v="42"/>
          </reference>
        </references>
      </pivotArea>
    </chartFormat>
    <chartFormat chart="23" format="1197">
      <pivotArea type="data" outline="0" fieldPosition="0">
        <references count="3">
          <reference field="4294967294" count="1" selected="0">
            <x v="0"/>
          </reference>
          <reference field="1" count="1" selected="0">
            <x v="19"/>
          </reference>
          <reference field="6" count="1" selected="0">
            <x v="42"/>
          </reference>
        </references>
      </pivotArea>
    </chartFormat>
    <chartFormat chart="23" format="1198">
      <pivotArea type="data" outline="0" fieldPosition="0">
        <references count="3">
          <reference field="4294967294" count="1" selected="0">
            <x v="0"/>
          </reference>
          <reference field="1" count="1" selected="0">
            <x v="24"/>
          </reference>
          <reference field="6" count="1" selected="0">
            <x v="42"/>
          </reference>
        </references>
      </pivotArea>
    </chartFormat>
    <chartFormat chart="23" format="1199">
      <pivotArea type="data" outline="0" fieldPosition="0">
        <references count="3">
          <reference field="4294967294" count="1" selected="0">
            <x v="0"/>
          </reference>
          <reference field="1" count="1" selected="0">
            <x v="25"/>
          </reference>
          <reference field="6" count="1" selected="0">
            <x v="42"/>
          </reference>
        </references>
      </pivotArea>
    </chartFormat>
    <chartFormat chart="23" format="1200">
      <pivotArea type="data" outline="0" fieldPosition="0">
        <references count="3">
          <reference field="4294967294" count="1" selected="0">
            <x v="0"/>
          </reference>
          <reference field="1" count="1" selected="0">
            <x v="29"/>
          </reference>
          <reference field="6" count="1" selected="0">
            <x v="42"/>
          </reference>
        </references>
      </pivotArea>
    </chartFormat>
    <chartFormat chart="23" format="1201">
      <pivotArea type="data" outline="0" fieldPosition="0">
        <references count="3">
          <reference field="4294967294" count="1" selected="0">
            <x v="0"/>
          </reference>
          <reference field="1" count="1" selected="0">
            <x v="30"/>
          </reference>
          <reference field="6" count="1" selected="0">
            <x v="42"/>
          </reference>
        </references>
      </pivotArea>
    </chartFormat>
    <chartFormat chart="23" format="1202">
      <pivotArea type="data" outline="0" fieldPosition="0">
        <references count="3">
          <reference field="4294967294" count="1" selected="0">
            <x v="0"/>
          </reference>
          <reference field="1" count="1" selected="0">
            <x v="31"/>
          </reference>
          <reference field="6" count="1" selected="0">
            <x v="42"/>
          </reference>
        </references>
      </pivotArea>
    </chartFormat>
    <chartFormat chart="23" format="1203">
      <pivotArea type="data" outline="0" fieldPosition="0">
        <references count="3">
          <reference field="4294967294" count="1" selected="0">
            <x v="0"/>
          </reference>
          <reference field="1" count="1" selected="0">
            <x v="32"/>
          </reference>
          <reference field="6" count="1" selected="0">
            <x v="42"/>
          </reference>
        </references>
      </pivotArea>
    </chartFormat>
    <chartFormat chart="23" format="1204">
      <pivotArea type="data" outline="0" fieldPosition="0">
        <references count="3">
          <reference field="4294967294" count="1" selected="0">
            <x v="0"/>
          </reference>
          <reference field="1" count="1" selected="0">
            <x v="33"/>
          </reference>
          <reference field="6" count="1" selected="0">
            <x v="42"/>
          </reference>
        </references>
      </pivotArea>
    </chartFormat>
    <chartFormat chart="23" format="1205">
      <pivotArea type="data" outline="0" fieldPosition="0">
        <references count="3">
          <reference field="4294967294" count="1" selected="0">
            <x v="0"/>
          </reference>
          <reference field="1" count="1" selected="0">
            <x v="34"/>
          </reference>
          <reference field="6" count="1" selected="0">
            <x v="42"/>
          </reference>
        </references>
      </pivotArea>
    </chartFormat>
    <chartFormat chart="23" format="1206">
      <pivotArea type="data" outline="0" fieldPosition="0">
        <references count="3">
          <reference field="4294967294" count="1" selected="0">
            <x v="0"/>
          </reference>
          <reference field="1" count="1" selected="0">
            <x v="35"/>
          </reference>
          <reference field="6" count="1" selected="0">
            <x v="42"/>
          </reference>
        </references>
      </pivotArea>
    </chartFormat>
    <chartFormat chart="23" format="1207">
      <pivotArea type="data" outline="0" fieldPosition="0">
        <references count="3">
          <reference field="4294967294" count="1" selected="0">
            <x v="0"/>
          </reference>
          <reference field="1" count="1" selected="0">
            <x v="36"/>
          </reference>
          <reference field="6" count="1" selected="0">
            <x v="42"/>
          </reference>
        </references>
      </pivotArea>
    </chartFormat>
    <chartFormat chart="23" format="1208">
      <pivotArea type="data" outline="0" fieldPosition="0">
        <references count="3">
          <reference field="4294967294" count="1" selected="0">
            <x v="0"/>
          </reference>
          <reference field="1" count="1" selected="0">
            <x v="37"/>
          </reference>
          <reference field="6" count="1" selected="0">
            <x v="42"/>
          </reference>
        </references>
      </pivotArea>
    </chartFormat>
    <chartFormat chart="23" format="1209">
      <pivotArea type="data" outline="0" fieldPosition="0">
        <references count="3">
          <reference field="4294967294" count="1" selected="0">
            <x v="0"/>
          </reference>
          <reference field="1" count="1" selected="0">
            <x v="38"/>
          </reference>
          <reference field="6" count="1" selected="0">
            <x v="42"/>
          </reference>
        </references>
      </pivotArea>
    </chartFormat>
    <chartFormat chart="23" format="1210">
      <pivotArea type="data" outline="0" fieldPosition="0">
        <references count="3">
          <reference field="4294967294" count="1" selected="0">
            <x v="0"/>
          </reference>
          <reference field="1" count="1" selected="0">
            <x v="39"/>
          </reference>
          <reference field="6" count="1" selected="0">
            <x v="42"/>
          </reference>
        </references>
      </pivotArea>
    </chartFormat>
    <chartFormat chart="23" format="1211">
      <pivotArea type="data" outline="0" fieldPosition="0">
        <references count="3">
          <reference field="4294967294" count="1" selected="0">
            <x v="0"/>
          </reference>
          <reference field="1" count="1" selected="0">
            <x v="40"/>
          </reference>
          <reference field="6" count="1" selected="0">
            <x v="42"/>
          </reference>
        </references>
      </pivotArea>
    </chartFormat>
    <chartFormat chart="23" format="1212">
      <pivotArea type="data" outline="0" fieldPosition="0">
        <references count="3">
          <reference field="4294967294" count="1" selected="0">
            <x v="0"/>
          </reference>
          <reference field="1" count="1" selected="0">
            <x v="41"/>
          </reference>
          <reference field="6" count="1" selected="0">
            <x v="42"/>
          </reference>
        </references>
      </pivotArea>
    </chartFormat>
    <chartFormat chart="23" format="1213">
      <pivotArea type="data" outline="0" fieldPosition="0">
        <references count="3">
          <reference field="4294967294" count="1" selected="0">
            <x v="0"/>
          </reference>
          <reference field="1" count="1" selected="0">
            <x v="42"/>
          </reference>
          <reference field="6" count="1" selected="0">
            <x v="42"/>
          </reference>
        </references>
      </pivotArea>
    </chartFormat>
    <chartFormat chart="23" format="1214">
      <pivotArea type="data" outline="0" fieldPosition="0">
        <references count="3">
          <reference field="4294967294" count="1" selected="0">
            <x v="0"/>
          </reference>
          <reference field="1" count="1" selected="0">
            <x v="43"/>
          </reference>
          <reference field="6" count="1" selected="0">
            <x v="42"/>
          </reference>
        </references>
      </pivotArea>
    </chartFormat>
    <chartFormat chart="23" format="1215">
      <pivotArea type="data" outline="0" fieldPosition="0">
        <references count="3">
          <reference field="4294967294" count="1" selected="0">
            <x v="0"/>
          </reference>
          <reference field="1" count="1" selected="0">
            <x v="44"/>
          </reference>
          <reference field="6" count="1" selected="0">
            <x v="42"/>
          </reference>
        </references>
      </pivotArea>
    </chartFormat>
    <chartFormat chart="23" format="1216">
      <pivotArea type="data" outline="0" fieldPosition="0">
        <references count="3">
          <reference field="4294967294" count="1" selected="0">
            <x v="0"/>
          </reference>
          <reference field="1" count="1" selected="0">
            <x v="45"/>
          </reference>
          <reference field="6" count="1" selected="0">
            <x v="42"/>
          </reference>
        </references>
      </pivotArea>
    </chartFormat>
    <chartFormat chart="23" format="1217">
      <pivotArea type="data" outline="0" fieldPosition="0">
        <references count="3">
          <reference field="4294967294" count="1" selected="0">
            <x v="0"/>
          </reference>
          <reference field="1" count="1" selected="0">
            <x v="5"/>
          </reference>
          <reference field="6" count="1" selected="0">
            <x v="43"/>
          </reference>
        </references>
      </pivotArea>
    </chartFormat>
    <chartFormat chart="23" format="1218">
      <pivotArea type="data" outline="0" fieldPosition="0">
        <references count="3">
          <reference field="4294967294" count="1" selected="0">
            <x v="0"/>
          </reference>
          <reference field="1" count="1" selected="0">
            <x v="11"/>
          </reference>
          <reference field="6" count="1" selected="0">
            <x v="43"/>
          </reference>
        </references>
      </pivotArea>
    </chartFormat>
    <chartFormat chart="23" format="1219">
      <pivotArea type="data" outline="0" fieldPosition="0">
        <references count="3">
          <reference field="4294967294" count="1" selected="0">
            <x v="0"/>
          </reference>
          <reference field="1" count="1" selected="0">
            <x v="17"/>
          </reference>
          <reference field="6" count="1" selected="0">
            <x v="43"/>
          </reference>
        </references>
      </pivotArea>
    </chartFormat>
    <chartFormat chart="23" format="1220">
      <pivotArea type="data" outline="0" fieldPosition="0">
        <references count="3">
          <reference field="4294967294" count="1" selected="0">
            <x v="0"/>
          </reference>
          <reference field="1" count="1" selected="0">
            <x v="18"/>
          </reference>
          <reference field="6" count="1" selected="0">
            <x v="43"/>
          </reference>
        </references>
      </pivotArea>
    </chartFormat>
    <chartFormat chart="23" format="1221">
      <pivotArea type="data" outline="0" fieldPosition="0">
        <references count="3">
          <reference field="4294967294" count="1" selected="0">
            <x v="0"/>
          </reference>
          <reference field="1" count="1" selected="0">
            <x v="19"/>
          </reference>
          <reference field="6" count="1" selected="0">
            <x v="43"/>
          </reference>
        </references>
      </pivotArea>
    </chartFormat>
    <chartFormat chart="23" format="1222">
      <pivotArea type="data" outline="0" fieldPosition="0">
        <references count="3">
          <reference field="4294967294" count="1" selected="0">
            <x v="0"/>
          </reference>
          <reference field="1" count="1" selected="0">
            <x v="24"/>
          </reference>
          <reference field="6" count="1" selected="0">
            <x v="43"/>
          </reference>
        </references>
      </pivotArea>
    </chartFormat>
    <chartFormat chart="23" format="1223">
      <pivotArea type="data" outline="0" fieldPosition="0">
        <references count="3">
          <reference field="4294967294" count="1" selected="0">
            <x v="0"/>
          </reference>
          <reference field="1" count="1" selected="0">
            <x v="25"/>
          </reference>
          <reference field="6" count="1" selected="0">
            <x v="43"/>
          </reference>
        </references>
      </pivotArea>
    </chartFormat>
    <chartFormat chart="23" format="1224">
      <pivotArea type="data" outline="0" fieldPosition="0">
        <references count="3">
          <reference field="4294967294" count="1" selected="0">
            <x v="0"/>
          </reference>
          <reference field="1" count="1" selected="0">
            <x v="29"/>
          </reference>
          <reference field="6" count="1" selected="0">
            <x v="43"/>
          </reference>
        </references>
      </pivotArea>
    </chartFormat>
    <chartFormat chart="23" format="1225">
      <pivotArea type="data" outline="0" fieldPosition="0">
        <references count="3">
          <reference field="4294967294" count="1" selected="0">
            <x v="0"/>
          </reference>
          <reference field="1" count="1" selected="0">
            <x v="30"/>
          </reference>
          <reference field="6" count="1" selected="0">
            <x v="43"/>
          </reference>
        </references>
      </pivotArea>
    </chartFormat>
    <chartFormat chart="23" format="1226">
      <pivotArea type="data" outline="0" fieldPosition="0">
        <references count="3">
          <reference field="4294967294" count="1" selected="0">
            <x v="0"/>
          </reference>
          <reference field="1" count="1" selected="0">
            <x v="31"/>
          </reference>
          <reference field="6" count="1" selected="0">
            <x v="43"/>
          </reference>
        </references>
      </pivotArea>
    </chartFormat>
    <chartFormat chart="23" format="1227">
      <pivotArea type="data" outline="0" fieldPosition="0">
        <references count="3">
          <reference field="4294967294" count="1" selected="0">
            <x v="0"/>
          </reference>
          <reference field="1" count="1" selected="0">
            <x v="32"/>
          </reference>
          <reference field="6" count="1" selected="0">
            <x v="43"/>
          </reference>
        </references>
      </pivotArea>
    </chartFormat>
    <chartFormat chart="23" format="1228">
      <pivotArea type="data" outline="0" fieldPosition="0">
        <references count="3">
          <reference field="4294967294" count="1" selected="0">
            <x v="0"/>
          </reference>
          <reference field="1" count="1" selected="0">
            <x v="33"/>
          </reference>
          <reference field="6" count="1" selected="0">
            <x v="43"/>
          </reference>
        </references>
      </pivotArea>
    </chartFormat>
    <chartFormat chart="23" format="1229">
      <pivotArea type="data" outline="0" fieldPosition="0">
        <references count="3">
          <reference field="4294967294" count="1" selected="0">
            <x v="0"/>
          </reference>
          <reference field="1" count="1" selected="0">
            <x v="34"/>
          </reference>
          <reference field="6" count="1" selected="0">
            <x v="43"/>
          </reference>
        </references>
      </pivotArea>
    </chartFormat>
    <chartFormat chart="23" format="1230">
      <pivotArea type="data" outline="0" fieldPosition="0">
        <references count="3">
          <reference field="4294967294" count="1" selected="0">
            <x v="0"/>
          </reference>
          <reference field="1" count="1" selected="0">
            <x v="35"/>
          </reference>
          <reference field="6" count="1" selected="0">
            <x v="43"/>
          </reference>
        </references>
      </pivotArea>
    </chartFormat>
    <chartFormat chart="23" format="1231">
      <pivotArea type="data" outline="0" fieldPosition="0">
        <references count="3">
          <reference field="4294967294" count="1" selected="0">
            <x v="0"/>
          </reference>
          <reference field="1" count="1" selected="0">
            <x v="36"/>
          </reference>
          <reference field="6" count="1" selected="0">
            <x v="43"/>
          </reference>
        </references>
      </pivotArea>
    </chartFormat>
    <chartFormat chart="23" format="1232">
      <pivotArea type="data" outline="0" fieldPosition="0">
        <references count="3">
          <reference field="4294967294" count="1" selected="0">
            <x v="0"/>
          </reference>
          <reference field="1" count="1" selected="0">
            <x v="37"/>
          </reference>
          <reference field="6" count="1" selected="0">
            <x v="43"/>
          </reference>
        </references>
      </pivotArea>
    </chartFormat>
    <chartFormat chart="23" format="1233">
      <pivotArea type="data" outline="0" fieldPosition="0">
        <references count="3">
          <reference field="4294967294" count="1" selected="0">
            <x v="0"/>
          </reference>
          <reference field="1" count="1" selected="0">
            <x v="38"/>
          </reference>
          <reference field="6" count="1" selected="0">
            <x v="43"/>
          </reference>
        </references>
      </pivotArea>
    </chartFormat>
    <chartFormat chart="23" format="1234">
      <pivotArea type="data" outline="0" fieldPosition="0">
        <references count="3">
          <reference field="4294967294" count="1" selected="0">
            <x v="0"/>
          </reference>
          <reference field="1" count="1" selected="0">
            <x v="39"/>
          </reference>
          <reference field="6" count="1" selected="0">
            <x v="43"/>
          </reference>
        </references>
      </pivotArea>
    </chartFormat>
    <chartFormat chart="23" format="1235">
      <pivotArea type="data" outline="0" fieldPosition="0">
        <references count="3">
          <reference field="4294967294" count="1" selected="0">
            <x v="0"/>
          </reference>
          <reference field="1" count="1" selected="0">
            <x v="40"/>
          </reference>
          <reference field="6" count="1" selected="0">
            <x v="43"/>
          </reference>
        </references>
      </pivotArea>
    </chartFormat>
    <chartFormat chart="23" format="1236">
      <pivotArea type="data" outline="0" fieldPosition="0">
        <references count="3">
          <reference field="4294967294" count="1" selected="0">
            <x v="0"/>
          </reference>
          <reference field="1" count="1" selected="0">
            <x v="41"/>
          </reference>
          <reference field="6" count="1" selected="0">
            <x v="43"/>
          </reference>
        </references>
      </pivotArea>
    </chartFormat>
    <chartFormat chart="23" format="1237">
      <pivotArea type="data" outline="0" fieldPosition="0">
        <references count="3">
          <reference field="4294967294" count="1" selected="0">
            <x v="0"/>
          </reference>
          <reference field="1" count="1" selected="0">
            <x v="42"/>
          </reference>
          <reference field="6" count="1" selected="0">
            <x v="43"/>
          </reference>
        </references>
      </pivotArea>
    </chartFormat>
    <chartFormat chart="23" format="1238">
      <pivotArea type="data" outline="0" fieldPosition="0">
        <references count="3">
          <reference field="4294967294" count="1" selected="0">
            <x v="0"/>
          </reference>
          <reference field="1" count="1" selected="0">
            <x v="43"/>
          </reference>
          <reference field="6" count="1" selected="0">
            <x v="43"/>
          </reference>
        </references>
      </pivotArea>
    </chartFormat>
    <chartFormat chart="23" format="1239">
      <pivotArea type="data" outline="0" fieldPosition="0">
        <references count="3">
          <reference field="4294967294" count="1" selected="0">
            <x v="0"/>
          </reference>
          <reference field="1" count="1" selected="0">
            <x v="44"/>
          </reference>
          <reference field="6" count="1" selected="0">
            <x v="43"/>
          </reference>
        </references>
      </pivotArea>
    </chartFormat>
    <chartFormat chart="23" format="1240">
      <pivotArea type="data" outline="0" fieldPosition="0">
        <references count="3">
          <reference field="4294967294" count="1" selected="0">
            <x v="0"/>
          </reference>
          <reference field="1" count="1" selected="0">
            <x v="45"/>
          </reference>
          <reference field="6" count="1" selected="0">
            <x v="43"/>
          </reference>
        </references>
      </pivotArea>
    </chartFormat>
    <chartFormat chart="23" format="1241">
      <pivotArea type="data" outline="0" fieldPosition="0">
        <references count="3">
          <reference field="4294967294" count="1" selected="0">
            <x v="0"/>
          </reference>
          <reference field="1" count="1" selected="0">
            <x v="5"/>
          </reference>
          <reference field="6" count="1" selected="0">
            <x v="44"/>
          </reference>
        </references>
      </pivotArea>
    </chartFormat>
    <chartFormat chart="23" format="1242">
      <pivotArea type="data" outline="0" fieldPosition="0">
        <references count="3">
          <reference field="4294967294" count="1" selected="0">
            <x v="0"/>
          </reference>
          <reference field="1" count="1" selected="0">
            <x v="11"/>
          </reference>
          <reference field="6" count="1" selected="0">
            <x v="44"/>
          </reference>
        </references>
      </pivotArea>
    </chartFormat>
    <chartFormat chart="23" format="1243">
      <pivotArea type="data" outline="0" fieldPosition="0">
        <references count="3">
          <reference field="4294967294" count="1" selected="0">
            <x v="0"/>
          </reference>
          <reference field="1" count="1" selected="0">
            <x v="17"/>
          </reference>
          <reference field="6" count="1" selected="0">
            <x v="44"/>
          </reference>
        </references>
      </pivotArea>
    </chartFormat>
    <chartFormat chart="23" format="1244">
      <pivotArea type="data" outline="0" fieldPosition="0">
        <references count="3">
          <reference field="4294967294" count="1" selected="0">
            <x v="0"/>
          </reference>
          <reference field="1" count="1" selected="0">
            <x v="18"/>
          </reference>
          <reference field="6" count="1" selected="0">
            <x v="44"/>
          </reference>
        </references>
      </pivotArea>
    </chartFormat>
    <chartFormat chart="23" format="1245">
      <pivotArea type="data" outline="0" fieldPosition="0">
        <references count="3">
          <reference field="4294967294" count="1" selected="0">
            <x v="0"/>
          </reference>
          <reference field="1" count="1" selected="0">
            <x v="19"/>
          </reference>
          <reference field="6" count="1" selected="0">
            <x v="44"/>
          </reference>
        </references>
      </pivotArea>
    </chartFormat>
    <chartFormat chart="23" format="1246">
      <pivotArea type="data" outline="0" fieldPosition="0">
        <references count="3">
          <reference field="4294967294" count="1" selected="0">
            <x v="0"/>
          </reference>
          <reference field="1" count="1" selected="0">
            <x v="24"/>
          </reference>
          <reference field="6" count="1" selected="0">
            <x v="44"/>
          </reference>
        </references>
      </pivotArea>
    </chartFormat>
    <chartFormat chart="23" format="1247">
      <pivotArea type="data" outline="0" fieldPosition="0">
        <references count="3">
          <reference field="4294967294" count="1" selected="0">
            <x v="0"/>
          </reference>
          <reference field="1" count="1" selected="0">
            <x v="25"/>
          </reference>
          <reference field="6" count="1" selected="0">
            <x v="44"/>
          </reference>
        </references>
      </pivotArea>
    </chartFormat>
    <chartFormat chart="23" format="1248">
      <pivotArea type="data" outline="0" fieldPosition="0">
        <references count="3">
          <reference field="4294967294" count="1" selected="0">
            <x v="0"/>
          </reference>
          <reference field="1" count="1" selected="0">
            <x v="29"/>
          </reference>
          <reference field="6" count="1" selected="0">
            <x v="44"/>
          </reference>
        </references>
      </pivotArea>
    </chartFormat>
    <chartFormat chart="23" format="1249">
      <pivotArea type="data" outline="0" fieldPosition="0">
        <references count="3">
          <reference field="4294967294" count="1" selected="0">
            <x v="0"/>
          </reference>
          <reference field="1" count="1" selected="0">
            <x v="30"/>
          </reference>
          <reference field="6" count="1" selected="0">
            <x v="44"/>
          </reference>
        </references>
      </pivotArea>
    </chartFormat>
    <chartFormat chart="23" format="1250">
      <pivotArea type="data" outline="0" fieldPosition="0">
        <references count="3">
          <reference field="4294967294" count="1" selected="0">
            <x v="0"/>
          </reference>
          <reference field="1" count="1" selected="0">
            <x v="31"/>
          </reference>
          <reference field="6" count="1" selected="0">
            <x v="44"/>
          </reference>
        </references>
      </pivotArea>
    </chartFormat>
    <chartFormat chart="23" format="1251">
      <pivotArea type="data" outline="0" fieldPosition="0">
        <references count="3">
          <reference field="4294967294" count="1" selected="0">
            <x v="0"/>
          </reference>
          <reference field="1" count="1" selected="0">
            <x v="32"/>
          </reference>
          <reference field="6" count="1" selected="0">
            <x v="44"/>
          </reference>
        </references>
      </pivotArea>
    </chartFormat>
    <chartFormat chart="23" format="1252">
      <pivotArea type="data" outline="0" fieldPosition="0">
        <references count="3">
          <reference field="4294967294" count="1" selected="0">
            <x v="0"/>
          </reference>
          <reference field="1" count="1" selected="0">
            <x v="33"/>
          </reference>
          <reference field="6" count="1" selected="0">
            <x v="44"/>
          </reference>
        </references>
      </pivotArea>
    </chartFormat>
    <chartFormat chart="23" format="1253">
      <pivotArea type="data" outline="0" fieldPosition="0">
        <references count="3">
          <reference field="4294967294" count="1" selected="0">
            <x v="0"/>
          </reference>
          <reference field="1" count="1" selected="0">
            <x v="34"/>
          </reference>
          <reference field="6" count="1" selected="0">
            <x v="44"/>
          </reference>
        </references>
      </pivotArea>
    </chartFormat>
    <chartFormat chart="23" format="1254">
      <pivotArea type="data" outline="0" fieldPosition="0">
        <references count="3">
          <reference field="4294967294" count="1" selected="0">
            <x v="0"/>
          </reference>
          <reference field="1" count="1" selected="0">
            <x v="35"/>
          </reference>
          <reference field="6" count="1" selected="0">
            <x v="44"/>
          </reference>
        </references>
      </pivotArea>
    </chartFormat>
    <chartFormat chart="23" format="1255">
      <pivotArea type="data" outline="0" fieldPosition="0">
        <references count="3">
          <reference field="4294967294" count="1" selected="0">
            <x v="0"/>
          </reference>
          <reference field="1" count="1" selected="0">
            <x v="36"/>
          </reference>
          <reference field="6" count="1" selected="0">
            <x v="44"/>
          </reference>
        </references>
      </pivotArea>
    </chartFormat>
    <chartFormat chart="23" format="1256">
      <pivotArea type="data" outline="0" fieldPosition="0">
        <references count="3">
          <reference field="4294967294" count="1" selected="0">
            <x v="0"/>
          </reference>
          <reference field="1" count="1" selected="0">
            <x v="37"/>
          </reference>
          <reference field="6" count="1" selected="0">
            <x v="44"/>
          </reference>
        </references>
      </pivotArea>
    </chartFormat>
    <chartFormat chart="23" format="1257">
      <pivotArea type="data" outline="0" fieldPosition="0">
        <references count="3">
          <reference field="4294967294" count="1" selected="0">
            <x v="0"/>
          </reference>
          <reference field="1" count="1" selected="0">
            <x v="38"/>
          </reference>
          <reference field="6" count="1" selected="0">
            <x v="44"/>
          </reference>
        </references>
      </pivotArea>
    </chartFormat>
    <chartFormat chart="23" format="1258">
      <pivotArea type="data" outline="0" fieldPosition="0">
        <references count="3">
          <reference field="4294967294" count="1" selected="0">
            <x v="0"/>
          </reference>
          <reference field="1" count="1" selected="0">
            <x v="39"/>
          </reference>
          <reference field="6" count="1" selected="0">
            <x v="44"/>
          </reference>
        </references>
      </pivotArea>
    </chartFormat>
    <chartFormat chart="23" format="1259">
      <pivotArea type="data" outline="0" fieldPosition="0">
        <references count="3">
          <reference field="4294967294" count="1" selected="0">
            <x v="0"/>
          </reference>
          <reference field="1" count="1" selected="0">
            <x v="40"/>
          </reference>
          <reference field="6" count="1" selected="0">
            <x v="44"/>
          </reference>
        </references>
      </pivotArea>
    </chartFormat>
    <chartFormat chart="23" format="1260">
      <pivotArea type="data" outline="0" fieldPosition="0">
        <references count="3">
          <reference field="4294967294" count="1" selected="0">
            <x v="0"/>
          </reference>
          <reference field="1" count="1" selected="0">
            <x v="41"/>
          </reference>
          <reference field="6" count="1" selected="0">
            <x v="44"/>
          </reference>
        </references>
      </pivotArea>
    </chartFormat>
    <chartFormat chart="23" format="1261">
      <pivotArea type="data" outline="0" fieldPosition="0">
        <references count="3">
          <reference field="4294967294" count="1" selected="0">
            <x v="0"/>
          </reference>
          <reference field="1" count="1" selected="0">
            <x v="42"/>
          </reference>
          <reference field="6" count="1" selected="0">
            <x v="44"/>
          </reference>
        </references>
      </pivotArea>
    </chartFormat>
    <chartFormat chart="23" format="1262">
      <pivotArea type="data" outline="0" fieldPosition="0">
        <references count="3">
          <reference field="4294967294" count="1" selected="0">
            <x v="0"/>
          </reference>
          <reference field="1" count="1" selected="0">
            <x v="43"/>
          </reference>
          <reference field="6" count="1" selected="0">
            <x v="44"/>
          </reference>
        </references>
      </pivotArea>
    </chartFormat>
    <chartFormat chart="23" format="1263">
      <pivotArea type="data" outline="0" fieldPosition="0">
        <references count="3">
          <reference field="4294967294" count="1" selected="0">
            <x v="0"/>
          </reference>
          <reference field="1" count="1" selected="0">
            <x v="44"/>
          </reference>
          <reference field="6" count="1" selected="0">
            <x v="44"/>
          </reference>
        </references>
      </pivotArea>
    </chartFormat>
    <chartFormat chart="23" format="1264">
      <pivotArea type="data" outline="0" fieldPosition="0">
        <references count="3">
          <reference field="4294967294" count="1" selected="0">
            <x v="0"/>
          </reference>
          <reference field="1" count="1" selected="0">
            <x v="45"/>
          </reference>
          <reference field="6" count="1" selected="0">
            <x v="44"/>
          </reference>
        </references>
      </pivotArea>
    </chartFormat>
    <chartFormat chart="23" format="1265">
      <pivotArea type="data" outline="0" fieldPosition="0">
        <references count="3">
          <reference field="4294967294" count="1" selected="0">
            <x v="0"/>
          </reference>
          <reference field="1" count="1" selected="0">
            <x v="5"/>
          </reference>
          <reference field="6" count="1" selected="0">
            <x v="45"/>
          </reference>
        </references>
      </pivotArea>
    </chartFormat>
    <chartFormat chart="23" format="1266">
      <pivotArea type="data" outline="0" fieldPosition="0">
        <references count="3">
          <reference field="4294967294" count="1" selected="0">
            <x v="0"/>
          </reference>
          <reference field="1" count="1" selected="0">
            <x v="11"/>
          </reference>
          <reference field="6" count="1" selected="0">
            <x v="45"/>
          </reference>
        </references>
      </pivotArea>
    </chartFormat>
    <chartFormat chart="23" format="1267">
      <pivotArea type="data" outline="0" fieldPosition="0">
        <references count="3">
          <reference field="4294967294" count="1" selected="0">
            <x v="0"/>
          </reference>
          <reference field="1" count="1" selected="0">
            <x v="17"/>
          </reference>
          <reference field="6" count="1" selected="0">
            <x v="45"/>
          </reference>
        </references>
      </pivotArea>
    </chartFormat>
    <chartFormat chart="23" format="1268">
      <pivotArea type="data" outline="0" fieldPosition="0">
        <references count="3">
          <reference field="4294967294" count="1" selected="0">
            <x v="0"/>
          </reference>
          <reference field="1" count="1" selected="0">
            <x v="18"/>
          </reference>
          <reference field="6" count="1" selected="0">
            <x v="45"/>
          </reference>
        </references>
      </pivotArea>
    </chartFormat>
    <chartFormat chart="23" format="1269">
      <pivotArea type="data" outline="0" fieldPosition="0">
        <references count="3">
          <reference field="4294967294" count="1" selected="0">
            <x v="0"/>
          </reference>
          <reference field="1" count="1" selected="0">
            <x v="19"/>
          </reference>
          <reference field="6" count="1" selected="0">
            <x v="45"/>
          </reference>
        </references>
      </pivotArea>
    </chartFormat>
    <chartFormat chart="23" format="1270">
      <pivotArea type="data" outline="0" fieldPosition="0">
        <references count="3">
          <reference field="4294967294" count="1" selected="0">
            <x v="0"/>
          </reference>
          <reference field="1" count="1" selected="0">
            <x v="24"/>
          </reference>
          <reference field="6" count="1" selected="0">
            <x v="45"/>
          </reference>
        </references>
      </pivotArea>
    </chartFormat>
    <chartFormat chart="23" format="1271">
      <pivotArea type="data" outline="0" fieldPosition="0">
        <references count="3">
          <reference field="4294967294" count="1" selected="0">
            <x v="0"/>
          </reference>
          <reference field="1" count="1" selected="0">
            <x v="25"/>
          </reference>
          <reference field="6" count="1" selected="0">
            <x v="45"/>
          </reference>
        </references>
      </pivotArea>
    </chartFormat>
    <chartFormat chart="23" format="1272">
      <pivotArea type="data" outline="0" fieldPosition="0">
        <references count="3">
          <reference field="4294967294" count="1" selected="0">
            <x v="0"/>
          </reference>
          <reference field="1" count="1" selected="0">
            <x v="29"/>
          </reference>
          <reference field="6" count="1" selected="0">
            <x v="45"/>
          </reference>
        </references>
      </pivotArea>
    </chartFormat>
    <chartFormat chart="23" format="1273">
      <pivotArea type="data" outline="0" fieldPosition="0">
        <references count="3">
          <reference field="4294967294" count="1" selected="0">
            <x v="0"/>
          </reference>
          <reference field="1" count="1" selected="0">
            <x v="30"/>
          </reference>
          <reference field="6" count="1" selected="0">
            <x v="45"/>
          </reference>
        </references>
      </pivotArea>
    </chartFormat>
    <chartFormat chart="23" format="1274">
      <pivotArea type="data" outline="0" fieldPosition="0">
        <references count="3">
          <reference field="4294967294" count="1" selected="0">
            <x v="0"/>
          </reference>
          <reference field="1" count="1" selected="0">
            <x v="31"/>
          </reference>
          <reference field="6" count="1" selected="0">
            <x v="45"/>
          </reference>
        </references>
      </pivotArea>
    </chartFormat>
    <chartFormat chart="23" format="1275">
      <pivotArea type="data" outline="0" fieldPosition="0">
        <references count="3">
          <reference field="4294967294" count="1" selected="0">
            <x v="0"/>
          </reference>
          <reference field="1" count="1" selected="0">
            <x v="32"/>
          </reference>
          <reference field="6" count="1" selected="0">
            <x v="45"/>
          </reference>
        </references>
      </pivotArea>
    </chartFormat>
    <chartFormat chart="23" format="1276">
      <pivotArea type="data" outline="0" fieldPosition="0">
        <references count="3">
          <reference field="4294967294" count="1" selected="0">
            <x v="0"/>
          </reference>
          <reference field="1" count="1" selected="0">
            <x v="33"/>
          </reference>
          <reference field="6" count="1" selected="0">
            <x v="45"/>
          </reference>
        </references>
      </pivotArea>
    </chartFormat>
    <chartFormat chart="23" format="1277">
      <pivotArea type="data" outline="0" fieldPosition="0">
        <references count="3">
          <reference field="4294967294" count="1" selected="0">
            <x v="0"/>
          </reference>
          <reference field="1" count="1" selected="0">
            <x v="34"/>
          </reference>
          <reference field="6" count="1" selected="0">
            <x v="45"/>
          </reference>
        </references>
      </pivotArea>
    </chartFormat>
    <chartFormat chart="23" format="1278">
      <pivotArea type="data" outline="0" fieldPosition="0">
        <references count="3">
          <reference field="4294967294" count="1" selected="0">
            <x v="0"/>
          </reference>
          <reference field="1" count="1" selected="0">
            <x v="35"/>
          </reference>
          <reference field="6" count="1" selected="0">
            <x v="45"/>
          </reference>
        </references>
      </pivotArea>
    </chartFormat>
    <chartFormat chart="23" format="1279">
      <pivotArea type="data" outline="0" fieldPosition="0">
        <references count="3">
          <reference field="4294967294" count="1" selected="0">
            <x v="0"/>
          </reference>
          <reference field="1" count="1" selected="0">
            <x v="36"/>
          </reference>
          <reference field="6" count="1" selected="0">
            <x v="45"/>
          </reference>
        </references>
      </pivotArea>
    </chartFormat>
    <chartFormat chart="23" format="1280">
      <pivotArea type="data" outline="0" fieldPosition="0">
        <references count="3">
          <reference field="4294967294" count="1" selected="0">
            <x v="0"/>
          </reference>
          <reference field="1" count="1" selected="0">
            <x v="37"/>
          </reference>
          <reference field="6" count="1" selected="0">
            <x v="45"/>
          </reference>
        </references>
      </pivotArea>
    </chartFormat>
    <chartFormat chart="23" format="1281">
      <pivotArea type="data" outline="0" fieldPosition="0">
        <references count="3">
          <reference field="4294967294" count="1" selected="0">
            <x v="0"/>
          </reference>
          <reference field="1" count="1" selected="0">
            <x v="38"/>
          </reference>
          <reference field="6" count="1" selected="0">
            <x v="45"/>
          </reference>
        </references>
      </pivotArea>
    </chartFormat>
    <chartFormat chart="23" format="1282">
      <pivotArea type="data" outline="0" fieldPosition="0">
        <references count="3">
          <reference field="4294967294" count="1" selected="0">
            <x v="0"/>
          </reference>
          <reference field="1" count="1" selected="0">
            <x v="39"/>
          </reference>
          <reference field="6" count="1" selected="0">
            <x v="45"/>
          </reference>
        </references>
      </pivotArea>
    </chartFormat>
    <chartFormat chart="23" format="1283">
      <pivotArea type="data" outline="0" fieldPosition="0">
        <references count="3">
          <reference field="4294967294" count="1" selected="0">
            <x v="0"/>
          </reference>
          <reference field="1" count="1" selected="0">
            <x v="40"/>
          </reference>
          <reference field="6" count="1" selected="0">
            <x v="45"/>
          </reference>
        </references>
      </pivotArea>
    </chartFormat>
    <chartFormat chart="23" format="1284">
      <pivotArea type="data" outline="0" fieldPosition="0">
        <references count="3">
          <reference field="4294967294" count="1" selected="0">
            <x v="0"/>
          </reference>
          <reference field="1" count="1" selected="0">
            <x v="41"/>
          </reference>
          <reference field="6" count="1" selected="0">
            <x v="45"/>
          </reference>
        </references>
      </pivotArea>
    </chartFormat>
    <chartFormat chart="23" format="1285">
      <pivotArea type="data" outline="0" fieldPosition="0">
        <references count="3">
          <reference field="4294967294" count="1" selected="0">
            <x v="0"/>
          </reference>
          <reference field="1" count="1" selected="0">
            <x v="42"/>
          </reference>
          <reference field="6" count="1" selected="0">
            <x v="45"/>
          </reference>
        </references>
      </pivotArea>
    </chartFormat>
    <chartFormat chart="23" format="1286">
      <pivotArea type="data" outline="0" fieldPosition="0">
        <references count="3">
          <reference field="4294967294" count="1" selected="0">
            <x v="0"/>
          </reference>
          <reference field="1" count="1" selected="0">
            <x v="43"/>
          </reference>
          <reference field="6" count="1" selected="0">
            <x v="45"/>
          </reference>
        </references>
      </pivotArea>
    </chartFormat>
    <chartFormat chart="23" format="1287">
      <pivotArea type="data" outline="0" fieldPosition="0">
        <references count="3">
          <reference field="4294967294" count="1" selected="0">
            <x v="0"/>
          </reference>
          <reference field="1" count="1" selected="0">
            <x v="44"/>
          </reference>
          <reference field="6" count="1" selected="0">
            <x v="45"/>
          </reference>
        </references>
      </pivotArea>
    </chartFormat>
    <chartFormat chart="23" format="1288">
      <pivotArea type="data" outline="0" fieldPosition="0">
        <references count="3">
          <reference field="4294967294" count="1" selected="0">
            <x v="0"/>
          </reference>
          <reference field="1" count="1" selected="0">
            <x v="45"/>
          </reference>
          <reference field="6" count="1" selected="0">
            <x v="45"/>
          </reference>
        </references>
      </pivotArea>
    </chartFormat>
    <chartFormat chart="23" format="1289">
      <pivotArea type="data" outline="0" fieldPosition="0">
        <references count="3">
          <reference field="4294967294" count="1" selected="0">
            <x v="0"/>
          </reference>
          <reference field="1" count="1" selected="0">
            <x v="5"/>
          </reference>
          <reference field="6" count="1" selected="0">
            <x v="46"/>
          </reference>
        </references>
      </pivotArea>
    </chartFormat>
    <chartFormat chart="23" format="1290">
      <pivotArea type="data" outline="0" fieldPosition="0">
        <references count="3">
          <reference field="4294967294" count="1" selected="0">
            <x v="0"/>
          </reference>
          <reference field="1" count="1" selected="0">
            <x v="11"/>
          </reference>
          <reference field="6" count="1" selected="0">
            <x v="46"/>
          </reference>
        </references>
      </pivotArea>
    </chartFormat>
    <chartFormat chart="23" format="1291">
      <pivotArea type="data" outline="0" fieldPosition="0">
        <references count="3">
          <reference field="4294967294" count="1" selected="0">
            <x v="0"/>
          </reference>
          <reference field="1" count="1" selected="0">
            <x v="17"/>
          </reference>
          <reference field="6" count="1" selected="0">
            <x v="46"/>
          </reference>
        </references>
      </pivotArea>
    </chartFormat>
    <chartFormat chart="23" format="1292">
      <pivotArea type="data" outline="0" fieldPosition="0">
        <references count="3">
          <reference field="4294967294" count="1" selected="0">
            <x v="0"/>
          </reference>
          <reference field="1" count="1" selected="0">
            <x v="18"/>
          </reference>
          <reference field="6" count="1" selected="0">
            <x v="46"/>
          </reference>
        </references>
      </pivotArea>
    </chartFormat>
    <chartFormat chart="23" format="1293">
      <pivotArea type="data" outline="0" fieldPosition="0">
        <references count="3">
          <reference field="4294967294" count="1" selected="0">
            <x v="0"/>
          </reference>
          <reference field="1" count="1" selected="0">
            <x v="19"/>
          </reference>
          <reference field="6" count="1" selected="0">
            <x v="46"/>
          </reference>
        </references>
      </pivotArea>
    </chartFormat>
    <chartFormat chart="23" format="1294">
      <pivotArea type="data" outline="0" fieldPosition="0">
        <references count="3">
          <reference field="4294967294" count="1" selected="0">
            <x v="0"/>
          </reference>
          <reference field="1" count="1" selected="0">
            <x v="24"/>
          </reference>
          <reference field="6" count="1" selected="0">
            <x v="46"/>
          </reference>
        </references>
      </pivotArea>
    </chartFormat>
    <chartFormat chart="23" format="1295">
      <pivotArea type="data" outline="0" fieldPosition="0">
        <references count="3">
          <reference field="4294967294" count="1" selected="0">
            <x v="0"/>
          </reference>
          <reference field="1" count="1" selected="0">
            <x v="25"/>
          </reference>
          <reference field="6" count="1" selected="0">
            <x v="46"/>
          </reference>
        </references>
      </pivotArea>
    </chartFormat>
    <chartFormat chart="23" format="1296">
      <pivotArea type="data" outline="0" fieldPosition="0">
        <references count="3">
          <reference field="4294967294" count="1" selected="0">
            <x v="0"/>
          </reference>
          <reference field="1" count="1" selected="0">
            <x v="29"/>
          </reference>
          <reference field="6" count="1" selected="0">
            <x v="46"/>
          </reference>
        </references>
      </pivotArea>
    </chartFormat>
    <chartFormat chart="23" format="1297">
      <pivotArea type="data" outline="0" fieldPosition="0">
        <references count="3">
          <reference field="4294967294" count="1" selected="0">
            <x v="0"/>
          </reference>
          <reference field="1" count="1" selected="0">
            <x v="30"/>
          </reference>
          <reference field="6" count="1" selected="0">
            <x v="46"/>
          </reference>
        </references>
      </pivotArea>
    </chartFormat>
    <chartFormat chart="23" format="1298">
      <pivotArea type="data" outline="0" fieldPosition="0">
        <references count="3">
          <reference field="4294967294" count="1" selected="0">
            <x v="0"/>
          </reference>
          <reference field="1" count="1" selected="0">
            <x v="31"/>
          </reference>
          <reference field="6" count="1" selected="0">
            <x v="46"/>
          </reference>
        </references>
      </pivotArea>
    </chartFormat>
    <chartFormat chart="23" format="1299">
      <pivotArea type="data" outline="0" fieldPosition="0">
        <references count="3">
          <reference field="4294967294" count="1" selected="0">
            <x v="0"/>
          </reference>
          <reference field="1" count="1" selected="0">
            <x v="32"/>
          </reference>
          <reference field="6" count="1" selected="0">
            <x v="46"/>
          </reference>
        </references>
      </pivotArea>
    </chartFormat>
    <chartFormat chart="23" format="1300">
      <pivotArea type="data" outline="0" fieldPosition="0">
        <references count="3">
          <reference field="4294967294" count="1" selected="0">
            <x v="0"/>
          </reference>
          <reference field="1" count="1" selected="0">
            <x v="33"/>
          </reference>
          <reference field="6" count="1" selected="0">
            <x v="46"/>
          </reference>
        </references>
      </pivotArea>
    </chartFormat>
    <chartFormat chart="23" format="1301">
      <pivotArea type="data" outline="0" fieldPosition="0">
        <references count="3">
          <reference field="4294967294" count="1" selected="0">
            <x v="0"/>
          </reference>
          <reference field="1" count="1" selected="0">
            <x v="34"/>
          </reference>
          <reference field="6" count="1" selected="0">
            <x v="46"/>
          </reference>
        </references>
      </pivotArea>
    </chartFormat>
    <chartFormat chart="23" format="1302">
      <pivotArea type="data" outline="0" fieldPosition="0">
        <references count="3">
          <reference field="4294967294" count="1" selected="0">
            <x v="0"/>
          </reference>
          <reference field="1" count="1" selected="0">
            <x v="35"/>
          </reference>
          <reference field="6" count="1" selected="0">
            <x v="46"/>
          </reference>
        </references>
      </pivotArea>
    </chartFormat>
    <chartFormat chart="23" format="1303">
      <pivotArea type="data" outline="0" fieldPosition="0">
        <references count="3">
          <reference field="4294967294" count="1" selected="0">
            <x v="0"/>
          </reference>
          <reference field="1" count="1" selected="0">
            <x v="36"/>
          </reference>
          <reference field="6" count="1" selected="0">
            <x v="46"/>
          </reference>
        </references>
      </pivotArea>
    </chartFormat>
    <chartFormat chart="23" format="1304">
      <pivotArea type="data" outline="0" fieldPosition="0">
        <references count="3">
          <reference field="4294967294" count="1" selected="0">
            <x v="0"/>
          </reference>
          <reference field="1" count="1" selected="0">
            <x v="37"/>
          </reference>
          <reference field="6" count="1" selected="0">
            <x v="46"/>
          </reference>
        </references>
      </pivotArea>
    </chartFormat>
    <chartFormat chart="23" format="1305">
      <pivotArea type="data" outline="0" fieldPosition="0">
        <references count="3">
          <reference field="4294967294" count="1" selected="0">
            <x v="0"/>
          </reference>
          <reference field="1" count="1" selected="0">
            <x v="38"/>
          </reference>
          <reference field="6" count="1" selected="0">
            <x v="46"/>
          </reference>
        </references>
      </pivotArea>
    </chartFormat>
    <chartFormat chart="23" format="1306">
      <pivotArea type="data" outline="0" fieldPosition="0">
        <references count="3">
          <reference field="4294967294" count="1" selected="0">
            <x v="0"/>
          </reference>
          <reference field="1" count="1" selected="0">
            <x v="39"/>
          </reference>
          <reference field="6" count="1" selected="0">
            <x v="46"/>
          </reference>
        </references>
      </pivotArea>
    </chartFormat>
    <chartFormat chart="23" format="1307">
      <pivotArea type="data" outline="0" fieldPosition="0">
        <references count="3">
          <reference field="4294967294" count="1" selected="0">
            <x v="0"/>
          </reference>
          <reference field="1" count="1" selected="0">
            <x v="40"/>
          </reference>
          <reference field="6" count="1" selected="0">
            <x v="46"/>
          </reference>
        </references>
      </pivotArea>
    </chartFormat>
    <chartFormat chart="23" format="1308">
      <pivotArea type="data" outline="0" fieldPosition="0">
        <references count="3">
          <reference field="4294967294" count="1" selected="0">
            <x v="0"/>
          </reference>
          <reference field="1" count="1" selected="0">
            <x v="41"/>
          </reference>
          <reference field="6" count="1" selected="0">
            <x v="46"/>
          </reference>
        </references>
      </pivotArea>
    </chartFormat>
    <chartFormat chart="23" format="1309">
      <pivotArea type="data" outline="0" fieldPosition="0">
        <references count="3">
          <reference field="4294967294" count="1" selected="0">
            <x v="0"/>
          </reference>
          <reference field="1" count="1" selected="0">
            <x v="42"/>
          </reference>
          <reference field="6" count="1" selected="0">
            <x v="46"/>
          </reference>
        </references>
      </pivotArea>
    </chartFormat>
    <chartFormat chart="23" format="1310">
      <pivotArea type="data" outline="0" fieldPosition="0">
        <references count="3">
          <reference field="4294967294" count="1" selected="0">
            <x v="0"/>
          </reference>
          <reference field="1" count="1" selected="0">
            <x v="43"/>
          </reference>
          <reference field="6" count="1" selected="0">
            <x v="46"/>
          </reference>
        </references>
      </pivotArea>
    </chartFormat>
    <chartFormat chart="23" format="1311">
      <pivotArea type="data" outline="0" fieldPosition="0">
        <references count="3">
          <reference field="4294967294" count="1" selected="0">
            <x v="0"/>
          </reference>
          <reference field="1" count="1" selected="0">
            <x v="44"/>
          </reference>
          <reference field="6" count="1" selected="0">
            <x v="46"/>
          </reference>
        </references>
      </pivotArea>
    </chartFormat>
    <chartFormat chart="23" format="1312">
      <pivotArea type="data" outline="0" fieldPosition="0">
        <references count="3">
          <reference field="4294967294" count="1" selected="0">
            <x v="0"/>
          </reference>
          <reference field="1" count="1" selected="0">
            <x v="45"/>
          </reference>
          <reference field="6" count="1" selected="0">
            <x v="46"/>
          </reference>
        </references>
      </pivotArea>
    </chartFormat>
    <chartFormat chart="23" format="1313">
      <pivotArea type="data" outline="0" fieldPosition="0">
        <references count="3">
          <reference field="4294967294" count="1" selected="0">
            <x v="0"/>
          </reference>
          <reference field="1" count="1" selected="0">
            <x v="5"/>
          </reference>
          <reference field="6" count="1" selected="0">
            <x v="47"/>
          </reference>
        </references>
      </pivotArea>
    </chartFormat>
    <chartFormat chart="23" format="1314">
      <pivotArea type="data" outline="0" fieldPosition="0">
        <references count="3">
          <reference field="4294967294" count="1" selected="0">
            <x v="0"/>
          </reference>
          <reference field="1" count="1" selected="0">
            <x v="11"/>
          </reference>
          <reference field="6" count="1" selected="0">
            <x v="47"/>
          </reference>
        </references>
      </pivotArea>
    </chartFormat>
    <chartFormat chart="23" format="1315">
      <pivotArea type="data" outline="0" fieldPosition="0">
        <references count="3">
          <reference field="4294967294" count="1" selected="0">
            <x v="0"/>
          </reference>
          <reference field="1" count="1" selected="0">
            <x v="17"/>
          </reference>
          <reference field="6" count="1" selected="0">
            <x v="47"/>
          </reference>
        </references>
      </pivotArea>
    </chartFormat>
    <chartFormat chart="23" format="1316">
      <pivotArea type="data" outline="0" fieldPosition="0">
        <references count="3">
          <reference field="4294967294" count="1" selected="0">
            <x v="0"/>
          </reference>
          <reference field="1" count="1" selected="0">
            <x v="18"/>
          </reference>
          <reference field="6" count="1" selected="0">
            <x v="47"/>
          </reference>
        </references>
      </pivotArea>
    </chartFormat>
    <chartFormat chart="23" format="1317">
      <pivotArea type="data" outline="0" fieldPosition="0">
        <references count="3">
          <reference field="4294967294" count="1" selected="0">
            <x v="0"/>
          </reference>
          <reference field="1" count="1" selected="0">
            <x v="19"/>
          </reference>
          <reference field="6" count="1" selected="0">
            <x v="47"/>
          </reference>
        </references>
      </pivotArea>
    </chartFormat>
    <chartFormat chart="23" format="1318">
      <pivotArea type="data" outline="0" fieldPosition="0">
        <references count="3">
          <reference field="4294967294" count="1" selected="0">
            <x v="0"/>
          </reference>
          <reference field="1" count="1" selected="0">
            <x v="24"/>
          </reference>
          <reference field="6" count="1" selected="0">
            <x v="47"/>
          </reference>
        </references>
      </pivotArea>
    </chartFormat>
    <chartFormat chart="23" format="1319">
      <pivotArea type="data" outline="0" fieldPosition="0">
        <references count="3">
          <reference field="4294967294" count="1" selected="0">
            <x v="0"/>
          </reference>
          <reference field="1" count="1" selected="0">
            <x v="25"/>
          </reference>
          <reference field="6" count="1" selected="0">
            <x v="47"/>
          </reference>
        </references>
      </pivotArea>
    </chartFormat>
    <chartFormat chart="23" format="1320">
      <pivotArea type="data" outline="0" fieldPosition="0">
        <references count="3">
          <reference field="4294967294" count="1" selected="0">
            <x v="0"/>
          </reference>
          <reference field="1" count="1" selected="0">
            <x v="29"/>
          </reference>
          <reference field="6" count="1" selected="0">
            <x v="47"/>
          </reference>
        </references>
      </pivotArea>
    </chartFormat>
    <chartFormat chart="23" format="1321">
      <pivotArea type="data" outline="0" fieldPosition="0">
        <references count="3">
          <reference field="4294967294" count="1" selected="0">
            <x v="0"/>
          </reference>
          <reference field="1" count="1" selected="0">
            <x v="30"/>
          </reference>
          <reference field="6" count="1" selected="0">
            <x v="47"/>
          </reference>
        </references>
      </pivotArea>
    </chartFormat>
    <chartFormat chart="23" format="1322">
      <pivotArea type="data" outline="0" fieldPosition="0">
        <references count="3">
          <reference field="4294967294" count="1" selected="0">
            <x v="0"/>
          </reference>
          <reference field="1" count="1" selected="0">
            <x v="31"/>
          </reference>
          <reference field="6" count="1" selected="0">
            <x v="47"/>
          </reference>
        </references>
      </pivotArea>
    </chartFormat>
    <chartFormat chart="23" format="1323">
      <pivotArea type="data" outline="0" fieldPosition="0">
        <references count="3">
          <reference field="4294967294" count="1" selected="0">
            <x v="0"/>
          </reference>
          <reference field="1" count="1" selected="0">
            <x v="32"/>
          </reference>
          <reference field="6" count="1" selected="0">
            <x v="47"/>
          </reference>
        </references>
      </pivotArea>
    </chartFormat>
    <chartFormat chart="23" format="1324">
      <pivotArea type="data" outline="0" fieldPosition="0">
        <references count="3">
          <reference field="4294967294" count="1" selected="0">
            <x v="0"/>
          </reference>
          <reference field="1" count="1" selected="0">
            <x v="33"/>
          </reference>
          <reference field="6" count="1" selected="0">
            <x v="47"/>
          </reference>
        </references>
      </pivotArea>
    </chartFormat>
    <chartFormat chart="23" format="1325">
      <pivotArea type="data" outline="0" fieldPosition="0">
        <references count="3">
          <reference field="4294967294" count="1" selected="0">
            <x v="0"/>
          </reference>
          <reference field="1" count="1" selected="0">
            <x v="34"/>
          </reference>
          <reference field="6" count="1" selected="0">
            <x v="47"/>
          </reference>
        </references>
      </pivotArea>
    </chartFormat>
    <chartFormat chart="23" format="1326">
      <pivotArea type="data" outline="0" fieldPosition="0">
        <references count="3">
          <reference field="4294967294" count="1" selected="0">
            <x v="0"/>
          </reference>
          <reference field="1" count="1" selected="0">
            <x v="35"/>
          </reference>
          <reference field="6" count="1" selected="0">
            <x v="47"/>
          </reference>
        </references>
      </pivotArea>
    </chartFormat>
    <chartFormat chart="23" format="1327">
      <pivotArea type="data" outline="0" fieldPosition="0">
        <references count="3">
          <reference field="4294967294" count="1" selected="0">
            <x v="0"/>
          </reference>
          <reference field="1" count="1" selected="0">
            <x v="36"/>
          </reference>
          <reference field="6" count="1" selected="0">
            <x v="47"/>
          </reference>
        </references>
      </pivotArea>
    </chartFormat>
    <chartFormat chart="23" format="1328">
      <pivotArea type="data" outline="0" fieldPosition="0">
        <references count="3">
          <reference field="4294967294" count="1" selected="0">
            <x v="0"/>
          </reference>
          <reference field="1" count="1" selected="0">
            <x v="37"/>
          </reference>
          <reference field="6" count="1" selected="0">
            <x v="47"/>
          </reference>
        </references>
      </pivotArea>
    </chartFormat>
    <chartFormat chart="23" format="1329">
      <pivotArea type="data" outline="0" fieldPosition="0">
        <references count="3">
          <reference field="4294967294" count="1" selected="0">
            <x v="0"/>
          </reference>
          <reference field="1" count="1" selected="0">
            <x v="38"/>
          </reference>
          <reference field="6" count="1" selected="0">
            <x v="47"/>
          </reference>
        </references>
      </pivotArea>
    </chartFormat>
    <chartFormat chart="23" format="1330">
      <pivotArea type="data" outline="0" fieldPosition="0">
        <references count="3">
          <reference field="4294967294" count="1" selected="0">
            <x v="0"/>
          </reference>
          <reference field="1" count="1" selected="0">
            <x v="39"/>
          </reference>
          <reference field="6" count="1" selected="0">
            <x v="47"/>
          </reference>
        </references>
      </pivotArea>
    </chartFormat>
    <chartFormat chart="23" format="1331">
      <pivotArea type="data" outline="0" fieldPosition="0">
        <references count="3">
          <reference field="4294967294" count="1" selected="0">
            <x v="0"/>
          </reference>
          <reference field="1" count="1" selected="0">
            <x v="40"/>
          </reference>
          <reference field="6" count="1" selected="0">
            <x v="47"/>
          </reference>
        </references>
      </pivotArea>
    </chartFormat>
    <chartFormat chart="23" format="1332">
      <pivotArea type="data" outline="0" fieldPosition="0">
        <references count="3">
          <reference field="4294967294" count="1" selected="0">
            <x v="0"/>
          </reference>
          <reference field="1" count="1" selected="0">
            <x v="41"/>
          </reference>
          <reference field="6" count="1" selected="0">
            <x v="47"/>
          </reference>
        </references>
      </pivotArea>
    </chartFormat>
    <chartFormat chart="23" format="1333">
      <pivotArea type="data" outline="0" fieldPosition="0">
        <references count="3">
          <reference field="4294967294" count="1" selected="0">
            <x v="0"/>
          </reference>
          <reference field="1" count="1" selected="0">
            <x v="42"/>
          </reference>
          <reference field="6" count="1" selected="0">
            <x v="47"/>
          </reference>
        </references>
      </pivotArea>
    </chartFormat>
    <chartFormat chart="23" format="1334">
      <pivotArea type="data" outline="0" fieldPosition="0">
        <references count="3">
          <reference field="4294967294" count="1" selected="0">
            <x v="0"/>
          </reference>
          <reference field="1" count="1" selected="0">
            <x v="43"/>
          </reference>
          <reference field="6" count="1" selected="0">
            <x v="47"/>
          </reference>
        </references>
      </pivotArea>
    </chartFormat>
    <chartFormat chart="23" format="1335">
      <pivotArea type="data" outline="0" fieldPosition="0">
        <references count="3">
          <reference field="4294967294" count="1" selected="0">
            <x v="0"/>
          </reference>
          <reference field="1" count="1" selected="0">
            <x v="44"/>
          </reference>
          <reference field="6" count="1" selected="0">
            <x v="47"/>
          </reference>
        </references>
      </pivotArea>
    </chartFormat>
    <chartFormat chart="23" format="1336">
      <pivotArea type="data" outline="0" fieldPosition="0">
        <references count="3">
          <reference field="4294967294" count="1" selected="0">
            <x v="0"/>
          </reference>
          <reference field="1" count="1" selected="0">
            <x v="45"/>
          </reference>
          <reference field="6" count="1" selected="0">
            <x v="47"/>
          </reference>
        </references>
      </pivotArea>
    </chartFormat>
    <chartFormat chart="23" format="1337">
      <pivotArea type="data" outline="0" fieldPosition="0">
        <references count="3">
          <reference field="4294967294" count="1" selected="0">
            <x v="0"/>
          </reference>
          <reference field="1" count="1" selected="0">
            <x v="5"/>
          </reference>
          <reference field="6" count="1" selected="0">
            <x v="48"/>
          </reference>
        </references>
      </pivotArea>
    </chartFormat>
    <chartFormat chart="23" format="1338">
      <pivotArea type="data" outline="0" fieldPosition="0">
        <references count="3">
          <reference field="4294967294" count="1" selected="0">
            <x v="0"/>
          </reference>
          <reference field="1" count="1" selected="0">
            <x v="11"/>
          </reference>
          <reference field="6" count="1" selected="0">
            <x v="48"/>
          </reference>
        </references>
      </pivotArea>
    </chartFormat>
    <chartFormat chart="23" format="1339">
      <pivotArea type="data" outline="0" fieldPosition="0">
        <references count="3">
          <reference field="4294967294" count="1" selected="0">
            <x v="0"/>
          </reference>
          <reference field="1" count="1" selected="0">
            <x v="17"/>
          </reference>
          <reference field="6" count="1" selected="0">
            <x v="48"/>
          </reference>
        </references>
      </pivotArea>
    </chartFormat>
    <chartFormat chart="23" format="1340">
      <pivotArea type="data" outline="0" fieldPosition="0">
        <references count="3">
          <reference field="4294967294" count="1" selected="0">
            <x v="0"/>
          </reference>
          <reference field="1" count="1" selected="0">
            <x v="18"/>
          </reference>
          <reference field="6" count="1" selected="0">
            <x v="48"/>
          </reference>
        </references>
      </pivotArea>
    </chartFormat>
    <chartFormat chart="23" format="1341">
      <pivotArea type="data" outline="0" fieldPosition="0">
        <references count="3">
          <reference field="4294967294" count="1" selected="0">
            <x v="0"/>
          </reference>
          <reference field="1" count="1" selected="0">
            <x v="19"/>
          </reference>
          <reference field="6" count="1" selected="0">
            <x v="48"/>
          </reference>
        </references>
      </pivotArea>
    </chartFormat>
    <chartFormat chart="23" format="1342">
      <pivotArea type="data" outline="0" fieldPosition="0">
        <references count="3">
          <reference field="4294967294" count="1" selected="0">
            <x v="0"/>
          </reference>
          <reference field="1" count="1" selected="0">
            <x v="24"/>
          </reference>
          <reference field="6" count="1" selected="0">
            <x v="48"/>
          </reference>
        </references>
      </pivotArea>
    </chartFormat>
    <chartFormat chart="23" format="1343">
      <pivotArea type="data" outline="0" fieldPosition="0">
        <references count="3">
          <reference field="4294967294" count="1" selected="0">
            <x v="0"/>
          </reference>
          <reference field="1" count="1" selected="0">
            <x v="25"/>
          </reference>
          <reference field="6" count="1" selected="0">
            <x v="48"/>
          </reference>
        </references>
      </pivotArea>
    </chartFormat>
    <chartFormat chart="23" format="1344">
      <pivotArea type="data" outline="0" fieldPosition="0">
        <references count="3">
          <reference field="4294967294" count="1" selected="0">
            <x v="0"/>
          </reference>
          <reference field="1" count="1" selected="0">
            <x v="29"/>
          </reference>
          <reference field="6" count="1" selected="0">
            <x v="48"/>
          </reference>
        </references>
      </pivotArea>
    </chartFormat>
    <chartFormat chart="23" format="1345">
      <pivotArea type="data" outline="0" fieldPosition="0">
        <references count="3">
          <reference field="4294967294" count="1" selected="0">
            <x v="0"/>
          </reference>
          <reference field="1" count="1" selected="0">
            <x v="30"/>
          </reference>
          <reference field="6" count="1" selected="0">
            <x v="48"/>
          </reference>
        </references>
      </pivotArea>
    </chartFormat>
    <chartFormat chart="23" format="1346">
      <pivotArea type="data" outline="0" fieldPosition="0">
        <references count="3">
          <reference field="4294967294" count="1" selected="0">
            <x v="0"/>
          </reference>
          <reference field="1" count="1" selected="0">
            <x v="31"/>
          </reference>
          <reference field="6" count="1" selected="0">
            <x v="48"/>
          </reference>
        </references>
      </pivotArea>
    </chartFormat>
    <chartFormat chart="23" format="1347">
      <pivotArea type="data" outline="0" fieldPosition="0">
        <references count="3">
          <reference field="4294967294" count="1" selected="0">
            <x v="0"/>
          </reference>
          <reference field="1" count="1" selected="0">
            <x v="32"/>
          </reference>
          <reference field="6" count="1" selected="0">
            <x v="48"/>
          </reference>
        </references>
      </pivotArea>
    </chartFormat>
    <chartFormat chart="23" format="1348">
      <pivotArea type="data" outline="0" fieldPosition="0">
        <references count="3">
          <reference field="4294967294" count="1" selected="0">
            <x v="0"/>
          </reference>
          <reference field="1" count="1" selected="0">
            <x v="33"/>
          </reference>
          <reference field="6" count="1" selected="0">
            <x v="48"/>
          </reference>
        </references>
      </pivotArea>
    </chartFormat>
    <chartFormat chart="23" format="1349">
      <pivotArea type="data" outline="0" fieldPosition="0">
        <references count="3">
          <reference field="4294967294" count="1" selected="0">
            <x v="0"/>
          </reference>
          <reference field="1" count="1" selected="0">
            <x v="34"/>
          </reference>
          <reference field="6" count="1" selected="0">
            <x v="48"/>
          </reference>
        </references>
      </pivotArea>
    </chartFormat>
    <chartFormat chart="23" format="1350">
      <pivotArea type="data" outline="0" fieldPosition="0">
        <references count="3">
          <reference field="4294967294" count="1" selected="0">
            <x v="0"/>
          </reference>
          <reference field="1" count="1" selected="0">
            <x v="35"/>
          </reference>
          <reference field="6" count="1" selected="0">
            <x v="48"/>
          </reference>
        </references>
      </pivotArea>
    </chartFormat>
    <chartFormat chart="23" format="1351">
      <pivotArea type="data" outline="0" fieldPosition="0">
        <references count="3">
          <reference field="4294967294" count="1" selected="0">
            <x v="0"/>
          </reference>
          <reference field="1" count="1" selected="0">
            <x v="36"/>
          </reference>
          <reference field="6" count="1" selected="0">
            <x v="48"/>
          </reference>
        </references>
      </pivotArea>
    </chartFormat>
    <chartFormat chart="23" format="1352">
      <pivotArea type="data" outline="0" fieldPosition="0">
        <references count="3">
          <reference field="4294967294" count="1" selected="0">
            <x v="0"/>
          </reference>
          <reference field="1" count="1" selected="0">
            <x v="37"/>
          </reference>
          <reference field="6" count="1" selected="0">
            <x v="48"/>
          </reference>
        </references>
      </pivotArea>
    </chartFormat>
    <chartFormat chart="23" format="1353">
      <pivotArea type="data" outline="0" fieldPosition="0">
        <references count="3">
          <reference field="4294967294" count="1" selected="0">
            <x v="0"/>
          </reference>
          <reference field="1" count="1" selected="0">
            <x v="38"/>
          </reference>
          <reference field="6" count="1" selected="0">
            <x v="48"/>
          </reference>
        </references>
      </pivotArea>
    </chartFormat>
    <chartFormat chart="23" format="1354">
      <pivotArea type="data" outline="0" fieldPosition="0">
        <references count="3">
          <reference field="4294967294" count="1" selected="0">
            <x v="0"/>
          </reference>
          <reference field="1" count="1" selected="0">
            <x v="39"/>
          </reference>
          <reference field="6" count="1" selected="0">
            <x v="48"/>
          </reference>
        </references>
      </pivotArea>
    </chartFormat>
    <chartFormat chart="23" format="1355">
      <pivotArea type="data" outline="0" fieldPosition="0">
        <references count="3">
          <reference field="4294967294" count="1" selected="0">
            <x v="0"/>
          </reference>
          <reference field="1" count="1" selected="0">
            <x v="40"/>
          </reference>
          <reference field="6" count="1" selected="0">
            <x v="48"/>
          </reference>
        </references>
      </pivotArea>
    </chartFormat>
    <chartFormat chart="23" format="1356">
      <pivotArea type="data" outline="0" fieldPosition="0">
        <references count="3">
          <reference field="4294967294" count="1" selected="0">
            <x v="0"/>
          </reference>
          <reference field="1" count="1" selected="0">
            <x v="41"/>
          </reference>
          <reference field="6" count="1" selected="0">
            <x v="48"/>
          </reference>
        </references>
      </pivotArea>
    </chartFormat>
    <chartFormat chart="23" format="1357">
      <pivotArea type="data" outline="0" fieldPosition="0">
        <references count="3">
          <reference field="4294967294" count="1" selected="0">
            <x v="0"/>
          </reference>
          <reference field="1" count="1" selected="0">
            <x v="42"/>
          </reference>
          <reference field="6" count="1" selected="0">
            <x v="48"/>
          </reference>
        </references>
      </pivotArea>
    </chartFormat>
    <chartFormat chart="23" format="1358">
      <pivotArea type="data" outline="0" fieldPosition="0">
        <references count="3">
          <reference field="4294967294" count="1" selected="0">
            <x v="0"/>
          </reference>
          <reference field="1" count="1" selected="0">
            <x v="43"/>
          </reference>
          <reference field="6" count="1" selected="0">
            <x v="48"/>
          </reference>
        </references>
      </pivotArea>
    </chartFormat>
    <chartFormat chart="23" format="1359">
      <pivotArea type="data" outline="0" fieldPosition="0">
        <references count="3">
          <reference field="4294967294" count="1" selected="0">
            <x v="0"/>
          </reference>
          <reference field="1" count="1" selected="0">
            <x v="44"/>
          </reference>
          <reference field="6" count="1" selected="0">
            <x v="48"/>
          </reference>
        </references>
      </pivotArea>
    </chartFormat>
    <chartFormat chart="23" format="1360">
      <pivotArea type="data" outline="0" fieldPosition="0">
        <references count="3">
          <reference field="4294967294" count="1" selected="0">
            <x v="0"/>
          </reference>
          <reference field="1" count="1" selected="0">
            <x v="45"/>
          </reference>
          <reference field="6" count="1" selected="0">
            <x v="48"/>
          </reference>
        </references>
      </pivotArea>
    </chartFormat>
    <chartFormat chart="23" format="1361">
      <pivotArea type="data" outline="0" fieldPosition="0">
        <references count="3">
          <reference field="4294967294" count="1" selected="0">
            <x v="0"/>
          </reference>
          <reference field="1" count="1" selected="0">
            <x v="5"/>
          </reference>
          <reference field="6" count="1" selected="0">
            <x v="49"/>
          </reference>
        </references>
      </pivotArea>
    </chartFormat>
    <chartFormat chart="23" format="1362">
      <pivotArea type="data" outline="0" fieldPosition="0">
        <references count="3">
          <reference field="4294967294" count="1" selected="0">
            <x v="0"/>
          </reference>
          <reference field="1" count="1" selected="0">
            <x v="11"/>
          </reference>
          <reference field="6" count="1" selected="0">
            <x v="49"/>
          </reference>
        </references>
      </pivotArea>
    </chartFormat>
    <chartFormat chart="23" format="1363">
      <pivotArea type="data" outline="0" fieldPosition="0">
        <references count="3">
          <reference field="4294967294" count="1" selected="0">
            <x v="0"/>
          </reference>
          <reference field="1" count="1" selected="0">
            <x v="17"/>
          </reference>
          <reference field="6" count="1" selected="0">
            <x v="49"/>
          </reference>
        </references>
      </pivotArea>
    </chartFormat>
    <chartFormat chart="23" format="1364">
      <pivotArea type="data" outline="0" fieldPosition="0">
        <references count="3">
          <reference field="4294967294" count="1" selected="0">
            <x v="0"/>
          </reference>
          <reference field="1" count="1" selected="0">
            <x v="18"/>
          </reference>
          <reference field="6" count="1" selected="0">
            <x v="49"/>
          </reference>
        </references>
      </pivotArea>
    </chartFormat>
    <chartFormat chart="23" format="1365">
      <pivotArea type="data" outline="0" fieldPosition="0">
        <references count="3">
          <reference field="4294967294" count="1" selected="0">
            <x v="0"/>
          </reference>
          <reference field="1" count="1" selected="0">
            <x v="19"/>
          </reference>
          <reference field="6" count="1" selected="0">
            <x v="49"/>
          </reference>
        </references>
      </pivotArea>
    </chartFormat>
    <chartFormat chart="23" format="1366">
      <pivotArea type="data" outline="0" fieldPosition="0">
        <references count="3">
          <reference field="4294967294" count="1" selected="0">
            <x v="0"/>
          </reference>
          <reference field="1" count="1" selected="0">
            <x v="24"/>
          </reference>
          <reference field="6" count="1" selected="0">
            <x v="49"/>
          </reference>
        </references>
      </pivotArea>
    </chartFormat>
    <chartFormat chart="23" format="1367">
      <pivotArea type="data" outline="0" fieldPosition="0">
        <references count="3">
          <reference field="4294967294" count="1" selected="0">
            <x v="0"/>
          </reference>
          <reference field="1" count="1" selected="0">
            <x v="25"/>
          </reference>
          <reference field="6" count="1" selected="0">
            <x v="49"/>
          </reference>
        </references>
      </pivotArea>
    </chartFormat>
    <chartFormat chart="23" format="1368">
      <pivotArea type="data" outline="0" fieldPosition="0">
        <references count="3">
          <reference field="4294967294" count="1" selected="0">
            <x v="0"/>
          </reference>
          <reference field="1" count="1" selected="0">
            <x v="29"/>
          </reference>
          <reference field="6" count="1" selected="0">
            <x v="49"/>
          </reference>
        </references>
      </pivotArea>
    </chartFormat>
    <chartFormat chart="23" format="1369">
      <pivotArea type="data" outline="0" fieldPosition="0">
        <references count="3">
          <reference field="4294967294" count="1" selected="0">
            <x v="0"/>
          </reference>
          <reference field="1" count="1" selected="0">
            <x v="30"/>
          </reference>
          <reference field="6" count="1" selected="0">
            <x v="49"/>
          </reference>
        </references>
      </pivotArea>
    </chartFormat>
    <chartFormat chart="23" format="1370">
      <pivotArea type="data" outline="0" fieldPosition="0">
        <references count="3">
          <reference field="4294967294" count="1" selected="0">
            <x v="0"/>
          </reference>
          <reference field="1" count="1" selected="0">
            <x v="31"/>
          </reference>
          <reference field="6" count="1" selected="0">
            <x v="49"/>
          </reference>
        </references>
      </pivotArea>
    </chartFormat>
    <chartFormat chart="23" format="1371">
      <pivotArea type="data" outline="0" fieldPosition="0">
        <references count="3">
          <reference field="4294967294" count="1" selected="0">
            <x v="0"/>
          </reference>
          <reference field="1" count="1" selected="0">
            <x v="32"/>
          </reference>
          <reference field="6" count="1" selected="0">
            <x v="49"/>
          </reference>
        </references>
      </pivotArea>
    </chartFormat>
    <chartFormat chart="23" format="1372">
      <pivotArea type="data" outline="0" fieldPosition="0">
        <references count="3">
          <reference field="4294967294" count="1" selected="0">
            <x v="0"/>
          </reference>
          <reference field="1" count="1" selected="0">
            <x v="33"/>
          </reference>
          <reference field="6" count="1" selected="0">
            <x v="49"/>
          </reference>
        </references>
      </pivotArea>
    </chartFormat>
    <chartFormat chart="23" format="1373">
      <pivotArea type="data" outline="0" fieldPosition="0">
        <references count="3">
          <reference field="4294967294" count="1" selected="0">
            <x v="0"/>
          </reference>
          <reference field="1" count="1" selected="0">
            <x v="34"/>
          </reference>
          <reference field="6" count="1" selected="0">
            <x v="49"/>
          </reference>
        </references>
      </pivotArea>
    </chartFormat>
    <chartFormat chart="23" format="1374">
      <pivotArea type="data" outline="0" fieldPosition="0">
        <references count="3">
          <reference field="4294967294" count="1" selected="0">
            <x v="0"/>
          </reference>
          <reference field="1" count="1" selected="0">
            <x v="35"/>
          </reference>
          <reference field="6" count="1" selected="0">
            <x v="49"/>
          </reference>
        </references>
      </pivotArea>
    </chartFormat>
    <chartFormat chart="23" format="1375">
      <pivotArea type="data" outline="0" fieldPosition="0">
        <references count="3">
          <reference field="4294967294" count="1" selected="0">
            <x v="0"/>
          </reference>
          <reference field="1" count="1" selected="0">
            <x v="36"/>
          </reference>
          <reference field="6" count="1" selected="0">
            <x v="49"/>
          </reference>
        </references>
      </pivotArea>
    </chartFormat>
    <chartFormat chart="23" format="1376">
      <pivotArea type="data" outline="0" fieldPosition="0">
        <references count="3">
          <reference field="4294967294" count="1" selected="0">
            <x v="0"/>
          </reference>
          <reference field="1" count="1" selected="0">
            <x v="37"/>
          </reference>
          <reference field="6" count="1" selected="0">
            <x v="49"/>
          </reference>
        </references>
      </pivotArea>
    </chartFormat>
    <chartFormat chart="23" format="1377">
      <pivotArea type="data" outline="0" fieldPosition="0">
        <references count="3">
          <reference field="4294967294" count="1" selected="0">
            <x v="0"/>
          </reference>
          <reference field="1" count="1" selected="0">
            <x v="38"/>
          </reference>
          <reference field="6" count="1" selected="0">
            <x v="49"/>
          </reference>
        </references>
      </pivotArea>
    </chartFormat>
    <chartFormat chart="23" format="1378">
      <pivotArea type="data" outline="0" fieldPosition="0">
        <references count="3">
          <reference field="4294967294" count="1" selected="0">
            <x v="0"/>
          </reference>
          <reference field="1" count="1" selected="0">
            <x v="39"/>
          </reference>
          <reference field="6" count="1" selected="0">
            <x v="49"/>
          </reference>
        </references>
      </pivotArea>
    </chartFormat>
    <chartFormat chart="23" format="1379">
      <pivotArea type="data" outline="0" fieldPosition="0">
        <references count="3">
          <reference field="4294967294" count="1" selected="0">
            <x v="0"/>
          </reference>
          <reference field="1" count="1" selected="0">
            <x v="40"/>
          </reference>
          <reference field="6" count="1" selected="0">
            <x v="49"/>
          </reference>
        </references>
      </pivotArea>
    </chartFormat>
    <chartFormat chart="23" format="1380">
      <pivotArea type="data" outline="0" fieldPosition="0">
        <references count="3">
          <reference field="4294967294" count="1" selected="0">
            <x v="0"/>
          </reference>
          <reference field="1" count="1" selected="0">
            <x v="41"/>
          </reference>
          <reference field="6" count="1" selected="0">
            <x v="49"/>
          </reference>
        </references>
      </pivotArea>
    </chartFormat>
    <chartFormat chart="23" format="1381">
      <pivotArea type="data" outline="0" fieldPosition="0">
        <references count="3">
          <reference field="4294967294" count="1" selected="0">
            <x v="0"/>
          </reference>
          <reference field="1" count="1" selected="0">
            <x v="42"/>
          </reference>
          <reference field="6" count="1" selected="0">
            <x v="49"/>
          </reference>
        </references>
      </pivotArea>
    </chartFormat>
    <chartFormat chart="23" format="1382">
      <pivotArea type="data" outline="0" fieldPosition="0">
        <references count="3">
          <reference field="4294967294" count="1" selected="0">
            <x v="0"/>
          </reference>
          <reference field="1" count="1" selected="0">
            <x v="43"/>
          </reference>
          <reference field="6" count="1" selected="0">
            <x v="49"/>
          </reference>
        </references>
      </pivotArea>
    </chartFormat>
    <chartFormat chart="23" format="1383">
      <pivotArea type="data" outline="0" fieldPosition="0">
        <references count="3">
          <reference field="4294967294" count="1" selected="0">
            <x v="0"/>
          </reference>
          <reference field="1" count="1" selected="0">
            <x v="44"/>
          </reference>
          <reference field="6" count="1" selected="0">
            <x v="49"/>
          </reference>
        </references>
      </pivotArea>
    </chartFormat>
    <chartFormat chart="23" format="1384">
      <pivotArea type="data" outline="0" fieldPosition="0">
        <references count="3">
          <reference field="4294967294" count="1" selected="0">
            <x v="0"/>
          </reference>
          <reference field="1" count="1" selected="0">
            <x v="45"/>
          </reference>
          <reference field="6" count="1" selected="0">
            <x v="49"/>
          </reference>
        </references>
      </pivotArea>
    </chartFormat>
    <chartFormat chart="23" format="1385">
      <pivotArea type="data" outline="0" fieldPosition="0">
        <references count="3">
          <reference field="4294967294" count="1" selected="0">
            <x v="0"/>
          </reference>
          <reference field="1" count="1" selected="0">
            <x v="5"/>
          </reference>
          <reference field="6" count="1" selected="0">
            <x v="50"/>
          </reference>
        </references>
      </pivotArea>
    </chartFormat>
    <chartFormat chart="23" format="1386">
      <pivotArea type="data" outline="0" fieldPosition="0">
        <references count="3">
          <reference field="4294967294" count="1" selected="0">
            <x v="0"/>
          </reference>
          <reference field="1" count="1" selected="0">
            <x v="11"/>
          </reference>
          <reference field="6" count="1" selected="0">
            <x v="50"/>
          </reference>
        </references>
      </pivotArea>
    </chartFormat>
    <chartFormat chart="23" format="1387">
      <pivotArea type="data" outline="0" fieldPosition="0">
        <references count="3">
          <reference field="4294967294" count="1" selected="0">
            <x v="0"/>
          </reference>
          <reference field="1" count="1" selected="0">
            <x v="17"/>
          </reference>
          <reference field="6" count="1" selected="0">
            <x v="50"/>
          </reference>
        </references>
      </pivotArea>
    </chartFormat>
    <chartFormat chart="23" format="1388">
      <pivotArea type="data" outline="0" fieldPosition="0">
        <references count="3">
          <reference field="4294967294" count="1" selected="0">
            <x v="0"/>
          </reference>
          <reference field="1" count="1" selected="0">
            <x v="18"/>
          </reference>
          <reference field="6" count="1" selected="0">
            <x v="50"/>
          </reference>
        </references>
      </pivotArea>
    </chartFormat>
    <chartFormat chart="23" format="1389">
      <pivotArea type="data" outline="0" fieldPosition="0">
        <references count="3">
          <reference field="4294967294" count="1" selected="0">
            <x v="0"/>
          </reference>
          <reference field="1" count="1" selected="0">
            <x v="19"/>
          </reference>
          <reference field="6" count="1" selected="0">
            <x v="50"/>
          </reference>
        </references>
      </pivotArea>
    </chartFormat>
    <chartFormat chart="23" format="1390">
      <pivotArea type="data" outline="0" fieldPosition="0">
        <references count="3">
          <reference field="4294967294" count="1" selected="0">
            <x v="0"/>
          </reference>
          <reference field="1" count="1" selected="0">
            <x v="24"/>
          </reference>
          <reference field="6" count="1" selected="0">
            <x v="50"/>
          </reference>
        </references>
      </pivotArea>
    </chartFormat>
    <chartFormat chart="23" format="1391">
      <pivotArea type="data" outline="0" fieldPosition="0">
        <references count="3">
          <reference field="4294967294" count="1" selected="0">
            <x v="0"/>
          </reference>
          <reference field="1" count="1" selected="0">
            <x v="25"/>
          </reference>
          <reference field="6" count="1" selected="0">
            <x v="50"/>
          </reference>
        </references>
      </pivotArea>
    </chartFormat>
    <chartFormat chart="23" format="1392">
      <pivotArea type="data" outline="0" fieldPosition="0">
        <references count="3">
          <reference field="4294967294" count="1" selected="0">
            <x v="0"/>
          </reference>
          <reference field="1" count="1" selected="0">
            <x v="29"/>
          </reference>
          <reference field="6" count="1" selected="0">
            <x v="50"/>
          </reference>
        </references>
      </pivotArea>
    </chartFormat>
    <chartFormat chart="23" format="1393">
      <pivotArea type="data" outline="0" fieldPosition="0">
        <references count="3">
          <reference field="4294967294" count="1" selected="0">
            <x v="0"/>
          </reference>
          <reference field="1" count="1" selected="0">
            <x v="30"/>
          </reference>
          <reference field="6" count="1" selected="0">
            <x v="50"/>
          </reference>
        </references>
      </pivotArea>
    </chartFormat>
    <chartFormat chart="23" format="1394">
      <pivotArea type="data" outline="0" fieldPosition="0">
        <references count="3">
          <reference field="4294967294" count="1" selected="0">
            <x v="0"/>
          </reference>
          <reference field="1" count="1" selected="0">
            <x v="31"/>
          </reference>
          <reference field="6" count="1" selected="0">
            <x v="50"/>
          </reference>
        </references>
      </pivotArea>
    </chartFormat>
    <chartFormat chart="23" format="1395">
      <pivotArea type="data" outline="0" fieldPosition="0">
        <references count="3">
          <reference field="4294967294" count="1" selected="0">
            <x v="0"/>
          </reference>
          <reference field="1" count="1" selected="0">
            <x v="32"/>
          </reference>
          <reference field="6" count="1" selected="0">
            <x v="50"/>
          </reference>
        </references>
      </pivotArea>
    </chartFormat>
    <chartFormat chart="23" format="1396">
      <pivotArea type="data" outline="0" fieldPosition="0">
        <references count="3">
          <reference field="4294967294" count="1" selected="0">
            <x v="0"/>
          </reference>
          <reference field="1" count="1" selected="0">
            <x v="33"/>
          </reference>
          <reference field="6" count="1" selected="0">
            <x v="50"/>
          </reference>
        </references>
      </pivotArea>
    </chartFormat>
    <chartFormat chart="23" format="1397">
      <pivotArea type="data" outline="0" fieldPosition="0">
        <references count="3">
          <reference field="4294967294" count="1" selected="0">
            <x v="0"/>
          </reference>
          <reference field="1" count="1" selected="0">
            <x v="34"/>
          </reference>
          <reference field="6" count="1" selected="0">
            <x v="50"/>
          </reference>
        </references>
      </pivotArea>
    </chartFormat>
    <chartFormat chart="23" format="1398">
      <pivotArea type="data" outline="0" fieldPosition="0">
        <references count="3">
          <reference field="4294967294" count="1" selected="0">
            <x v="0"/>
          </reference>
          <reference field="1" count="1" selected="0">
            <x v="35"/>
          </reference>
          <reference field="6" count="1" selected="0">
            <x v="50"/>
          </reference>
        </references>
      </pivotArea>
    </chartFormat>
    <chartFormat chart="23" format="1399">
      <pivotArea type="data" outline="0" fieldPosition="0">
        <references count="3">
          <reference field="4294967294" count="1" selected="0">
            <x v="0"/>
          </reference>
          <reference field="1" count="1" selected="0">
            <x v="36"/>
          </reference>
          <reference field="6" count="1" selected="0">
            <x v="50"/>
          </reference>
        </references>
      </pivotArea>
    </chartFormat>
    <chartFormat chart="23" format="1400">
      <pivotArea type="data" outline="0" fieldPosition="0">
        <references count="3">
          <reference field="4294967294" count="1" selected="0">
            <x v="0"/>
          </reference>
          <reference field="1" count="1" selected="0">
            <x v="37"/>
          </reference>
          <reference field="6" count="1" selected="0">
            <x v="50"/>
          </reference>
        </references>
      </pivotArea>
    </chartFormat>
    <chartFormat chart="23" format="1401">
      <pivotArea type="data" outline="0" fieldPosition="0">
        <references count="3">
          <reference field="4294967294" count="1" selected="0">
            <x v="0"/>
          </reference>
          <reference field="1" count="1" selected="0">
            <x v="38"/>
          </reference>
          <reference field="6" count="1" selected="0">
            <x v="50"/>
          </reference>
        </references>
      </pivotArea>
    </chartFormat>
    <chartFormat chart="23" format="1402">
      <pivotArea type="data" outline="0" fieldPosition="0">
        <references count="3">
          <reference field="4294967294" count="1" selected="0">
            <x v="0"/>
          </reference>
          <reference field="1" count="1" selected="0">
            <x v="39"/>
          </reference>
          <reference field="6" count="1" selected="0">
            <x v="50"/>
          </reference>
        </references>
      </pivotArea>
    </chartFormat>
    <chartFormat chart="23" format="1403">
      <pivotArea type="data" outline="0" fieldPosition="0">
        <references count="3">
          <reference field="4294967294" count="1" selected="0">
            <x v="0"/>
          </reference>
          <reference field="1" count="1" selected="0">
            <x v="40"/>
          </reference>
          <reference field="6" count="1" selected="0">
            <x v="50"/>
          </reference>
        </references>
      </pivotArea>
    </chartFormat>
    <chartFormat chart="23" format="1404">
      <pivotArea type="data" outline="0" fieldPosition="0">
        <references count="3">
          <reference field="4294967294" count="1" selected="0">
            <x v="0"/>
          </reference>
          <reference field="1" count="1" selected="0">
            <x v="41"/>
          </reference>
          <reference field="6" count="1" selected="0">
            <x v="50"/>
          </reference>
        </references>
      </pivotArea>
    </chartFormat>
    <chartFormat chart="23" format="1405">
      <pivotArea type="data" outline="0" fieldPosition="0">
        <references count="3">
          <reference field="4294967294" count="1" selected="0">
            <x v="0"/>
          </reference>
          <reference field="1" count="1" selected="0">
            <x v="42"/>
          </reference>
          <reference field="6" count="1" selected="0">
            <x v="50"/>
          </reference>
        </references>
      </pivotArea>
    </chartFormat>
    <chartFormat chart="23" format="1406">
      <pivotArea type="data" outline="0" fieldPosition="0">
        <references count="3">
          <reference field="4294967294" count="1" selected="0">
            <x v="0"/>
          </reference>
          <reference field="1" count="1" selected="0">
            <x v="43"/>
          </reference>
          <reference field="6" count="1" selected="0">
            <x v="50"/>
          </reference>
        </references>
      </pivotArea>
    </chartFormat>
    <chartFormat chart="23" format="1407">
      <pivotArea type="data" outline="0" fieldPosition="0">
        <references count="3">
          <reference field="4294967294" count="1" selected="0">
            <x v="0"/>
          </reference>
          <reference field="1" count="1" selected="0">
            <x v="44"/>
          </reference>
          <reference field="6" count="1" selected="0">
            <x v="50"/>
          </reference>
        </references>
      </pivotArea>
    </chartFormat>
    <chartFormat chart="23" format="1408">
      <pivotArea type="data" outline="0" fieldPosition="0">
        <references count="3">
          <reference field="4294967294" count="1" selected="0">
            <x v="0"/>
          </reference>
          <reference field="1" count="1" selected="0">
            <x v="45"/>
          </reference>
          <reference field="6" count="1" selected="0">
            <x v="50"/>
          </reference>
        </references>
      </pivotArea>
    </chartFormat>
    <chartFormat chart="23" format="1409">
      <pivotArea type="data" outline="0" fieldPosition="0">
        <references count="3">
          <reference field="4294967294" count="1" selected="0">
            <x v="0"/>
          </reference>
          <reference field="1" count="1" selected="0">
            <x v="5"/>
          </reference>
          <reference field="6" count="1" selected="0">
            <x v="51"/>
          </reference>
        </references>
      </pivotArea>
    </chartFormat>
    <chartFormat chart="23" format="1410">
      <pivotArea type="data" outline="0" fieldPosition="0">
        <references count="3">
          <reference field="4294967294" count="1" selected="0">
            <x v="0"/>
          </reference>
          <reference field="1" count="1" selected="0">
            <x v="11"/>
          </reference>
          <reference field="6" count="1" selected="0">
            <x v="51"/>
          </reference>
        </references>
      </pivotArea>
    </chartFormat>
    <chartFormat chart="23" format="1411">
      <pivotArea type="data" outline="0" fieldPosition="0">
        <references count="3">
          <reference field="4294967294" count="1" selected="0">
            <x v="0"/>
          </reference>
          <reference field="1" count="1" selected="0">
            <x v="17"/>
          </reference>
          <reference field="6" count="1" selected="0">
            <x v="51"/>
          </reference>
        </references>
      </pivotArea>
    </chartFormat>
    <chartFormat chart="23" format="1412">
      <pivotArea type="data" outline="0" fieldPosition="0">
        <references count="3">
          <reference field="4294967294" count="1" selected="0">
            <x v="0"/>
          </reference>
          <reference field="1" count="1" selected="0">
            <x v="18"/>
          </reference>
          <reference field="6" count="1" selected="0">
            <x v="51"/>
          </reference>
        </references>
      </pivotArea>
    </chartFormat>
    <chartFormat chart="23" format="1413">
      <pivotArea type="data" outline="0" fieldPosition="0">
        <references count="3">
          <reference field="4294967294" count="1" selected="0">
            <x v="0"/>
          </reference>
          <reference field="1" count="1" selected="0">
            <x v="19"/>
          </reference>
          <reference field="6" count="1" selected="0">
            <x v="51"/>
          </reference>
        </references>
      </pivotArea>
    </chartFormat>
    <chartFormat chart="23" format="1414">
      <pivotArea type="data" outline="0" fieldPosition="0">
        <references count="3">
          <reference field="4294967294" count="1" selected="0">
            <x v="0"/>
          </reference>
          <reference field="1" count="1" selected="0">
            <x v="24"/>
          </reference>
          <reference field="6" count="1" selected="0">
            <x v="51"/>
          </reference>
        </references>
      </pivotArea>
    </chartFormat>
    <chartFormat chart="23" format="1415">
      <pivotArea type="data" outline="0" fieldPosition="0">
        <references count="3">
          <reference field="4294967294" count="1" selected="0">
            <x v="0"/>
          </reference>
          <reference field="1" count="1" selected="0">
            <x v="25"/>
          </reference>
          <reference field="6" count="1" selected="0">
            <x v="51"/>
          </reference>
        </references>
      </pivotArea>
    </chartFormat>
    <chartFormat chart="23" format="1416">
      <pivotArea type="data" outline="0" fieldPosition="0">
        <references count="3">
          <reference field="4294967294" count="1" selected="0">
            <x v="0"/>
          </reference>
          <reference field="1" count="1" selected="0">
            <x v="29"/>
          </reference>
          <reference field="6" count="1" selected="0">
            <x v="51"/>
          </reference>
        </references>
      </pivotArea>
    </chartFormat>
    <chartFormat chart="23" format="1417">
      <pivotArea type="data" outline="0" fieldPosition="0">
        <references count="3">
          <reference field="4294967294" count="1" selected="0">
            <x v="0"/>
          </reference>
          <reference field="1" count="1" selected="0">
            <x v="30"/>
          </reference>
          <reference field="6" count="1" selected="0">
            <x v="51"/>
          </reference>
        </references>
      </pivotArea>
    </chartFormat>
    <chartFormat chart="23" format="1418">
      <pivotArea type="data" outline="0" fieldPosition="0">
        <references count="3">
          <reference field="4294967294" count="1" selected="0">
            <x v="0"/>
          </reference>
          <reference field="1" count="1" selected="0">
            <x v="31"/>
          </reference>
          <reference field="6" count="1" selected="0">
            <x v="51"/>
          </reference>
        </references>
      </pivotArea>
    </chartFormat>
    <chartFormat chart="23" format="1419">
      <pivotArea type="data" outline="0" fieldPosition="0">
        <references count="3">
          <reference field="4294967294" count="1" selected="0">
            <x v="0"/>
          </reference>
          <reference field="1" count="1" selected="0">
            <x v="32"/>
          </reference>
          <reference field="6" count="1" selected="0">
            <x v="51"/>
          </reference>
        </references>
      </pivotArea>
    </chartFormat>
    <chartFormat chart="23" format="1420">
      <pivotArea type="data" outline="0" fieldPosition="0">
        <references count="3">
          <reference field="4294967294" count="1" selected="0">
            <x v="0"/>
          </reference>
          <reference field="1" count="1" selected="0">
            <x v="33"/>
          </reference>
          <reference field="6" count="1" selected="0">
            <x v="51"/>
          </reference>
        </references>
      </pivotArea>
    </chartFormat>
    <chartFormat chart="23" format="1421">
      <pivotArea type="data" outline="0" fieldPosition="0">
        <references count="3">
          <reference field="4294967294" count="1" selected="0">
            <x v="0"/>
          </reference>
          <reference field="1" count="1" selected="0">
            <x v="34"/>
          </reference>
          <reference field="6" count="1" selected="0">
            <x v="51"/>
          </reference>
        </references>
      </pivotArea>
    </chartFormat>
    <chartFormat chart="23" format="1422">
      <pivotArea type="data" outline="0" fieldPosition="0">
        <references count="3">
          <reference field="4294967294" count="1" selected="0">
            <x v="0"/>
          </reference>
          <reference field="1" count="1" selected="0">
            <x v="35"/>
          </reference>
          <reference field="6" count="1" selected="0">
            <x v="51"/>
          </reference>
        </references>
      </pivotArea>
    </chartFormat>
    <chartFormat chart="23" format="1423">
      <pivotArea type="data" outline="0" fieldPosition="0">
        <references count="3">
          <reference field="4294967294" count="1" selected="0">
            <x v="0"/>
          </reference>
          <reference field="1" count="1" selected="0">
            <x v="36"/>
          </reference>
          <reference field="6" count="1" selected="0">
            <x v="51"/>
          </reference>
        </references>
      </pivotArea>
    </chartFormat>
    <chartFormat chart="23" format="1424">
      <pivotArea type="data" outline="0" fieldPosition="0">
        <references count="3">
          <reference field="4294967294" count="1" selected="0">
            <x v="0"/>
          </reference>
          <reference field="1" count="1" selected="0">
            <x v="37"/>
          </reference>
          <reference field="6" count="1" selected="0">
            <x v="51"/>
          </reference>
        </references>
      </pivotArea>
    </chartFormat>
    <chartFormat chart="23" format="1425">
      <pivotArea type="data" outline="0" fieldPosition="0">
        <references count="3">
          <reference field="4294967294" count="1" selected="0">
            <x v="0"/>
          </reference>
          <reference field="1" count="1" selected="0">
            <x v="38"/>
          </reference>
          <reference field="6" count="1" selected="0">
            <x v="51"/>
          </reference>
        </references>
      </pivotArea>
    </chartFormat>
    <chartFormat chart="23" format="1426">
      <pivotArea type="data" outline="0" fieldPosition="0">
        <references count="3">
          <reference field="4294967294" count="1" selected="0">
            <x v="0"/>
          </reference>
          <reference field="1" count="1" selected="0">
            <x v="39"/>
          </reference>
          <reference field="6" count="1" selected="0">
            <x v="51"/>
          </reference>
        </references>
      </pivotArea>
    </chartFormat>
    <chartFormat chart="23" format="1427">
      <pivotArea type="data" outline="0" fieldPosition="0">
        <references count="3">
          <reference field="4294967294" count="1" selected="0">
            <x v="0"/>
          </reference>
          <reference field="1" count="1" selected="0">
            <x v="40"/>
          </reference>
          <reference field="6" count="1" selected="0">
            <x v="51"/>
          </reference>
        </references>
      </pivotArea>
    </chartFormat>
    <chartFormat chart="23" format="1428">
      <pivotArea type="data" outline="0" fieldPosition="0">
        <references count="3">
          <reference field="4294967294" count="1" selected="0">
            <x v="0"/>
          </reference>
          <reference field="1" count="1" selected="0">
            <x v="41"/>
          </reference>
          <reference field="6" count="1" selected="0">
            <x v="51"/>
          </reference>
        </references>
      </pivotArea>
    </chartFormat>
    <chartFormat chart="23" format="1429">
      <pivotArea type="data" outline="0" fieldPosition="0">
        <references count="3">
          <reference field="4294967294" count="1" selected="0">
            <x v="0"/>
          </reference>
          <reference field="1" count="1" selected="0">
            <x v="42"/>
          </reference>
          <reference field="6" count="1" selected="0">
            <x v="51"/>
          </reference>
        </references>
      </pivotArea>
    </chartFormat>
    <chartFormat chart="23" format="1430">
      <pivotArea type="data" outline="0" fieldPosition="0">
        <references count="3">
          <reference field="4294967294" count="1" selected="0">
            <x v="0"/>
          </reference>
          <reference field="1" count="1" selected="0">
            <x v="43"/>
          </reference>
          <reference field="6" count="1" selected="0">
            <x v="51"/>
          </reference>
        </references>
      </pivotArea>
    </chartFormat>
    <chartFormat chart="23" format="1431">
      <pivotArea type="data" outline="0" fieldPosition="0">
        <references count="3">
          <reference field="4294967294" count="1" selected="0">
            <x v="0"/>
          </reference>
          <reference field="1" count="1" selected="0">
            <x v="44"/>
          </reference>
          <reference field="6" count="1" selected="0">
            <x v="51"/>
          </reference>
        </references>
      </pivotArea>
    </chartFormat>
    <chartFormat chart="23" format="1432">
      <pivotArea type="data" outline="0" fieldPosition="0">
        <references count="3">
          <reference field="4294967294" count="1" selected="0">
            <x v="0"/>
          </reference>
          <reference field="1" count="1" selected="0">
            <x v="45"/>
          </reference>
          <reference field="6" count="1" selected="0">
            <x v="51"/>
          </reference>
        </references>
      </pivotArea>
    </chartFormat>
    <chartFormat chart="23" format="1433">
      <pivotArea type="data" outline="0" fieldPosition="0">
        <references count="3">
          <reference field="4294967294" count="1" selected="0">
            <x v="0"/>
          </reference>
          <reference field="1" count="1" selected="0">
            <x v="5"/>
          </reference>
          <reference field="6" count="1" selected="0">
            <x v="52"/>
          </reference>
        </references>
      </pivotArea>
    </chartFormat>
    <chartFormat chart="23" format="1434">
      <pivotArea type="data" outline="0" fieldPosition="0">
        <references count="3">
          <reference field="4294967294" count="1" selected="0">
            <x v="0"/>
          </reference>
          <reference field="1" count="1" selected="0">
            <x v="11"/>
          </reference>
          <reference field="6" count="1" selected="0">
            <x v="52"/>
          </reference>
        </references>
      </pivotArea>
    </chartFormat>
    <chartFormat chart="23" format="1435">
      <pivotArea type="data" outline="0" fieldPosition="0">
        <references count="3">
          <reference field="4294967294" count="1" selected="0">
            <x v="0"/>
          </reference>
          <reference field="1" count="1" selected="0">
            <x v="17"/>
          </reference>
          <reference field="6" count="1" selected="0">
            <x v="52"/>
          </reference>
        </references>
      </pivotArea>
    </chartFormat>
    <chartFormat chart="23" format="1436">
      <pivotArea type="data" outline="0" fieldPosition="0">
        <references count="3">
          <reference field="4294967294" count="1" selected="0">
            <x v="0"/>
          </reference>
          <reference field="1" count="1" selected="0">
            <x v="18"/>
          </reference>
          <reference field="6" count="1" selected="0">
            <x v="52"/>
          </reference>
        </references>
      </pivotArea>
    </chartFormat>
    <chartFormat chart="23" format="1437">
      <pivotArea type="data" outline="0" fieldPosition="0">
        <references count="3">
          <reference field="4294967294" count="1" selected="0">
            <x v="0"/>
          </reference>
          <reference field="1" count="1" selected="0">
            <x v="19"/>
          </reference>
          <reference field="6" count="1" selected="0">
            <x v="52"/>
          </reference>
        </references>
      </pivotArea>
    </chartFormat>
    <chartFormat chart="23" format="1438">
      <pivotArea type="data" outline="0" fieldPosition="0">
        <references count="3">
          <reference field="4294967294" count="1" selected="0">
            <x v="0"/>
          </reference>
          <reference field="1" count="1" selected="0">
            <x v="24"/>
          </reference>
          <reference field="6" count="1" selected="0">
            <x v="52"/>
          </reference>
        </references>
      </pivotArea>
    </chartFormat>
    <chartFormat chart="23" format="1439">
      <pivotArea type="data" outline="0" fieldPosition="0">
        <references count="3">
          <reference field="4294967294" count="1" selected="0">
            <x v="0"/>
          </reference>
          <reference field="1" count="1" selected="0">
            <x v="25"/>
          </reference>
          <reference field="6" count="1" selected="0">
            <x v="52"/>
          </reference>
        </references>
      </pivotArea>
    </chartFormat>
    <chartFormat chart="23" format="1440">
      <pivotArea type="data" outline="0" fieldPosition="0">
        <references count="3">
          <reference field="4294967294" count="1" selected="0">
            <x v="0"/>
          </reference>
          <reference field="1" count="1" selected="0">
            <x v="29"/>
          </reference>
          <reference field="6" count="1" selected="0">
            <x v="52"/>
          </reference>
        </references>
      </pivotArea>
    </chartFormat>
    <chartFormat chart="23" format="1441">
      <pivotArea type="data" outline="0" fieldPosition="0">
        <references count="3">
          <reference field="4294967294" count="1" selected="0">
            <x v="0"/>
          </reference>
          <reference field="1" count="1" selected="0">
            <x v="30"/>
          </reference>
          <reference field="6" count="1" selected="0">
            <x v="52"/>
          </reference>
        </references>
      </pivotArea>
    </chartFormat>
    <chartFormat chart="23" format="1442">
      <pivotArea type="data" outline="0" fieldPosition="0">
        <references count="3">
          <reference field="4294967294" count="1" selected="0">
            <x v="0"/>
          </reference>
          <reference field="1" count="1" selected="0">
            <x v="31"/>
          </reference>
          <reference field="6" count="1" selected="0">
            <x v="52"/>
          </reference>
        </references>
      </pivotArea>
    </chartFormat>
    <chartFormat chart="23" format="1443">
      <pivotArea type="data" outline="0" fieldPosition="0">
        <references count="3">
          <reference field="4294967294" count="1" selected="0">
            <x v="0"/>
          </reference>
          <reference field="1" count="1" selected="0">
            <x v="32"/>
          </reference>
          <reference field="6" count="1" selected="0">
            <x v="52"/>
          </reference>
        </references>
      </pivotArea>
    </chartFormat>
    <chartFormat chart="23" format="1444">
      <pivotArea type="data" outline="0" fieldPosition="0">
        <references count="3">
          <reference field="4294967294" count="1" selected="0">
            <x v="0"/>
          </reference>
          <reference field="1" count="1" selected="0">
            <x v="33"/>
          </reference>
          <reference field="6" count="1" selected="0">
            <x v="52"/>
          </reference>
        </references>
      </pivotArea>
    </chartFormat>
    <chartFormat chart="23" format="1445">
      <pivotArea type="data" outline="0" fieldPosition="0">
        <references count="3">
          <reference field="4294967294" count="1" selected="0">
            <x v="0"/>
          </reference>
          <reference field="1" count="1" selected="0">
            <x v="34"/>
          </reference>
          <reference field="6" count="1" selected="0">
            <x v="52"/>
          </reference>
        </references>
      </pivotArea>
    </chartFormat>
    <chartFormat chart="23" format="1446">
      <pivotArea type="data" outline="0" fieldPosition="0">
        <references count="3">
          <reference field="4294967294" count="1" selected="0">
            <x v="0"/>
          </reference>
          <reference field="1" count="1" selected="0">
            <x v="35"/>
          </reference>
          <reference field="6" count="1" selected="0">
            <x v="52"/>
          </reference>
        </references>
      </pivotArea>
    </chartFormat>
    <chartFormat chart="23" format="1447">
      <pivotArea type="data" outline="0" fieldPosition="0">
        <references count="3">
          <reference field="4294967294" count="1" selected="0">
            <x v="0"/>
          </reference>
          <reference field="1" count="1" selected="0">
            <x v="36"/>
          </reference>
          <reference field="6" count="1" selected="0">
            <x v="52"/>
          </reference>
        </references>
      </pivotArea>
    </chartFormat>
    <chartFormat chart="23" format="1448">
      <pivotArea type="data" outline="0" fieldPosition="0">
        <references count="3">
          <reference field="4294967294" count="1" selected="0">
            <x v="0"/>
          </reference>
          <reference field="1" count="1" selected="0">
            <x v="37"/>
          </reference>
          <reference field="6" count="1" selected="0">
            <x v="52"/>
          </reference>
        </references>
      </pivotArea>
    </chartFormat>
    <chartFormat chart="23" format="1449">
      <pivotArea type="data" outline="0" fieldPosition="0">
        <references count="3">
          <reference field="4294967294" count="1" selected="0">
            <x v="0"/>
          </reference>
          <reference field="1" count="1" selected="0">
            <x v="38"/>
          </reference>
          <reference field="6" count="1" selected="0">
            <x v="52"/>
          </reference>
        </references>
      </pivotArea>
    </chartFormat>
    <chartFormat chart="23" format="1450">
      <pivotArea type="data" outline="0" fieldPosition="0">
        <references count="3">
          <reference field="4294967294" count="1" selected="0">
            <x v="0"/>
          </reference>
          <reference field="1" count="1" selected="0">
            <x v="39"/>
          </reference>
          <reference field="6" count="1" selected="0">
            <x v="52"/>
          </reference>
        </references>
      </pivotArea>
    </chartFormat>
    <chartFormat chart="23" format="1451">
      <pivotArea type="data" outline="0" fieldPosition="0">
        <references count="3">
          <reference field="4294967294" count="1" selected="0">
            <x v="0"/>
          </reference>
          <reference field="1" count="1" selected="0">
            <x v="40"/>
          </reference>
          <reference field="6" count="1" selected="0">
            <x v="52"/>
          </reference>
        </references>
      </pivotArea>
    </chartFormat>
    <chartFormat chart="23" format="1452">
      <pivotArea type="data" outline="0" fieldPosition="0">
        <references count="3">
          <reference field="4294967294" count="1" selected="0">
            <x v="0"/>
          </reference>
          <reference field="1" count="1" selected="0">
            <x v="41"/>
          </reference>
          <reference field="6" count="1" selected="0">
            <x v="52"/>
          </reference>
        </references>
      </pivotArea>
    </chartFormat>
    <chartFormat chart="23" format="1453">
      <pivotArea type="data" outline="0" fieldPosition="0">
        <references count="3">
          <reference field="4294967294" count="1" selected="0">
            <x v="0"/>
          </reference>
          <reference field="1" count="1" selected="0">
            <x v="42"/>
          </reference>
          <reference field="6" count="1" selected="0">
            <x v="52"/>
          </reference>
        </references>
      </pivotArea>
    </chartFormat>
    <chartFormat chart="23" format="1454">
      <pivotArea type="data" outline="0" fieldPosition="0">
        <references count="3">
          <reference field="4294967294" count="1" selected="0">
            <x v="0"/>
          </reference>
          <reference field="1" count="1" selected="0">
            <x v="43"/>
          </reference>
          <reference field="6" count="1" selected="0">
            <x v="52"/>
          </reference>
        </references>
      </pivotArea>
    </chartFormat>
    <chartFormat chart="23" format="1455">
      <pivotArea type="data" outline="0" fieldPosition="0">
        <references count="3">
          <reference field="4294967294" count="1" selected="0">
            <x v="0"/>
          </reference>
          <reference field="1" count="1" selected="0">
            <x v="44"/>
          </reference>
          <reference field="6" count="1" selected="0">
            <x v="52"/>
          </reference>
        </references>
      </pivotArea>
    </chartFormat>
    <chartFormat chart="23" format="1456">
      <pivotArea type="data" outline="0" fieldPosition="0">
        <references count="3">
          <reference field="4294967294" count="1" selected="0">
            <x v="0"/>
          </reference>
          <reference field="1" count="1" selected="0">
            <x v="45"/>
          </reference>
          <reference field="6" count="1" selected="0">
            <x v="52"/>
          </reference>
        </references>
      </pivotArea>
    </chartFormat>
    <chartFormat chart="23" format="1457">
      <pivotArea type="data" outline="0" fieldPosition="0">
        <references count="3">
          <reference field="4294967294" count="1" selected="0">
            <x v="0"/>
          </reference>
          <reference field="1" count="1" selected="0">
            <x v="5"/>
          </reference>
          <reference field="6" count="1" selected="0">
            <x v="53"/>
          </reference>
        </references>
      </pivotArea>
    </chartFormat>
    <chartFormat chart="23" format="1458">
      <pivotArea type="data" outline="0" fieldPosition="0">
        <references count="3">
          <reference field="4294967294" count="1" selected="0">
            <x v="0"/>
          </reference>
          <reference field="1" count="1" selected="0">
            <x v="11"/>
          </reference>
          <reference field="6" count="1" selected="0">
            <x v="53"/>
          </reference>
        </references>
      </pivotArea>
    </chartFormat>
    <chartFormat chart="23" format="1459">
      <pivotArea type="data" outline="0" fieldPosition="0">
        <references count="3">
          <reference field="4294967294" count="1" selected="0">
            <x v="0"/>
          </reference>
          <reference field="1" count="1" selected="0">
            <x v="17"/>
          </reference>
          <reference field="6" count="1" selected="0">
            <x v="53"/>
          </reference>
        </references>
      </pivotArea>
    </chartFormat>
    <chartFormat chart="23" format="1460">
      <pivotArea type="data" outline="0" fieldPosition="0">
        <references count="3">
          <reference field="4294967294" count="1" selected="0">
            <x v="0"/>
          </reference>
          <reference field="1" count="1" selected="0">
            <x v="18"/>
          </reference>
          <reference field="6" count="1" selected="0">
            <x v="53"/>
          </reference>
        </references>
      </pivotArea>
    </chartFormat>
    <chartFormat chart="23" format="1461">
      <pivotArea type="data" outline="0" fieldPosition="0">
        <references count="3">
          <reference field="4294967294" count="1" selected="0">
            <x v="0"/>
          </reference>
          <reference field="1" count="1" selected="0">
            <x v="19"/>
          </reference>
          <reference field="6" count="1" selected="0">
            <x v="53"/>
          </reference>
        </references>
      </pivotArea>
    </chartFormat>
    <chartFormat chart="23" format="1462">
      <pivotArea type="data" outline="0" fieldPosition="0">
        <references count="3">
          <reference field="4294967294" count="1" selected="0">
            <x v="0"/>
          </reference>
          <reference field="1" count="1" selected="0">
            <x v="24"/>
          </reference>
          <reference field="6" count="1" selected="0">
            <x v="53"/>
          </reference>
        </references>
      </pivotArea>
    </chartFormat>
    <chartFormat chart="23" format="1463">
      <pivotArea type="data" outline="0" fieldPosition="0">
        <references count="3">
          <reference field="4294967294" count="1" selected="0">
            <x v="0"/>
          </reference>
          <reference field="1" count="1" selected="0">
            <x v="25"/>
          </reference>
          <reference field="6" count="1" selected="0">
            <x v="53"/>
          </reference>
        </references>
      </pivotArea>
    </chartFormat>
    <chartFormat chart="23" format="1464">
      <pivotArea type="data" outline="0" fieldPosition="0">
        <references count="3">
          <reference field="4294967294" count="1" selected="0">
            <x v="0"/>
          </reference>
          <reference field="1" count="1" selected="0">
            <x v="29"/>
          </reference>
          <reference field="6" count="1" selected="0">
            <x v="53"/>
          </reference>
        </references>
      </pivotArea>
    </chartFormat>
    <chartFormat chart="23" format="1465">
      <pivotArea type="data" outline="0" fieldPosition="0">
        <references count="3">
          <reference field="4294967294" count="1" selected="0">
            <x v="0"/>
          </reference>
          <reference field="1" count="1" selected="0">
            <x v="30"/>
          </reference>
          <reference field="6" count="1" selected="0">
            <x v="53"/>
          </reference>
        </references>
      </pivotArea>
    </chartFormat>
    <chartFormat chart="23" format="1466">
      <pivotArea type="data" outline="0" fieldPosition="0">
        <references count="3">
          <reference field="4294967294" count="1" selected="0">
            <x v="0"/>
          </reference>
          <reference field="1" count="1" selected="0">
            <x v="31"/>
          </reference>
          <reference field="6" count="1" selected="0">
            <x v="53"/>
          </reference>
        </references>
      </pivotArea>
    </chartFormat>
    <chartFormat chart="23" format="1467">
      <pivotArea type="data" outline="0" fieldPosition="0">
        <references count="3">
          <reference field="4294967294" count="1" selected="0">
            <x v="0"/>
          </reference>
          <reference field="1" count="1" selected="0">
            <x v="32"/>
          </reference>
          <reference field="6" count="1" selected="0">
            <x v="53"/>
          </reference>
        </references>
      </pivotArea>
    </chartFormat>
    <chartFormat chart="23" format="1468">
      <pivotArea type="data" outline="0" fieldPosition="0">
        <references count="3">
          <reference field="4294967294" count="1" selected="0">
            <x v="0"/>
          </reference>
          <reference field="1" count="1" selected="0">
            <x v="33"/>
          </reference>
          <reference field="6" count="1" selected="0">
            <x v="53"/>
          </reference>
        </references>
      </pivotArea>
    </chartFormat>
    <chartFormat chart="23" format="1469">
      <pivotArea type="data" outline="0" fieldPosition="0">
        <references count="3">
          <reference field="4294967294" count="1" selected="0">
            <x v="0"/>
          </reference>
          <reference field="1" count="1" selected="0">
            <x v="34"/>
          </reference>
          <reference field="6" count="1" selected="0">
            <x v="53"/>
          </reference>
        </references>
      </pivotArea>
    </chartFormat>
    <chartFormat chart="23" format="1470">
      <pivotArea type="data" outline="0" fieldPosition="0">
        <references count="3">
          <reference field="4294967294" count="1" selected="0">
            <x v="0"/>
          </reference>
          <reference field="1" count="1" selected="0">
            <x v="35"/>
          </reference>
          <reference field="6" count="1" selected="0">
            <x v="53"/>
          </reference>
        </references>
      </pivotArea>
    </chartFormat>
    <chartFormat chart="23" format="1471">
      <pivotArea type="data" outline="0" fieldPosition="0">
        <references count="3">
          <reference field="4294967294" count="1" selected="0">
            <x v="0"/>
          </reference>
          <reference field="1" count="1" selected="0">
            <x v="36"/>
          </reference>
          <reference field="6" count="1" selected="0">
            <x v="53"/>
          </reference>
        </references>
      </pivotArea>
    </chartFormat>
    <chartFormat chart="23" format="1472">
      <pivotArea type="data" outline="0" fieldPosition="0">
        <references count="3">
          <reference field="4294967294" count="1" selected="0">
            <x v="0"/>
          </reference>
          <reference field="1" count="1" selected="0">
            <x v="37"/>
          </reference>
          <reference field="6" count="1" selected="0">
            <x v="53"/>
          </reference>
        </references>
      </pivotArea>
    </chartFormat>
    <chartFormat chart="23" format="1473">
      <pivotArea type="data" outline="0" fieldPosition="0">
        <references count="3">
          <reference field="4294967294" count="1" selected="0">
            <x v="0"/>
          </reference>
          <reference field="1" count="1" selected="0">
            <x v="38"/>
          </reference>
          <reference field="6" count="1" selected="0">
            <x v="53"/>
          </reference>
        </references>
      </pivotArea>
    </chartFormat>
    <chartFormat chart="23" format="1474">
      <pivotArea type="data" outline="0" fieldPosition="0">
        <references count="3">
          <reference field="4294967294" count="1" selected="0">
            <x v="0"/>
          </reference>
          <reference field="1" count="1" selected="0">
            <x v="39"/>
          </reference>
          <reference field="6" count="1" selected="0">
            <x v="53"/>
          </reference>
        </references>
      </pivotArea>
    </chartFormat>
    <chartFormat chart="23" format="1475">
      <pivotArea type="data" outline="0" fieldPosition="0">
        <references count="3">
          <reference field="4294967294" count="1" selected="0">
            <x v="0"/>
          </reference>
          <reference field="1" count="1" selected="0">
            <x v="40"/>
          </reference>
          <reference field="6" count="1" selected="0">
            <x v="53"/>
          </reference>
        </references>
      </pivotArea>
    </chartFormat>
    <chartFormat chart="23" format="1476">
      <pivotArea type="data" outline="0" fieldPosition="0">
        <references count="3">
          <reference field="4294967294" count="1" selected="0">
            <x v="0"/>
          </reference>
          <reference field="1" count="1" selected="0">
            <x v="41"/>
          </reference>
          <reference field="6" count="1" selected="0">
            <x v="53"/>
          </reference>
        </references>
      </pivotArea>
    </chartFormat>
    <chartFormat chart="23" format="1477">
      <pivotArea type="data" outline="0" fieldPosition="0">
        <references count="3">
          <reference field="4294967294" count="1" selected="0">
            <x v="0"/>
          </reference>
          <reference field="1" count="1" selected="0">
            <x v="42"/>
          </reference>
          <reference field="6" count="1" selected="0">
            <x v="53"/>
          </reference>
        </references>
      </pivotArea>
    </chartFormat>
    <chartFormat chart="23" format="1478">
      <pivotArea type="data" outline="0" fieldPosition="0">
        <references count="3">
          <reference field="4294967294" count="1" selected="0">
            <x v="0"/>
          </reference>
          <reference field="1" count="1" selected="0">
            <x v="43"/>
          </reference>
          <reference field="6" count="1" selected="0">
            <x v="53"/>
          </reference>
        </references>
      </pivotArea>
    </chartFormat>
    <chartFormat chart="23" format="1479">
      <pivotArea type="data" outline="0" fieldPosition="0">
        <references count="3">
          <reference field="4294967294" count="1" selected="0">
            <x v="0"/>
          </reference>
          <reference field="1" count="1" selected="0">
            <x v="44"/>
          </reference>
          <reference field="6" count="1" selected="0">
            <x v="53"/>
          </reference>
        </references>
      </pivotArea>
    </chartFormat>
    <chartFormat chart="23" format="1480">
      <pivotArea type="data" outline="0" fieldPosition="0">
        <references count="3">
          <reference field="4294967294" count="1" selected="0">
            <x v="0"/>
          </reference>
          <reference field="1" count="1" selected="0">
            <x v="45"/>
          </reference>
          <reference field="6" count="1" selected="0">
            <x v="53"/>
          </reference>
        </references>
      </pivotArea>
    </chartFormat>
    <chartFormat chart="23" format="1481">
      <pivotArea type="data" outline="0" fieldPosition="0">
        <references count="3">
          <reference field="4294967294" count="1" selected="0">
            <x v="0"/>
          </reference>
          <reference field="1" count="1" selected="0">
            <x v="5"/>
          </reference>
          <reference field="6" count="1" selected="0">
            <x v="54"/>
          </reference>
        </references>
      </pivotArea>
    </chartFormat>
    <chartFormat chart="23" format="1482">
      <pivotArea type="data" outline="0" fieldPosition="0">
        <references count="3">
          <reference field="4294967294" count="1" selected="0">
            <x v="0"/>
          </reference>
          <reference field="1" count="1" selected="0">
            <x v="11"/>
          </reference>
          <reference field="6" count="1" selected="0">
            <x v="54"/>
          </reference>
        </references>
      </pivotArea>
    </chartFormat>
    <chartFormat chart="23" format="1483">
      <pivotArea type="data" outline="0" fieldPosition="0">
        <references count="3">
          <reference field="4294967294" count="1" selected="0">
            <x v="0"/>
          </reference>
          <reference field="1" count="1" selected="0">
            <x v="17"/>
          </reference>
          <reference field="6" count="1" selected="0">
            <x v="54"/>
          </reference>
        </references>
      </pivotArea>
    </chartFormat>
    <chartFormat chart="23" format="1484">
      <pivotArea type="data" outline="0" fieldPosition="0">
        <references count="3">
          <reference field="4294967294" count="1" selected="0">
            <x v="0"/>
          </reference>
          <reference field="1" count="1" selected="0">
            <x v="18"/>
          </reference>
          <reference field="6" count="1" selected="0">
            <x v="54"/>
          </reference>
        </references>
      </pivotArea>
    </chartFormat>
    <chartFormat chart="23" format="1485">
      <pivotArea type="data" outline="0" fieldPosition="0">
        <references count="3">
          <reference field="4294967294" count="1" selected="0">
            <x v="0"/>
          </reference>
          <reference field="1" count="1" selected="0">
            <x v="19"/>
          </reference>
          <reference field="6" count="1" selected="0">
            <x v="54"/>
          </reference>
        </references>
      </pivotArea>
    </chartFormat>
    <chartFormat chart="23" format="1486">
      <pivotArea type="data" outline="0" fieldPosition="0">
        <references count="3">
          <reference field="4294967294" count="1" selected="0">
            <x v="0"/>
          </reference>
          <reference field="1" count="1" selected="0">
            <x v="24"/>
          </reference>
          <reference field="6" count="1" selected="0">
            <x v="54"/>
          </reference>
        </references>
      </pivotArea>
    </chartFormat>
    <chartFormat chart="23" format="1487">
      <pivotArea type="data" outline="0" fieldPosition="0">
        <references count="3">
          <reference field="4294967294" count="1" selected="0">
            <x v="0"/>
          </reference>
          <reference field="1" count="1" selected="0">
            <x v="25"/>
          </reference>
          <reference field="6" count="1" selected="0">
            <x v="54"/>
          </reference>
        </references>
      </pivotArea>
    </chartFormat>
    <chartFormat chart="23" format="1488">
      <pivotArea type="data" outline="0" fieldPosition="0">
        <references count="3">
          <reference field="4294967294" count="1" selected="0">
            <x v="0"/>
          </reference>
          <reference field="1" count="1" selected="0">
            <x v="29"/>
          </reference>
          <reference field="6" count="1" selected="0">
            <x v="54"/>
          </reference>
        </references>
      </pivotArea>
    </chartFormat>
    <chartFormat chart="23" format="1489">
      <pivotArea type="data" outline="0" fieldPosition="0">
        <references count="3">
          <reference field="4294967294" count="1" selected="0">
            <x v="0"/>
          </reference>
          <reference field="1" count="1" selected="0">
            <x v="30"/>
          </reference>
          <reference field="6" count="1" selected="0">
            <x v="54"/>
          </reference>
        </references>
      </pivotArea>
    </chartFormat>
    <chartFormat chart="23" format="1490">
      <pivotArea type="data" outline="0" fieldPosition="0">
        <references count="3">
          <reference field="4294967294" count="1" selected="0">
            <x v="0"/>
          </reference>
          <reference field="1" count="1" selected="0">
            <x v="31"/>
          </reference>
          <reference field="6" count="1" selected="0">
            <x v="54"/>
          </reference>
        </references>
      </pivotArea>
    </chartFormat>
    <chartFormat chart="23" format="1491">
      <pivotArea type="data" outline="0" fieldPosition="0">
        <references count="3">
          <reference field="4294967294" count="1" selected="0">
            <x v="0"/>
          </reference>
          <reference field="1" count="1" selected="0">
            <x v="32"/>
          </reference>
          <reference field="6" count="1" selected="0">
            <x v="54"/>
          </reference>
        </references>
      </pivotArea>
    </chartFormat>
    <chartFormat chart="23" format="1492">
      <pivotArea type="data" outline="0" fieldPosition="0">
        <references count="3">
          <reference field="4294967294" count="1" selected="0">
            <x v="0"/>
          </reference>
          <reference field="1" count="1" selected="0">
            <x v="33"/>
          </reference>
          <reference field="6" count="1" selected="0">
            <x v="54"/>
          </reference>
        </references>
      </pivotArea>
    </chartFormat>
    <chartFormat chart="23" format="1493">
      <pivotArea type="data" outline="0" fieldPosition="0">
        <references count="3">
          <reference field="4294967294" count="1" selected="0">
            <x v="0"/>
          </reference>
          <reference field="1" count="1" selected="0">
            <x v="34"/>
          </reference>
          <reference field="6" count="1" selected="0">
            <x v="54"/>
          </reference>
        </references>
      </pivotArea>
    </chartFormat>
    <chartFormat chart="23" format="1494">
      <pivotArea type="data" outline="0" fieldPosition="0">
        <references count="3">
          <reference field="4294967294" count="1" selected="0">
            <x v="0"/>
          </reference>
          <reference field="1" count="1" selected="0">
            <x v="35"/>
          </reference>
          <reference field="6" count="1" selected="0">
            <x v="54"/>
          </reference>
        </references>
      </pivotArea>
    </chartFormat>
    <chartFormat chart="23" format="1495">
      <pivotArea type="data" outline="0" fieldPosition="0">
        <references count="3">
          <reference field="4294967294" count="1" selected="0">
            <x v="0"/>
          </reference>
          <reference field="1" count="1" selected="0">
            <x v="36"/>
          </reference>
          <reference field="6" count="1" selected="0">
            <x v="54"/>
          </reference>
        </references>
      </pivotArea>
    </chartFormat>
    <chartFormat chart="23" format="1496">
      <pivotArea type="data" outline="0" fieldPosition="0">
        <references count="3">
          <reference field="4294967294" count="1" selected="0">
            <x v="0"/>
          </reference>
          <reference field="1" count="1" selected="0">
            <x v="37"/>
          </reference>
          <reference field="6" count="1" selected="0">
            <x v="54"/>
          </reference>
        </references>
      </pivotArea>
    </chartFormat>
    <chartFormat chart="23" format="1497">
      <pivotArea type="data" outline="0" fieldPosition="0">
        <references count="3">
          <reference field="4294967294" count="1" selected="0">
            <x v="0"/>
          </reference>
          <reference field="1" count="1" selected="0">
            <x v="38"/>
          </reference>
          <reference field="6" count="1" selected="0">
            <x v="54"/>
          </reference>
        </references>
      </pivotArea>
    </chartFormat>
    <chartFormat chart="23" format="1498">
      <pivotArea type="data" outline="0" fieldPosition="0">
        <references count="3">
          <reference field="4294967294" count="1" selected="0">
            <x v="0"/>
          </reference>
          <reference field="1" count="1" selected="0">
            <x v="39"/>
          </reference>
          <reference field="6" count="1" selected="0">
            <x v="54"/>
          </reference>
        </references>
      </pivotArea>
    </chartFormat>
    <chartFormat chart="23" format="1499">
      <pivotArea type="data" outline="0" fieldPosition="0">
        <references count="3">
          <reference field="4294967294" count="1" selected="0">
            <x v="0"/>
          </reference>
          <reference field="1" count="1" selected="0">
            <x v="40"/>
          </reference>
          <reference field="6" count="1" selected="0">
            <x v="54"/>
          </reference>
        </references>
      </pivotArea>
    </chartFormat>
    <chartFormat chart="23" format="1500">
      <pivotArea type="data" outline="0" fieldPosition="0">
        <references count="3">
          <reference field="4294967294" count="1" selected="0">
            <x v="0"/>
          </reference>
          <reference field="1" count="1" selected="0">
            <x v="41"/>
          </reference>
          <reference field="6" count="1" selected="0">
            <x v="54"/>
          </reference>
        </references>
      </pivotArea>
    </chartFormat>
    <chartFormat chart="23" format="1501">
      <pivotArea type="data" outline="0" fieldPosition="0">
        <references count="3">
          <reference field="4294967294" count="1" selected="0">
            <x v="0"/>
          </reference>
          <reference field="1" count="1" selected="0">
            <x v="42"/>
          </reference>
          <reference field="6" count="1" selected="0">
            <x v="54"/>
          </reference>
        </references>
      </pivotArea>
    </chartFormat>
    <chartFormat chart="23" format="1502">
      <pivotArea type="data" outline="0" fieldPosition="0">
        <references count="3">
          <reference field="4294967294" count="1" selected="0">
            <x v="0"/>
          </reference>
          <reference field="1" count="1" selected="0">
            <x v="43"/>
          </reference>
          <reference field="6" count="1" selected="0">
            <x v="54"/>
          </reference>
        </references>
      </pivotArea>
    </chartFormat>
    <chartFormat chart="23" format="1503">
      <pivotArea type="data" outline="0" fieldPosition="0">
        <references count="3">
          <reference field="4294967294" count="1" selected="0">
            <x v="0"/>
          </reference>
          <reference field="1" count="1" selected="0">
            <x v="44"/>
          </reference>
          <reference field="6" count="1" selected="0">
            <x v="54"/>
          </reference>
        </references>
      </pivotArea>
    </chartFormat>
    <chartFormat chart="23" format="1504">
      <pivotArea type="data" outline="0" fieldPosition="0">
        <references count="3">
          <reference field="4294967294" count="1" selected="0">
            <x v="0"/>
          </reference>
          <reference field="1" count="1" selected="0">
            <x v="45"/>
          </reference>
          <reference field="6" count="1" selected="0">
            <x v="54"/>
          </reference>
        </references>
      </pivotArea>
    </chartFormat>
    <chartFormat chart="23" format="1505">
      <pivotArea type="data" outline="0" fieldPosition="0">
        <references count="3">
          <reference field="4294967294" count="1" selected="0">
            <x v="0"/>
          </reference>
          <reference field="1" count="1" selected="0">
            <x v="5"/>
          </reference>
          <reference field="6" count="1" selected="0">
            <x v="55"/>
          </reference>
        </references>
      </pivotArea>
    </chartFormat>
    <chartFormat chart="23" format="1506">
      <pivotArea type="data" outline="0" fieldPosition="0">
        <references count="3">
          <reference field="4294967294" count="1" selected="0">
            <x v="0"/>
          </reference>
          <reference field="1" count="1" selected="0">
            <x v="11"/>
          </reference>
          <reference field="6" count="1" selected="0">
            <x v="55"/>
          </reference>
        </references>
      </pivotArea>
    </chartFormat>
    <chartFormat chart="23" format="1507">
      <pivotArea type="data" outline="0" fieldPosition="0">
        <references count="3">
          <reference field="4294967294" count="1" selected="0">
            <x v="0"/>
          </reference>
          <reference field="1" count="1" selected="0">
            <x v="17"/>
          </reference>
          <reference field="6" count="1" selected="0">
            <x v="55"/>
          </reference>
        </references>
      </pivotArea>
    </chartFormat>
    <chartFormat chart="23" format="1508">
      <pivotArea type="data" outline="0" fieldPosition="0">
        <references count="3">
          <reference field="4294967294" count="1" selected="0">
            <x v="0"/>
          </reference>
          <reference field="1" count="1" selected="0">
            <x v="18"/>
          </reference>
          <reference field="6" count="1" selected="0">
            <x v="55"/>
          </reference>
        </references>
      </pivotArea>
    </chartFormat>
    <chartFormat chart="23" format="1509">
      <pivotArea type="data" outline="0" fieldPosition="0">
        <references count="3">
          <reference field="4294967294" count="1" selected="0">
            <x v="0"/>
          </reference>
          <reference field="1" count="1" selected="0">
            <x v="19"/>
          </reference>
          <reference field="6" count="1" selected="0">
            <x v="55"/>
          </reference>
        </references>
      </pivotArea>
    </chartFormat>
    <chartFormat chart="23" format="1510">
      <pivotArea type="data" outline="0" fieldPosition="0">
        <references count="3">
          <reference field="4294967294" count="1" selected="0">
            <x v="0"/>
          </reference>
          <reference field="1" count="1" selected="0">
            <x v="24"/>
          </reference>
          <reference field="6" count="1" selected="0">
            <x v="55"/>
          </reference>
        </references>
      </pivotArea>
    </chartFormat>
    <chartFormat chart="23" format="1511">
      <pivotArea type="data" outline="0" fieldPosition="0">
        <references count="3">
          <reference field="4294967294" count="1" selected="0">
            <x v="0"/>
          </reference>
          <reference field="1" count="1" selected="0">
            <x v="25"/>
          </reference>
          <reference field="6" count="1" selected="0">
            <x v="55"/>
          </reference>
        </references>
      </pivotArea>
    </chartFormat>
    <chartFormat chart="23" format="1512">
      <pivotArea type="data" outline="0" fieldPosition="0">
        <references count="3">
          <reference field="4294967294" count="1" selected="0">
            <x v="0"/>
          </reference>
          <reference field="1" count="1" selected="0">
            <x v="29"/>
          </reference>
          <reference field="6" count="1" selected="0">
            <x v="55"/>
          </reference>
        </references>
      </pivotArea>
    </chartFormat>
    <chartFormat chart="23" format="1513">
      <pivotArea type="data" outline="0" fieldPosition="0">
        <references count="3">
          <reference field="4294967294" count="1" selected="0">
            <x v="0"/>
          </reference>
          <reference field="1" count="1" selected="0">
            <x v="30"/>
          </reference>
          <reference field="6" count="1" selected="0">
            <x v="55"/>
          </reference>
        </references>
      </pivotArea>
    </chartFormat>
    <chartFormat chart="23" format="1514">
      <pivotArea type="data" outline="0" fieldPosition="0">
        <references count="3">
          <reference field="4294967294" count="1" selected="0">
            <x v="0"/>
          </reference>
          <reference field="1" count="1" selected="0">
            <x v="31"/>
          </reference>
          <reference field="6" count="1" selected="0">
            <x v="55"/>
          </reference>
        </references>
      </pivotArea>
    </chartFormat>
    <chartFormat chart="23" format="1515">
      <pivotArea type="data" outline="0" fieldPosition="0">
        <references count="3">
          <reference field="4294967294" count="1" selected="0">
            <x v="0"/>
          </reference>
          <reference field="1" count="1" selected="0">
            <x v="32"/>
          </reference>
          <reference field="6" count="1" selected="0">
            <x v="55"/>
          </reference>
        </references>
      </pivotArea>
    </chartFormat>
    <chartFormat chart="23" format="1516">
      <pivotArea type="data" outline="0" fieldPosition="0">
        <references count="3">
          <reference field="4294967294" count="1" selected="0">
            <x v="0"/>
          </reference>
          <reference field="1" count="1" selected="0">
            <x v="33"/>
          </reference>
          <reference field="6" count="1" selected="0">
            <x v="55"/>
          </reference>
        </references>
      </pivotArea>
    </chartFormat>
    <chartFormat chart="23" format="1517">
      <pivotArea type="data" outline="0" fieldPosition="0">
        <references count="3">
          <reference field="4294967294" count="1" selected="0">
            <x v="0"/>
          </reference>
          <reference field="1" count="1" selected="0">
            <x v="34"/>
          </reference>
          <reference field="6" count="1" selected="0">
            <x v="55"/>
          </reference>
        </references>
      </pivotArea>
    </chartFormat>
    <chartFormat chart="23" format="1518">
      <pivotArea type="data" outline="0" fieldPosition="0">
        <references count="3">
          <reference field="4294967294" count="1" selected="0">
            <x v="0"/>
          </reference>
          <reference field="1" count="1" selected="0">
            <x v="35"/>
          </reference>
          <reference field="6" count="1" selected="0">
            <x v="55"/>
          </reference>
        </references>
      </pivotArea>
    </chartFormat>
    <chartFormat chart="23" format="1519">
      <pivotArea type="data" outline="0" fieldPosition="0">
        <references count="3">
          <reference field="4294967294" count="1" selected="0">
            <x v="0"/>
          </reference>
          <reference field="1" count="1" selected="0">
            <x v="36"/>
          </reference>
          <reference field="6" count="1" selected="0">
            <x v="55"/>
          </reference>
        </references>
      </pivotArea>
    </chartFormat>
    <chartFormat chart="23" format="1520">
      <pivotArea type="data" outline="0" fieldPosition="0">
        <references count="3">
          <reference field="4294967294" count="1" selected="0">
            <x v="0"/>
          </reference>
          <reference field="1" count="1" selected="0">
            <x v="37"/>
          </reference>
          <reference field="6" count="1" selected="0">
            <x v="55"/>
          </reference>
        </references>
      </pivotArea>
    </chartFormat>
    <chartFormat chart="23" format="1521">
      <pivotArea type="data" outline="0" fieldPosition="0">
        <references count="3">
          <reference field="4294967294" count="1" selected="0">
            <x v="0"/>
          </reference>
          <reference field="1" count="1" selected="0">
            <x v="38"/>
          </reference>
          <reference field="6" count="1" selected="0">
            <x v="55"/>
          </reference>
        </references>
      </pivotArea>
    </chartFormat>
    <chartFormat chart="23" format="1522">
      <pivotArea type="data" outline="0" fieldPosition="0">
        <references count="3">
          <reference field="4294967294" count="1" selected="0">
            <x v="0"/>
          </reference>
          <reference field="1" count="1" selected="0">
            <x v="39"/>
          </reference>
          <reference field="6" count="1" selected="0">
            <x v="55"/>
          </reference>
        </references>
      </pivotArea>
    </chartFormat>
    <chartFormat chart="23" format="1523">
      <pivotArea type="data" outline="0" fieldPosition="0">
        <references count="3">
          <reference field="4294967294" count="1" selected="0">
            <x v="0"/>
          </reference>
          <reference field="1" count="1" selected="0">
            <x v="40"/>
          </reference>
          <reference field="6" count="1" selected="0">
            <x v="55"/>
          </reference>
        </references>
      </pivotArea>
    </chartFormat>
    <chartFormat chart="23" format="1524">
      <pivotArea type="data" outline="0" fieldPosition="0">
        <references count="3">
          <reference field="4294967294" count="1" selected="0">
            <x v="0"/>
          </reference>
          <reference field="1" count="1" selected="0">
            <x v="41"/>
          </reference>
          <reference field="6" count="1" selected="0">
            <x v="55"/>
          </reference>
        </references>
      </pivotArea>
    </chartFormat>
    <chartFormat chart="23" format="1525">
      <pivotArea type="data" outline="0" fieldPosition="0">
        <references count="3">
          <reference field="4294967294" count="1" selected="0">
            <x v="0"/>
          </reference>
          <reference field="1" count="1" selected="0">
            <x v="42"/>
          </reference>
          <reference field="6" count="1" selected="0">
            <x v="55"/>
          </reference>
        </references>
      </pivotArea>
    </chartFormat>
    <chartFormat chart="23" format="1526">
      <pivotArea type="data" outline="0" fieldPosition="0">
        <references count="3">
          <reference field="4294967294" count="1" selected="0">
            <x v="0"/>
          </reference>
          <reference field="1" count="1" selected="0">
            <x v="43"/>
          </reference>
          <reference field="6" count="1" selected="0">
            <x v="55"/>
          </reference>
        </references>
      </pivotArea>
    </chartFormat>
    <chartFormat chart="23" format="1527">
      <pivotArea type="data" outline="0" fieldPosition="0">
        <references count="3">
          <reference field="4294967294" count="1" selected="0">
            <x v="0"/>
          </reference>
          <reference field="1" count="1" selected="0">
            <x v="44"/>
          </reference>
          <reference field="6" count="1" selected="0">
            <x v="55"/>
          </reference>
        </references>
      </pivotArea>
    </chartFormat>
    <chartFormat chart="23" format="1528">
      <pivotArea type="data" outline="0" fieldPosition="0">
        <references count="3">
          <reference field="4294967294" count="1" selected="0">
            <x v="0"/>
          </reference>
          <reference field="1" count="1" selected="0">
            <x v="45"/>
          </reference>
          <reference field="6" count="1" selected="0">
            <x v="55"/>
          </reference>
        </references>
      </pivotArea>
    </chartFormat>
    <chartFormat chart="23" format="1529">
      <pivotArea type="data" outline="0" fieldPosition="0">
        <references count="3">
          <reference field="4294967294" count="1" selected="0">
            <x v="0"/>
          </reference>
          <reference field="1" count="1" selected="0">
            <x v="5"/>
          </reference>
          <reference field="6" count="1" selected="0">
            <x v="56"/>
          </reference>
        </references>
      </pivotArea>
    </chartFormat>
    <chartFormat chart="23" format="1530">
      <pivotArea type="data" outline="0" fieldPosition="0">
        <references count="3">
          <reference field="4294967294" count="1" selected="0">
            <x v="0"/>
          </reference>
          <reference field="1" count="1" selected="0">
            <x v="11"/>
          </reference>
          <reference field="6" count="1" selected="0">
            <x v="56"/>
          </reference>
        </references>
      </pivotArea>
    </chartFormat>
    <chartFormat chart="23" format="1531">
      <pivotArea type="data" outline="0" fieldPosition="0">
        <references count="3">
          <reference field="4294967294" count="1" selected="0">
            <x v="0"/>
          </reference>
          <reference field="1" count="1" selected="0">
            <x v="17"/>
          </reference>
          <reference field="6" count="1" selected="0">
            <x v="56"/>
          </reference>
        </references>
      </pivotArea>
    </chartFormat>
    <chartFormat chart="23" format="1532">
      <pivotArea type="data" outline="0" fieldPosition="0">
        <references count="3">
          <reference field="4294967294" count="1" selected="0">
            <x v="0"/>
          </reference>
          <reference field="1" count="1" selected="0">
            <x v="18"/>
          </reference>
          <reference field="6" count="1" selected="0">
            <x v="56"/>
          </reference>
        </references>
      </pivotArea>
    </chartFormat>
    <chartFormat chart="23" format="1533">
      <pivotArea type="data" outline="0" fieldPosition="0">
        <references count="3">
          <reference field="4294967294" count="1" selected="0">
            <x v="0"/>
          </reference>
          <reference field="1" count="1" selected="0">
            <x v="19"/>
          </reference>
          <reference field="6" count="1" selected="0">
            <x v="56"/>
          </reference>
        </references>
      </pivotArea>
    </chartFormat>
    <chartFormat chart="23" format="1534">
      <pivotArea type="data" outline="0" fieldPosition="0">
        <references count="3">
          <reference field="4294967294" count="1" selected="0">
            <x v="0"/>
          </reference>
          <reference field="1" count="1" selected="0">
            <x v="24"/>
          </reference>
          <reference field="6" count="1" selected="0">
            <x v="56"/>
          </reference>
        </references>
      </pivotArea>
    </chartFormat>
    <chartFormat chart="23" format="1535">
      <pivotArea type="data" outline="0" fieldPosition="0">
        <references count="3">
          <reference field="4294967294" count="1" selected="0">
            <x v="0"/>
          </reference>
          <reference field="1" count="1" selected="0">
            <x v="25"/>
          </reference>
          <reference field="6" count="1" selected="0">
            <x v="56"/>
          </reference>
        </references>
      </pivotArea>
    </chartFormat>
    <chartFormat chart="23" format="1536">
      <pivotArea type="data" outline="0" fieldPosition="0">
        <references count="3">
          <reference field="4294967294" count="1" selected="0">
            <x v="0"/>
          </reference>
          <reference field="1" count="1" selected="0">
            <x v="29"/>
          </reference>
          <reference field="6" count="1" selected="0">
            <x v="56"/>
          </reference>
        </references>
      </pivotArea>
    </chartFormat>
    <chartFormat chart="23" format="1537">
      <pivotArea type="data" outline="0" fieldPosition="0">
        <references count="3">
          <reference field="4294967294" count="1" selected="0">
            <x v="0"/>
          </reference>
          <reference field="1" count="1" selected="0">
            <x v="30"/>
          </reference>
          <reference field="6" count="1" selected="0">
            <x v="56"/>
          </reference>
        </references>
      </pivotArea>
    </chartFormat>
    <chartFormat chart="23" format="1538">
      <pivotArea type="data" outline="0" fieldPosition="0">
        <references count="3">
          <reference field="4294967294" count="1" selected="0">
            <x v="0"/>
          </reference>
          <reference field="1" count="1" selected="0">
            <x v="31"/>
          </reference>
          <reference field="6" count="1" selected="0">
            <x v="56"/>
          </reference>
        </references>
      </pivotArea>
    </chartFormat>
    <chartFormat chart="23" format="1539">
      <pivotArea type="data" outline="0" fieldPosition="0">
        <references count="3">
          <reference field="4294967294" count="1" selected="0">
            <x v="0"/>
          </reference>
          <reference field="1" count="1" selected="0">
            <x v="32"/>
          </reference>
          <reference field="6" count="1" selected="0">
            <x v="56"/>
          </reference>
        </references>
      </pivotArea>
    </chartFormat>
    <chartFormat chart="23" format="1540">
      <pivotArea type="data" outline="0" fieldPosition="0">
        <references count="3">
          <reference field="4294967294" count="1" selected="0">
            <x v="0"/>
          </reference>
          <reference field="1" count="1" selected="0">
            <x v="33"/>
          </reference>
          <reference field="6" count="1" selected="0">
            <x v="56"/>
          </reference>
        </references>
      </pivotArea>
    </chartFormat>
    <chartFormat chart="23" format="1541">
      <pivotArea type="data" outline="0" fieldPosition="0">
        <references count="3">
          <reference field="4294967294" count="1" selected="0">
            <x v="0"/>
          </reference>
          <reference field="1" count="1" selected="0">
            <x v="34"/>
          </reference>
          <reference field="6" count="1" selected="0">
            <x v="56"/>
          </reference>
        </references>
      </pivotArea>
    </chartFormat>
    <chartFormat chart="23" format="1542">
      <pivotArea type="data" outline="0" fieldPosition="0">
        <references count="3">
          <reference field="4294967294" count="1" selected="0">
            <x v="0"/>
          </reference>
          <reference field="1" count="1" selected="0">
            <x v="35"/>
          </reference>
          <reference field="6" count="1" selected="0">
            <x v="56"/>
          </reference>
        </references>
      </pivotArea>
    </chartFormat>
    <chartFormat chart="23" format="1543">
      <pivotArea type="data" outline="0" fieldPosition="0">
        <references count="3">
          <reference field="4294967294" count="1" selected="0">
            <x v="0"/>
          </reference>
          <reference field="1" count="1" selected="0">
            <x v="36"/>
          </reference>
          <reference field="6" count="1" selected="0">
            <x v="56"/>
          </reference>
        </references>
      </pivotArea>
    </chartFormat>
    <chartFormat chart="23" format="1544">
      <pivotArea type="data" outline="0" fieldPosition="0">
        <references count="3">
          <reference field="4294967294" count="1" selected="0">
            <x v="0"/>
          </reference>
          <reference field="1" count="1" selected="0">
            <x v="37"/>
          </reference>
          <reference field="6" count="1" selected="0">
            <x v="56"/>
          </reference>
        </references>
      </pivotArea>
    </chartFormat>
    <chartFormat chart="23" format="1545">
      <pivotArea type="data" outline="0" fieldPosition="0">
        <references count="3">
          <reference field="4294967294" count="1" selected="0">
            <x v="0"/>
          </reference>
          <reference field="1" count="1" selected="0">
            <x v="38"/>
          </reference>
          <reference field="6" count="1" selected="0">
            <x v="56"/>
          </reference>
        </references>
      </pivotArea>
    </chartFormat>
    <chartFormat chart="23" format="1546">
      <pivotArea type="data" outline="0" fieldPosition="0">
        <references count="3">
          <reference field="4294967294" count="1" selected="0">
            <x v="0"/>
          </reference>
          <reference field="1" count="1" selected="0">
            <x v="39"/>
          </reference>
          <reference field="6" count="1" selected="0">
            <x v="56"/>
          </reference>
        </references>
      </pivotArea>
    </chartFormat>
    <chartFormat chart="23" format="1547">
      <pivotArea type="data" outline="0" fieldPosition="0">
        <references count="3">
          <reference field="4294967294" count="1" selected="0">
            <x v="0"/>
          </reference>
          <reference field="1" count="1" selected="0">
            <x v="40"/>
          </reference>
          <reference field="6" count="1" selected="0">
            <x v="56"/>
          </reference>
        </references>
      </pivotArea>
    </chartFormat>
    <chartFormat chart="23" format="1548">
      <pivotArea type="data" outline="0" fieldPosition="0">
        <references count="3">
          <reference field="4294967294" count="1" selected="0">
            <x v="0"/>
          </reference>
          <reference field="1" count="1" selected="0">
            <x v="41"/>
          </reference>
          <reference field="6" count="1" selected="0">
            <x v="56"/>
          </reference>
        </references>
      </pivotArea>
    </chartFormat>
    <chartFormat chart="23" format="1549">
      <pivotArea type="data" outline="0" fieldPosition="0">
        <references count="3">
          <reference field="4294967294" count="1" selected="0">
            <x v="0"/>
          </reference>
          <reference field="1" count="1" selected="0">
            <x v="42"/>
          </reference>
          <reference field="6" count="1" selected="0">
            <x v="56"/>
          </reference>
        </references>
      </pivotArea>
    </chartFormat>
    <chartFormat chart="23" format="1550">
      <pivotArea type="data" outline="0" fieldPosition="0">
        <references count="3">
          <reference field="4294967294" count="1" selected="0">
            <x v="0"/>
          </reference>
          <reference field="1" count="1" selected="0">
            <x v="43"/>
          </reference>
          <reference field="6" count="1" selected="0">
            <x v="56"/>
          </reference>
        </references>
      </pivotArea>
    </chartFormat>
    <chartFormat chart="23" format="1551">
      <pivotArea type="data" outline="0" fieldPosition="0">
        <references count="3">
          <reference field="4294967294" count="1" selected="0">
            <x v="0"/>
          </reference>
          <reference field="1" count="1" selected="0">
            <x v="44"/>
          </reference>
          <reference field="6" count="1" selected="0">
            <x v="56"/>
          </reference>
        </references>
      </pivotArea>
    </chartFormat>
    <chartFormat chart="23" format="1552">
      <pivotArea type="data" outline="0" fieldPosition="0">
        <references count="3">
          <reference field="4294967294" count="1" selected="0">
            <x v="0"/>
          </reference>
          <reference field="1" count="1" selected="0">
            <x v="45"/>
          </reference>
          <reference field="6" count="1" selected="0">
            <x v="56"/>
          </reference>
        </references>
      </pivotArea>
    </chartFormat>
    <chartFormat chart="23" format="1553">
      <pivotArea type="data" outline="0" fieldPosition="0">
        <references count="3">
          <reference field="4294967294" count="1" selected="0">
            <x v="0"/>
          </reference>
          <reference field="1" count="1" selected="0">
            <x v="5"/>
          </reference>
          <reference field="6" count="1" selected="0">
            <x v="57"/>
          </reference>
        </references>
      </pivotArea>
    </chartFormat>
    <chartFormat chart="23" format="1554">
      <pivotArea type="data" outline="0" fieldPosition="0">
        <references count="3">
          <reference field="4294967294" count="1" selected="0">
            <x v="0"/>
          </reference>
          <reference field="1" count="1" selected="0">
            <x v="11"/>
          </reference>
          <reference field="6" count="1" selected="0">
            <x v="57"/>
          </reference>
        </references>
      </pivotArea>
    </chartFormat>
    <chartFormat chart="23" format="1555">
      <pivotArea type="data" outline="0" fieldPosition="0">
        <references count="3">
          <reference field="4294967294" count="1" selected="0">
            <x v="0"/>
          </reference>
          <reference field="1" count="1" selected="0">
            <x v="17"/>
          </reference>
          <reference field="6" count="1" selected="0">
            <x v="57"/>
          </reference>
        </references>
      </pivotArea>
    </chartFormat>
    <chartFormat chart="23" format="1556">
      <pivotArea type="data" outline="0" fieldPosition="0">
        <references count="3">
          <reference field="4294967294" count="1" selected="0">
            <x v="0"/>
          </reference>
          <reference field="1" count="1" selected="0">
            <x v="18"/>
          </reference>
          <reference field="6" count="1" selected="0">
            <x v="57"/>
          </reference>
        </references>
      </pivotArea>
    </chartFormat>
    <chartFormat chart="23" format="1557">
      <pivotArea type="data" outline="0" fieldPosition="0">
        <references count="3">
          <reference field="4294967294" count="1" selected="0">
            <x v="0"/>
          </reference>
          <reference field="1" count="1" selected="0">
            <x v="19"/>
          </reference>
          <reference field="6" count="1" selected="0">
            <x v="57"/>
          </reference>
        </references>
      </pivotArea>
    </chartFormat>
    <chartFormat chart="23" format="1558">
      <pivotArea type="data" outline="0" fieldPosition="0">
        <references count="3">
          <reference field="4294967294" count="1" selected="0">
            <x v="0"/>
          </reference>
          <reference field="1" count="1" selected="0">
            <x v="24"/>
          </reference>
          <reference field="6" count="1" selected="0">
            <x v="57"/>
          </reference>
        </references>
      </pivotArea>
    </chartFormat>
    <chartFormat chart="23" format="1559">
      <pivotArea type="data" outline="0" fieldPosition="0">
        <references count="3">
          <reference field="4294967294" count="1" selected="0">
            <x v="0"/>
          </reference>
          <reference field="1" count="1" selected="0">
            <x v="25"/>
          </reference>
          <reference field="6" count="1" selected="0">
            <x v="57"/>
          </reference>
        </references>
      </pivotArea>
    </chartFormat>
    <chartFormat chart="23" format="1560">
      <pivotArea type="data" outline="0" fieldPosition="0">
        <references count="3">
          <reference field="4294967294" count="1" selected="0">
            <x v="0"/>
          </reference>
          <reference field="1" count="1" selected="0">
            <x v="29"/>
          </reference>
          <reference field="6" count="1" selected="0">
            <x v="57"/>
          </reference>
        </references>
      </pivotArea>
    </chartFormat>
    <chartFormat chart="23" format="1561">
      <pivotArea type="data" outline="0" fieldPosition="0">
        <references count="3">
          <reference field="4294967294" count="1" selected="0">
            <x v="0"/>
          </reference>
          <reference field="1" count="1" selected="0">
            <x v="30"/>
          </reference>
          <reference field="6" count="1" selected="0">
            <x v="57"/>
          </reference>
        </references>
      </pivotArea>
    </chartFormat>
    <chartFormat chart="23" format="1562">
      <pivotArea type="data" outline="0" fieldPosition="0">
        <references count="3">
          <reference field="4294967294" count="1" selected="0">
            <x v="0"/>
          </reference>
          <reference field="1" count="1" selected="0">
            <x v="31"/>
          </reference>
          <reference field="6" count="1" selected="0">
            <x v="57"/>
          </reference>
        </references>
      </pivotArea>
    </chartFormat>
    <chartFormat chart="23" format="1563">
      <pivotArea type="data" outline="0" fieldPosition="0">
        <references count="3">
          <reference field="4294967294" count="1" selected="0">
            <x v="0"/>
          </reference>
          <reference field="1" count="1" selected="0">
            <x v="32"/>
          </reference>
          <reference field="6" count="1" selected="0">
            <x v="57"/>
          </reference>
        </references>
      </pivotArea>
    </chartFormat>
    <chartFormat chart="23" format="1564">
      <pivotArea type="data" outline="0" fieldPosition="0">
        <references count="3">
          <reference field="4294967294" count="1" selected="0">
            <x v="0"/>
          </reference>
          <reference field="1" count="1" selected="0">
            <x v="33"/>
          </reference>
          <reference field="6" count="1" selected="0">
            <x v="57"/>
          </reference>
        </references>
      </pivotArea>
    </chartFormat>
    <chartFormat chart="23" format="1565">
      <pivotArea type="data" outline="0" fieldPosition="0">
        <references count="3">
          <reference field="4294967294" count="1" selected="0">
            <x v="0"/>
          </reference>
          <reference field="1" count="1" selected="0">
            <x v="34"/>
          </reference>
          <reference field="6" count="1" selected="0">
            <x v="57"/>
          </reference>
        </references>
      </pivotArea>
    </chartFormat>
    <chartFormat chart="23" format="1566">
      <pivotArea type="data" outline="0" fieldPosition="0">
        <references count="3">
          <reference field="4294967294" count="1" selected="0">
            <x v="0"/>
          </reference>
          <reference field="1" count="1" selected="0">
            <x v="35"/>
          </reference>
          <reference field="6" count="1" selected="0">
            <x v="57"/>
          </reference>
        </references>
      </pivotArea>
    </chartFormat>
    <chartFormat chart="23" format="1567">
      <pivotArea type="data" outline="0" fieldPosition="0">
        <references count="3">
          <reference field="4294967294" count="1" selected="0">
            <x v="0"/>
          </reference>
          <reference field="1" count="1" selected="0">
            <x v="36"/>
          </reference>
          <reference field="6" count="1" selected="0">
            <x v="57"/>
          </reference>
        </references>
      </pivotArea>
    </chartFormat>
    <chartFormat chart="23" format="1568">
      <pivotArea type="data" outline="0" fieldPosition="0">
        <references count="3">
          <reference field="4294967294" count="1" selected="0">
            <x v="0"/>
          </reference>
          <reference field="1" count="1" selected="0">
            <x v="37"/>
          </reference>
          <reference field="6" count="1" selected="0">
            <x v="57"/>
          </reference>
        </references>
      </pivotArea>
    </chartFormat>
    <chartFormat chart="23" format="1569">
      <pivotArea type="data" outline="0" fieldPosition="0">
        <references count="3">
          <reference field="4294967294" count="1" selected="0">
            <x v="0"/>
          </reference>
          <reference field="1" count="1" selected="0">
            <x v="38"/>
          </reference>
          <reference field="6" count="1" selected="0">
            <x v="57"/>
          </reference>
        </references>
      </pivotArea>
    </chartFormat>
    <chartFormat chart="23" format="1570">
      <pivotArea type="data" outline="0" fieldPosition="0">
        <references count="3">
          <reference field="4294967294" count="1" selected="0">
            <x v="0"/>
          </reference>
          <reference field="1" count="1" selected="0">
            <x v="39"/>
          </reference>
          <reference field="6" count="1" selected="0">
            <x v="57"/>
          </reference>
        </references>
      </pivotArea>
    </chartFormat>
    <chartFormat chart="23" format="1571">
      <pivotArea type="data" outline="0" fieldPosition="0">
        <references count="3">
          <reference field="4294967294" count="1" selected="0">
            <x v="0"/>
          </reference>
          <reference field="1" count="1" selected="0">
            <x v="40"/>
          </reference>
          <reference field="6" count="1" selected="0">
            <x v="57"/>
          </reference>
        </references>
      </pivotArea>
    </chartFormat>
    <chartFormat chart="23" format="1572">
      <pivotArea type="data" outline="0" fieldPosition="0">
        <references count="3">
          <reference field="4294967294" count="1" selected="0">
            <x v="0"/>
          </reference>
          <reference field="1" count="1" selected="0">
            <x v="41"/>
          </reference>
          <reference field="6" count="1" selected="0">
            <x v="57"/>
          </reference>
        </references>
      </pivotArea>
    </chartFormat>
    <chartFormat chart="23" format="1573">
      <pivotArea type="data" outline="0" fieldPosition="0">
        <references count="3">
          <reference field="4294967294" count="1" selected="0">
            <x v="0"/>
          </reference>
          <reference field="1" count="1" selected="0">
            <x v="42"/>
          </reference>
          <reference field="6" count="1" selected="0">
            <x v="57"/>
          </reference>
        </references>
      </pivotArea>
    </chartFormat>
    <chartFormat chart="23" format="1574">
      <pivotArea type="data" outline="0" fieldPosition="0">
        <references count="3">
          <reference field="4294967294" count="1" selected="0">
            <x v="0"/>
          </reference>
          <reference field="1" count="1" selected="0">
            <x v="43"/>
          </reference>
          <reference field="6" count="1" selected="0">
            <x v="57"/>
          </reference>
        </references>
      </pivotArea>
    </chartFormat>
    <chartFormat chart="23" format="1575">
      <pivotArea type="data" outline="0" fieldPosition="0">
        <references count="3">
          <reference field="4294967294" count="1" selected="0">
            <x v="0"/>
          </reference>
          <reference field="1" count="1" selected="0">
            <x v="44"/>
          </reference>
          <reference field="6" count="1" selected="0">
            <x v="57"/>
          </reference>
        </references>
      </pivotArea>
    </chartFormat>
    <chartFormat chart="23" format="1576">
      <pivotArea type="data" outline="0" fieldPosition="0">
        <references count="3">
          <reference field="4294967294" count="1" selected="0">
            <x v="0"/>
          </reference>
          <reference field="1" count="1" selected="0">
            <x v="45"/>
          </reference>
          <reference field="6" count="1" selected="0">
            <x v="57"/>
          </reference>
        </references>
      </pivotArea>
    </chartFormat>
    <chartFormat chart="23" format="1577">
      <pivotArea type="data" outline="0" fieldPosition="0">
        <references count="3">
          <reference field="4294967294" count="1" selected="0">
            <x v="0"/>
          </reference>
          <reference field="1" count="1" selected="0">
            <x v="5"/>
          </reference>
          <reference field="6" count="1" selected="0">
            <x v="58"/>
          </reference>
        </references>
      </pivotArea>
    </chartFormat>
    <chartFormat chart="23" format="1578">
      <pivotArea type="data" outline="0" fieldPosition="0">
        <references count="3">
          <reference field="4294967294" count="1" selected="0">
            <x v="0"/>
          </reference>
          <reference field="1" count="1" selected="0">
            <x v="11"/>
          </reference>
          <reference field="6" count="1" selected="0">
            <x v="58"/>
          </reference>
        </references>
      </pivotArea>
    </chartFormat>
    <chartFormat chart="23" format="1579">
      <pivotArea type="data" outline="0" fieldPosition="0">
        <references count="3">
          <reference field="4294967294" count="1" selected="0">
            <x v="0"/>
          </reference>
          <reference field="1" count="1" selected="0">
            <x v="17"/>
          </reference>
          <reference field="6" count="1" selected="0">
            <x v="58"/>
          </reference>
        </references>
      </pivotArea>
    </chartFormat>
    <chartFormat chart="23" format="1580">
      <pivotArea type="data" outline="0" fieldPosition="0">
        <references count="3">
          <reference field="4294967294" count="1" selected="0">
            <x v="0"/>
          </reference>
          <reference field="1" count="1" selected="0">
            <x v="18"/>
          </reference>
          <reference field="6" count="1" selected="0">
            <x v="58"/>
          </reference>
        </references>
      </pivotArea>
    </chartFormat>
    <chartFormat chart="23" format="1581">
      <pivotArea type="data" outline="0" fieldPosition="0">
        <references count="3">
          <reference field="4294967294" count="1" selected="0">
            <x v="0"/>
          </reference>
          <reference field="1" count="1" selected="0">
            <x v="19"/>
          </reference>
          <reference field="6" count="1" selected="0">
            <x v="58"/>
          </reference>
        </references>
      </pivotArea>
    </chartFormat>
    <chartFormat chart="23" format="1582">
      <pivotArea type="data" outline="0" fieldPosition="0">
        <references count="3">
          <reference field="4294967294" count="1" selected="0">
            <x v="0"/>
          </reference>
          <reference field="1" count="1" selected="0">
            <x v="24"/>
          </reference>
          <reference field="6" count="1" selected="0">
            <x v="58"/>
          </reference>
        </references>
      </pivotArea>
    </chartFormat>
    <chartFormat chart="23" format="1583">
      <pivotArea type="data" outline="0" fieldPosition="0">
        <references count="3">
          <reference field="4294967294" count="1" selected="0">
            <x v="0"/>
          </reference>
          <reference field="1" count="1" selected="0">
            <x v="25"/>
          </reference>
          <reference field="6" count="1" selected="0">
            <x v="58"/>
          </reference>
        </references>
      </pivotArea>
    </chartFormat>
    <chartFormat chart="23" format="1584">
      <pivotArea type="data" outline="0" fieldPosition="0">
        <references count="3">
          <reference field="4294967294" count="1" selected="0">
            <x v="0"/>
          </reference>
          <reference field="1" count="1" selected="0">
            <x v="29"/>
          </reference>
          <reference field="6" count="1" selected="0">
            <x v="58"/>
          </reference>
        </references>
      </pivotArea>
    </chartFormat>
    <chartFormat chart="23" format="1585">
      <pivotArea type="data" outline="0" fieldPosition="0">
        <references count="3">
          <reference field="4294967294" count="1" selected="0">
            <x v="0"/>
          </reference>
          <reference field="1" count="1" selected="0">
            <x v="30"/>
          </reference>
          <reference field="6" count="1" selected="0">
            <x v="58"/>
          </reference>
        </references>
      </pivotArea>
    </chartFormat>
    <chartFormat chart="23" format="1586">
      <pivotArea type="data" outline="0" fieldPosition="0">
        <references count="3">
          <reference field="4294967294" count="1" selected="0">
            <x v="0"/>
          </reference>
          <reference field="1" count="1" selected="0">
            <x v="31"/>
          </reference>
          <reference field="6" count="1" selected="0">
            <x v="58"/>
          </reference>
        </references>
      </pivotArea>
    </chartFormat>
    <chartFormat chart="23" format="1587">
      <pivotArea type="data" outline="0" fieldPosition="0">
        <references count="3">
          <reference field="4294967294" count="1" selected="0">
            <x v="0"/>
          </reference>
          <reference field="1" count="1" selected="0">
            <x v="32"/>
          </reference>
          <reference field="6" count="1" selected="0">
            <x v="58"/>
          </reference>
        </references>
      </pivotArea>
    </chartFormat>
    <chartFormat chart="23" format="1588">
      <pivotArea type="data" outline="0" fieldPosition="0">
        <references count="3">
          <reference field="4294967294" count="1" selected="0">
            <x v="0"/>
          </reference>
          <reference field="1" count="1" selected="0">
            <x v="33"/>
          </reference>
          <reference field="6" count="1" selected="0">
            <x v="58"/>
          </reference>
        </references>
      </pivotArea>
    </chartFormat>
    <chartFormat chart="23" format="1589">
      <pivotArea type="data" outline="0" fieldPosition="0">
        <references count="3">
          <reference field="4294967294" count="1" selected="0">
            <x v="0"/>
          </reference>
          <reference field="1" count="1" selected="0">
            <x v="34"/>
          </reference>
          <reference field="6" count="1" selected="0">
            <x v="58"/>
          </reference>
        </references>
      </pivotArea>
    </chartFormat>
    <chartFormat chart="23" format="1590">
      <pivotArea type="data" outline="0" fieldPosition="0">
        <references count="3">
          <reference field="4294967294" count="1" selected="0">
            <x v="0"/>
          </reference>
          <reference field="1" count="1" selected="0">
            <x v="35"/>
          </reference>
          <reference field="6" count="1" selected="0">
            <x v="58"/>
          </reference>
        </references>
      </pivotArea>
    </chartFormat>
    <chartFormat chart="23" format="1591">
      <pivotArea type="data" outline="0" fieldPosition="0">
        <references count="3">
          <reference field="4294967294" count="1" selected="0">
            <x v="0"/>
          </reference>
          <reference field="1" count="1" selected="0">
            <x v="36"/>
          </reference>
          <reference field="6" count="1" selected="0">
            <x v="58"/>
          </reference>
        </references>
      </pivotArea>
    </chartFormat>
    <chartFormat chart="23" format="1592">
      <pivotArea type="data" outline="0" fieldPosition="0">
        <references count="3">
          <reference field="4294967294" count="1" selected="0">
            <x v="0"/>
          </reference>
          <reference field="1" count="1" selected="0">
            <x v="37"/>
          </reference>
          <reference field="6" count="1" selected="0">
            <x v="58"/>
          </reference>
        </references>
      </pivotArea>
    </chartFormat>
    <chartFormat chart="23" format="1593">
      <pivotArea type="data" outline="0" fieldPosition="0">
        <references count="3">
          <reference field="4294967294" count="1" selected="0">
            <x v="0"/>
          </reference>
          <reference field="1" count="1" selected="0">
            <x v="38"/>
          </reference>
          <reference field="6" count="1" selected="0">
            <x v="58"/>
          </reference>
        </references>
      </pivotArea>
    </chartFormat>
    <chartFormat chart="23" format="1594">
      <pivotArea type="data" outline="0" fieldPosition="0">
        <references count="3">
          <reference field="4294967294" count="1" selected="0">
            <x v="0"/>
          </reference>
          <reference field="1" count="1" selected="0">
            <x v="39"/>
          </reference>
          <reference field="6" count="1" selected="0">
            <x v="58"/>
          </reference>
        </references>
      </pivotArea>
    </chartFormat>
    <chartFormat chart="23" format="1595">
      <pivotArea type="data" outline="0" fieldPosition="0">
        <references count="3">
          <reference field="4294967294" count="1" selected="0">
            <x v="0"/>
          </reference>
          <reference field="1" count="1" selected="0">
            <x v="40"/>
          </reference>
          <reference field="6" count="1" selected="0">
            <x v="58"/>
          </reference>
        </references>
      </pivotArea>
    </chartFormat>
    <chartFormat chart="23" format="1596">
      <pivotArea type="data" outline="0" fieldPosition="0">
        <references count="3">
          <reference field="4294967294" count="1" selected="0">
            <x v="0"/>
          </reference>
          <reference field="1" count="1" selected="0">
            <x v="41"/>
          </reference>
          <reference field="6" count="1" selected="0">
            <x v="58"/>
          </reference>
        </references>
      </pivotArea>
    </chartFormat>
    <chartFormat chart="23" format="1597">
      <pivotArea type="data" outline="0" fieldPosition="0">
        <references count="3">
          <reference field="4294967294" count="1" selected="0">
            <x v="0"/>
          </reference>
          <reference field="1" count="1" selected="0">
            <x v="42"/>
          </reference>
          <reference field="6" count="1" selected="0">
            <x v="58"/>
          </reference>
        </references>
      </pivotArea>
    </chartFormat>
    <chartFormat chart="23" format="1598">
      <pivotArea type="data" outline="0" fieldPosition="0">
        <references count="3">
          <reference field="4294967294" count="1" selected="0">
            <x v="0"/>
          </reference>
          <reference field="1" count="1" selected="0">
            <x v="43"/>
          </reference>
          <reference field="6" count="1" selected="0">
            <x v="58"/>
          </reference>
        </references>
      </pivotArea>
    </chartFormat>
    <chartFormat chart="23" format="1599">
      <pivotArea type="data" outline="0" fieldPosition="0">
        <references count="3">
          <reference field="4294967294" count="1" selected="0">
            <x v="0"/>
          </reference>
          <reference field="1" count="1" selected="0">
            <x v="44"/>
          </reference>
          <reference field="6" count="1" selected="0">
            <x v="58"/>
          </reference>
        </references>
      </pivotArea>
    </chartFormat>
    <chartFormat chart="23" format="1600">
      <pivotArea type="data" outline="0" fieldPosition="0">
        <references count="3">
          <reference field="4294967294" count="1" selected="0">
            <x v="0"/>
          </reference>
          <reference field="1" count="1" selected="0">
            <x v="45"/>
          </reference>
          <reference field="6" count="1" selected="0">
            <x v="58"/>
          </reference>
        </references>
      </pivotArea>
    </chartFormat>
    <chartFormat chart="23" format="1601">
      <pivotArea type="data" outline="0" fieldPosition="0">
        <references count="3">
          <reference field="4294967294" count="1" selected="0">
            <x v="0"/>
          </reference>
          <reference field="1" count="1" selected="0">
            <x v="5"/>
          </reference>
          <reference field="6" count="1" selected="0">
            <x v="59"/>
          </reference>
        </references>
      </pivotArea>
    </chartFormat>
    <chartFormat chart="23" format="1602">
      <pivotArea type="data" outline="0" fieldPosition="0">
        <references count="3">
          <reference field="4294967294" count="1" selected="0">
            <x v="0"/>
          </reference>
          <reference field="1" count="1" selected="0">
            <x v="11"/>
          </reference>
          <reference field="6" count="1" selected="0">
            <x v="59"/>
          </reference>
        </references>
      </pivotArea>
    </chartFormat>
    <chartFormat chart="23" format="1603">
      <pivotArea type="data" outline="0" fieldPosition="0">
        <references count="3">
          <reference field="4294967294" count="1" selected="0">
            <x v="0"/>
          </reference>
          <reference field="1" count="1" selected="0">
            <x v="17"/>
          </reference>
          <reference field="6" count="1" selected="0">
            <x v="59"/>
          </reference>
        </references>
      </pivotArea>
    </chartFormat>
    <chartFormat chart="23" format="1604">
      <pivotArea type="data" outline="0" fieldPosition="0">
        <references count="3">
          <reference field="4294967294" count="1" selected="0">
            <x v="0"/>
          </reference>
          <reference field="1" count="1" selected="0">
            <x v="18"/>
          </reference>
          <reference field="6" count="1" selected="0">
            <x v="59"/>
          </reference>
        </references>
      </pivotArea>
    </chartFormat>
    <chartFormat chart="23" format="1605">
      <pivotArea type="data" outline="0" fieldPosition="0">
        <references count="3">
          <reference field="4294967294" count="1" selected="0">
            <x v="0"/>
          </reference>
          <reference field="1" count="1" selected="0">
            <x v="19"/>
          </reference>
          <reference field="6" count="1" selected="0">
            <x v="59"/>
          </reference>
        </references>
      </pivotArea>
    </chartFormat>
    <chartFormat chart="23" format="1606">
      <pivotArea type="data" outline="0" fieldPosition="0">
        <references count="3">
          <reference field="4294967294" count="1" selected="0">
            <x v="0"/>
          </reference>
          <reference field="1" count="1" selected="0">
            <x v="24"/>
          </reference>
          <reference field="6" count="1" selected="0">
            <x v="59"/>
          </reference>
        </references>
      </pivotArea>
    </chartFormat>
    <chartFormat chart="23" format="1607">
      <pivotArea type="data" outline="0" fieldPosition="0">
        <references count="3">
          <reference field="4294967294" count="1" selected="0">
            <x v="0"/>
          </reference>
          <reference field="1" count="1" selected="0">
            <x v="25"/>
          </reference>
          <reference field="6" count="1" selected="0">
            <x v="59"/>
          </reference>
        </references>
      </pivotArea>
    </chartFormat>
    <chartFormat chart="23" format="1608">
      <pivotArea type="data" outline="0" fieldPosition="0">
        <references count="3">
          <reference field="4294967294" count="1" selected="0">
            <x v="0"/>
          </reference>
          <reference field="1" count="1" selected="0">
            <x v="29"/>
          </reference>
          <reference field="6" count="1" selected="0">
            <x v="59"/>
          </reference>
        </references>
      </pivotArea>
    </chartFormat>
    <chartFormat chart="23" format="1609">
      <pivotArea type="data" outline="0" fieldPosition="0">
        <references count="3">
          <reference field="4294967294" count="1" selected="0">
            <x v="0"/>
          </reference>
          <reference field="1" count="1" selected="0">
            <x v="30"/>
          </reference>
          <reference field="6" count="1" selected="0">
            <x v="59"/>
          </reference>
        </references>
      </pivotArea>
    </chartFormat>
    <chartFormat chart="23" format="1610">
      <pivotArea type="data" outline="0" fieldPosition="0">
        <references count="3">
          <reference field="4294967294" count="1" selected="0">
            <x v="0"/>
          </reference>
          <reference field="1" count="1" selected="0">
            <x v="31"/>
          </reference>
          <reference field="6" count="1" selected="0">
            <x v="59"/>
          </reference>
        </references>
      </pivotArea>
    </chartFormat>
    <chartFormat chart="23" format="1611">
      <pivotArea type="data" outline="0" fieldPosition="0">
        <references count="3">
          <reference field="4294967294" count="1" selected="0">
            <x v="0"/>
          </reference>
          <reference field="1" count="1" selected="0">
            <x v="32"/>
          </reference>
          <reference field="6" count="1" selected="0">
            <x v="59"/>
          </reference>
        </references>
      </pivotArea>
    </chartFormat>
    <chartFormat chart="23" format="1612">
      <pivotArea type="data" outline="0" fieldPosition="0">
        <references count="3">
          <reference field="4294967294" count="1" selected="0">
            <x v="0"/>
          </reference>
          <reference field="1" count="1" selected="0">
            <x v="33"/>
          </reference>
          <reference field="6" count="1" selected="0">
            <x v="59"/>
          </reference>
        </references>
      </pivotArea>
    </chartFormat>
    <chartFormat chart="23" format="1613">
      <pivotArea type="data" outline="0" fieldPosition="0">
        <references count="3">
          <reference field="4294967294" count="1" selected="0">
            <x v="0"/>
          </reference>
          <reference field="1" count="1" selected="0">
            <x v="34"/>
          </reference>
          <reference field="6" count="1" selected="0">
            <x v="59"/>
          </reference>
        </references>
      </pivotArea>
    </chartFormat>
    <chartFormat chart="23" format="1614">
      <pivotArea type="data" outline="0" fieldPosition="0">
        <references count="3">
          <reference field="4294967294" count="1" selected="0">
            <x v="0"/>
          </reference>
          <reference field="1" count="1" selected="0">
            <x v="35"/>
          </reference>
          <reference field="6" count="1" selected="0">
            <x v="59"/>
          </reference>
        </references>
      </pivotArea>
    </chartFormat>
    <chartFormat chart="23" format="1615">
      <pivotArea type="data" outline="0" fieldPosition="0">
        <references count="3">
          <reference field="4294967294" count="1" selected="0">
            <x v="0"/>
          </reference>
          <reference field="1" count="1" selected="0">
            <x v="36"/>
          </reference>
          <reference field="6" count="1" selected="0">
            <x v="59"/>
          </reference>
        </references>
      </pivotArea>
    </chartFormat>
    <chartFormat chart="23" format="1616">
      <pivotArea type="data" outline="0" fieldPosition="0">
        <references count="3">
          <reference field="4294967294" count="1" selected="0">
            <x v="0"/>
          </reference>
          <reference field="1" count="1" selected="0">
            <x v="37"/>
          </reference>
          <reference field="6" count="1" selected="0">
            <x v="59"/>
          </reference>
        </references>
      </pivotArea>
    </chartFormat>
    <chartFormat chart="23" format="1617">
      <pivotArea type="data" outline="0" fieldPosition="0">
        <references count="3">
          <reference field="4294967294" count="1" selected="0">
            <x v="0"/>
          </reference>
          <reference field="1" count="1" selected="0">
            <x v="38"/>
          </reference>
          <reference field="6" count="1" selected="0">
            <x v="59"/>
          </reference>
        </references>
      </pivotArea>
    </chartFormat>
    <chartFormat chart="23" format="1618">
      <pivotArea type="data" outline="0" fieldPosition="0">
        <references count="3">
          <reference field="4294967294" count="1" selected="0">
            <x v="0"/>
          </reference>
          <reference field="1" count="1" selected="0">
            <x v="39"/>
          </reference>
          <reference field="6" count="1" selected="0">
            <x v="59"/>
          </reference>
        </references>
      </pivotArea>
    </chartFormat>
    <chartFormat chart="23" format="1619">
      <pivotArea type="data" outline="0" fieldPosition="0">
        <references count="3">
          <reference field="4294967294" count="1" selected="0">
            <x v="0"/>
          </reference>
          <reference field="1" count="1" selected="0">
            <x v="40"/>
          </reference>
          <reference field="6" count="1" selected="0">
            <x v="59"/>
          </reference>
        </references>
      </pivotArea>
    </chartFormat>
    <chartFormat chart="23" format="1620">
      <pivotArea type="data" outline="0" fieldPosition="0">
        <references count="3">
          <reference field="4294967294" count="1" selected="0">
            <x v="0"/>
          </reference>
          <reference field="1" count="1" selected="0">
            <x v="41"/>
          </reference>
          <reference field="6" count="1" selected="0">
            <x v="59"/>
          </reference>
        </references>
      </pivotArea>
    </chartFormat>
    <chartFormat chart="23" format="1621">
      <pivotArea type="data" outline="0" fieldPosition="0">
        <references count="3">
          <reference field="4294967294" count="1" selected="0">
            <x v="0"/>
          </reference>
          <reference field="1" count="1" selected="0">
            <x v="42"/>
          </reference>
          <reference field="6" count="1" selected="0">
            <x v="59"/>
          </reference>
        </references>
      </pivotArea>
    </chartFormat>
    <chartFormat chart="23" format="1622">
      <pivotArea type="data" outline="0" fieldPosition="0">
        <references count="3">
          <reference field="4294967294" count="1" selected="0">
            <x v="0"/>
          </reference>
          <reference field="1" count="1" selected="0">
            <x v="43"/>
          </reference>
          <reference field="6" count="1" selected="0">
            <x v="59"/>
          </reference>
        </references>
      </pivotArea>
    </chartFormat>
    <chartFormat chart="23" format="1623">
      <pivotArea type="data" outline="0" fieldPosition="0">
        <references count="3">
          <reference field="4294967294" count="1" selected="0">
            <x v="0"/>
          </reference>
          <reference field="1" count="1" selected="0">
            <x v="44"/>
          </reference>
          <reference field="6" count="1" selected="0">
            <x v="59"/>
          </reference>
        </references>
      </pivotArea>
    </chartFormat>
    <chartFormat chart="23" format="1624">
      <pivotArea type="data" outline="0" fieldPosition="0">
        <references count="3">
          <reference field="4294967294" count="1" selected="0">
            <x v="0"/>
          </reference>
          <reference field="1" count="1" selected="0">
            <x v="45"/>
          </reference>
          <reference field="6" count="1" selected="0">
            <x v="59"/>
          </reference>
        </references>
      </pivotArea>
    </chartFormat>
    <chartFormat chart="23" format="1625">
      <pivotArea type="data" outline="0" fieldPosition="0">
        <references count="3">
          <reference field="4294967294" count="1" selected="0">
            <x v="0"/>
          </reference>
          <reference field="1" count="1" selected="0">
            <x v="5"/>
          </reference>
          <reference field="6" count="1" selected="0">
            <x v="60"/>
          </reference>
        </references>
      </pivotArea>
    </chartFormat>
    <chartFormat chart="23" format="1626">
      <pivotArea type="data" outline="0" fieldPosition="0">
        <references count="3">
          <reference field="4294967294" count="1" selected="0">
            <x v="0"/>
          </reference>
          <reference field="1" count="1" selected="0">
            <x v="11"/>
          </reference>
          <reference field="6" count="1" selected="0">
            <x v="60"/>
          </reference>
        </references>
      </pivotArea>
    </chartFormat>
    <chartFormat chart="23" format="1627">
      <pivotArea type="data" outline="0" fieldPosition="0">
        <references count="3">
          <reference field="4294967294" count="1" selected="0">
            <x v="0"/>
          </reference>
          <reference field="1" count="1" selected="0">
            <x v="17"/>
          </reference>
          <reference field="6" count="1" selected="0">
            <x v="60"/>
          </reference>
        </references>
      </pivotArea>
    </chartFormat>
    <chartFormat chart="23" format="1628">
      <pivotArea type="data" outline="0" fieldPosition="0">
        <references count="3">
          <reference field="4294967294" count="1" selected="0">
            <x v="0"/>
          </reference>
          <reference field="1" count="1" selected="0">
            <x v="18"/>
          </reference>
          <reference field="6" count="1" selected="0">
            <x v="60"/>
          </reference>
        </references>
      </pivotArea>
    </chartFormat>
    <chartFormat chart="23" format="1629">
      <pivotArea type="data" outline="0" fieldPosition="0">
        <references count="3">
          <reference field="4294967294" count="1" selected="0">
            <x v="0"/>
          </reference>
          <reference field="1" count="1" selected="0">
            <x v="19"/>
          </reference>
          <reference field="6" count="1" selected="0">
            <x v="60"/>
          </reference>
        </references>
      </pivotArea>
    </chartFormat>
    <chartFormat chart="23" format="1630">
      <pivotArea type="data" outline="0" fieldPosition="0">
        <references count="3">
          <reference field="4294967294" count="1" selected="0">
            <x v="0"/>
          </reference>
          <reference field="1" count="1" selected="0">
            <x v="24"/>
          </reference>
          <reference field="6" count="1" selected="0">
            <x v="60"/>
          </reference>
        </references>
      </pivotArea>
    </chartFormat>
    <chartFormat chart="23" format="1631">
      <pivotArea type="data" outline="0" fieldPosition="0">
        <references count="3">
          <reference field="4294967294" count="1" selected="0">
            <x v="0"/>
          </reference>
          <reference field="1" count="1" selected="0">
            <x v="25"/>
          </reference>
          <reference field="6" count="1" selected="0">
            <x v="60"/>
          </reference>
        </references>
      </pivotArea>
    </chartFormat>
    <chartFormat chart="23" format="1632">
      <pivotArea type="data" outline="0" fieldPosition="0">
        <references count="3">
          <reference field="4294967294" count="1" selected="0">
            <x v="0"/>
          </reference>
          <reference field="1" count="1" selected="0">
            <x v="29"/>
          </reference>
          <reference field="6" count="1" selected="0">
            <x v="60"/>
          </reference>
        </references>
      </pivotArea>
    </chartFormat>
    <chartFormat chart="23" format="1633">
      <pivotArea type="data" outline="0" fieldPosition="0">
        <references count="3">
          <reference field="4294967294" count="1" selected="0">
            <x v="0"/>
          </reference>
          <reference field="1" count="1" selected="0">
            <x v="30"/>
          </reference>
          <reference field="6" count="1" selected="0">
            <x v="60"/>
          </reference>
        </references>
      </pivotArea>
    </chartFormat>
    <chartFormat chart="23" format="1634">
      <pivotArea type="data" outline="0" fieldPosition="0">
        <references count="3">
          <reference field="4294967294" count="1" selected="0">
            <x v="0"/>
          </reference>
          <reference field="1" count="1" selected="0">
            <x v="31"/>
          </reference>
          <reference field="6" count="1" selected="0">
            <x v="60"/>
          </reference>
        </references>
      </pivotArea>
    </chartFormat>
    <chartFormat chart="23" format="1635">
      <pivotArea type="data" outline="0" fieldPosition="0">
        <references count="3">
          <reference field="4294967294" count="1" selected="0">
            <x v="0"/>
          </reference>
          <reference field="1" count="1" selected="0">
            <x v="32"/>
          </reference>
          <reference field="6" count="1" selected="0">
            <x v="60"/>
          </reference>
        </references>
      </pivotArea>
    </chartFormat>
    <chartFormat chart="23" format="1636">
      <pivotArea type="data" outline="0" fieldPosition="0">
        <references count="3">
          <reference field="4294967294" count="1" selected="0">
            <x v="0"/>
          </reference>
          <reference field="1" count="1" selected="0">
            <x v="33"/>
          </reference>
          <reference field="6" count="1" selected="0">
            <x v="60"/>
          </reference>
        </references>
      </pivotArea>
    </chartFormat>
    <chartFormat chart="23" format="1637">
      <pivotArea type="data" outline="0" fieldPosition="0">
        <references count="3">
          <reference field="4294967294" count="1" selected="0">
            <x v="0"/>
          </reference>
          <reference field="1" count="1" selected="0">
            <x v="34"/>
          </reference>
          <reference field="6" count="1" selected="0">
            <x v="60"/>
          </reference>
        </references>
      </pivotArea>
    </chartFormat>
    <chartFormat chart="23" format="1638">
      <pivotArea type="data" outline="0" fieldPosition="0">
        <references count="3">
          <reference field="4294967294" count="1" selected="0">
            <x v="0"/>
          </reference>
          <reference field="1" count="1" selected="0">
            <x v="35"/>
          </reference>
          <reference field="6" count="1" selected="0">
            <x v="60"/>
          </reference>
        </references>
      </pivotArea>
    </chartFormat>
    <chartFormat chart="23" format="1639">
      <pivotArea type="data" outline="0" fieldPosition="0">
        <references count="3">
          <reference field="4294967294" count="1" selected="0">
            <x v="0"/>
          </reference>
          <reference field="1" count="1" selected="0">
            <x v="36"/>
          </reference>
          <reference field="6" count="1" selected="0">
            <x v="60"/>
          </reference>
        </references>
      </pivotArea>
    </chartFormat>
    <chartFormat chart="23" format="1640">
      <pivotArea type="data" outline="0" fieldPosition="0">
        <references count="3">
          <reference field="4294967294" count="1" selected="0">
            <x v="0"/>
          </reference>
          <reference field="1" count="1" selected="0">
            <x v="37"/>
          </reference>
          <reference field="6" count="1" selected="0">
            <x v="60"/>
          </reference>
        </references>
      </pivotArea>
    </chartFormat>
    <chartFormat chart="23" format="1641">
      <pivotArea type="data" outline="0" fieldPosition="0">
        <references count="3">
          <reference field="4294967294" count="1" selected="0">
            <x v="0"/>
          </reference>
          <reference field="1" count="1" selected="0">
            <x v="38"/>
          </reference>
          <reference field="6" count="1" selected="0">
            <x v="60"/>
          </reference>
        </references>
      </pivotArea>
    </chartFormat>
    <chartFormat chart="23" format="1642">
      <pivotArea type="data" outline="0" fieldPosition="0">
        <references count="3">
          <reference field="4294967294" count="1" selected="0">
            <x v="0"/>
          </reference>
          <reference field="1" count="1" selected="0">
            <x v="39"/>
          </reference>
          <reference field="6" count="1" selected="0">
            <x v="60"/>
          </reference>
        </references>
      </pivotArea>
    </chartFormat>
    <chartFormat chart="23" format="1643">
      <pivotArea type="data" outline="0" fieldPosition="0">
        <references count="3">
          <reference field="4294967294" count="1" selected="0">
            <x v="0"/>
          </reference>
          <reference field="1" count="1" selected="0">
            <x v="40"/>
          </reference>
          <reference field="6" count="1" selected="0">
            <x v="60"/>
          </reference>
        </references>
      </pivotArea>
    </chartFormat>
    <chartFormat chart="23" format="1644">
      <pivotArea type="data" outline="0" fieldPosition="0">
        <references count="3">
          <reference field="4294967294" count="1" selected="0">
            <x v="0"/>
          </reference>
          <reference field="1" count="1" selected="0">
            <x v="41"/>
          </reference>
          <reference field="6" count="1" selected="0">
            <x v="60"/>
          </reference>
        </references>
      </pivotArea>
    </chartFormat>
    <chartFormat chart="23" format="1645">
      <pivotArea type="data" outline="0" fieldPosition="0">
        <references count="3">
          <reference field="4294967294" count="1" selected="0">
            <x v="0"/>
          </reference>
          <reference field="1" count="1" selected="0">
            <x v="42"/>
          </reference>
          <reference field="6" count="1" selected="0">
            <x v="60"/>
          </reference>
        </references>
      </pivotArea>
    </chartFormat>
    <chartFormat chart="23" format="1646">
      <pivotArea type="data" outline="0" fieldPosition="0">
        <references count="3">
          <reference field="4294967294" count="1" selected="0">
            <x v="0"/>
          </reference>
          <reference field="1" count="1" selected="0">
            <x v="43"/>
          </reference>
          <reference field="6" count="1" selected="0">
            <x v="60"/>
          </reference>
        </references>
      </pivotArea>
    </chartFormat>
    <chartFormat chart="23" format="1647">
      <pivotArea type="data" outline="0" fieldPosition="0">
        <references count="3">
          <reference field="4294967294" count="1" selected="0">
            <x v="0"/>
          </reference>
          <reference field="1" count="1" selected="0">
            <x v="44"/>
          </reference>
          <reference field="6" count="1" selected="0">
            <x v="60"/>
          </reference>
        </references>
      </pivotArea>
    </chartFormat>
    <chartFormat chart="23" format="1648">
      <pivotArea type="data" outline="0" fieldPosition="0">
        <references count="3">
          <reference field="4294967294" count="1" selected="0">
            <x v="0"/>
          </reference>
          <reference field="1" count="1" selected="0">
            <x v="45"/>
          </reference>
          <reference field="6" count="1" selected="0">
            <x v="60"/>
          </reference>
        </references>
      </pivotArea>
    </chartFormat>
    <chartFormat chart="23" format="1649">
      <pivotArea type="data" outline="0" fieldPosition="0">
        <references count="3">
          <reference field="4294967294" count="1" selected="0">
            <x v="0"/>
          </reference>
          <reference field="1" count="1" selected="0">
            <x v="5"/>
          </reference>
          <reference field="6" count="1" selected="0">
            <x v="61"/>
          </reference>
        </references>
      </pivotArea>
    </chartFormat>
    <chartFormat chart="23" format="1650">
      <pivotArea type="data" outline="0" fieldPosition="0">
        <references count="3">
          <reference field="4294967294" count="1" selected="0">
            <x v="0"/>
          </reference>
          <reference field="1" count="1" selected="0">
            <x v="11"/>
          </reference>
          <reference field="6" count="1" selected="0">
            <x v="61"/>
          </reference>
        </references>
      </pivotArea>
    </chartFormat>
    <chartFormat chart="23" format="1651">
      <pivotArea type="data" outline="0" fieldPosition="0">
        <references count="3">
          <reference field="4294967294" count="1" selected="0">
            <x v="0"/>
          </reference>
          <reference field="1" count="1" selected="0">
            <x v="17"/>
          </reference>
          <reference field="6" count="1" selected="0">
            <x v="61"/>
          </reference>
        </references>
      </pivotArea>
    </chartFormat>
    <chartFormat chart="23" format="1652">
      <pivotArea type="data" outline="0" fieldPosition="0">
        <references count="3">
          <reference field="4294967294" count="1" selected="0">
            <x v="0"/>
          </reference>
          <reference field="1" count="1" selected="0">
            <x v="18"/>
          </reference>
          <reference field="6" count="1" selected="0">
            <x v="61"/>
          </reference>
        </references>
      </pivotArea>
    </chartFormat>
    <chartFormat chart="23" format="1653">
      <pivotArea type="data" outline="0" fieldPosition="0">
        <references count="3">
          <reference field="4294967294" count="1" selected="0">
            <x v="0"/>
          </reference>
          <reference field="1" count="1" selected="0">
            <x v="19"/>
          </reference>
          <reference field="6" count="1" selected="0">
            <x v="61"/>
          </reference>
        </references>
      </pivotArea>
    </chartFormat>
    <chartFormat chart="23" format="1654">
      <pivotArea type="data" outline="0" fieldPosition="0">
        <references count="3">
          <reference field="4294967294" count="1" selected="0">
            <x v="0"/>
          </reference>
          <reference field="1" count="1" selected="0">
            <x v="24"/>
          </reference>
          <reference field="6" count="1" selected="0">
            <x v="61"/>
          </reference>
        </references>
      </pivotArea>
    </chartFormat>
    <chartFormat chart="23" format="1655">
      <pivotArea type="data" outline="0" fieldPosition="0">
        <references count="3">
          <reference field="4294967294" count="1" selected="0">
            <x v="0"/>
          </reference>
          <reference field="1" count="1" selected="0">
            <x v="25"/>
          </reference>
          <reference field="6" count="1" selected="0">
            <x v="61"/>
          </reference>
        </references>
      </pivotArea>
    </chartFormat>
    <chartFormat chart="23" format="1656">
      <pivotArea type="data" outline="0" fieldPosition="0">
        <references count="3">
          <reference field="4294967294" count="1" selected="0">
            <x v="0"/>
          </reference>
          <reference field="1" count="1" selected="0">
            <x v="29"/>
          </reference>
          <reference field="6" count="1" selected="0">
            <x v="61"/>
          </reference>
        </references>
      </pivotArea>
    </chartFormat>
    <chartFormat chart="23" format="1657">
      <pivotArea type="data" outline="0" fieldPosition="0">
        <references count="3">
          <reference field="4294967294" count="1" selected="0">
            <x v="0"/>
          </reference>
          <reference field="1" count="1" selected="0">
            <x v="30"/>
          </reference>
          <reference field="6" count="1" selected="0">
            <x v="61"/>
          </reference>
        </references>
      </pivotArea>
    </chartFormat>
    <chartFormat chart="23" format="1658">
      <pivotArea type="data" outline="0" fieldPosition="0">
        <references count="3">
          <reference field="4294967294" count="1" selected="0">
            <x v="0"/>
          </reference>
          <reference field="1" count="1" selected="0">
            <x v="31"/>
          </reference>
          <reference field="6" count="1" selected="0">
            <x v="61"/>
          </reference>
        </references>
      </pivotArea>
    </chartFormat>
    <chartFormat chart="23" format="1659">
      <pivotArea type="data" outline="0" fieldPosition="0">
        <references count="3">
          <reference field="4294967294" count="1" selected="0">
            <x v="0"/>
          </reference>
          <reference field="1" count="1" selected="0">
            <x v="32"/>
          </reference>
          <reference field="6" count="1" selected="0">
            <x v="61"/>
          </reference>
        </references>
      </pivotArea>
    </chartFormat>
    <chartFormat chart="23" format="1660">
      <pivotArea type="data" outline="0" fieldPosition="0">
        <references count="3">
          <reference field="4294967294" count="1" selected="0">
            <x v="0"/>
          </reference>
          <reference field="1" count="1" selected="0">
            <x v="33"/>
          </reference>
          <reference field="6" count="1" selected="0">
            <x v="61"/>
          </reference>
        </references>
      </pivotArea>
    </chartFormat>
    <chartFormat chart="23" format="1661">
      <pivotArea type="data" outline="0" fieldPosition="0">
        <references count="3">
          <reference field="4294967294" count="1" selected="0">
            <x v="0"/>
          </reference>
          <reference field="1" count="1" selected="0">
            <x v="34"/>
          </reference>
          <reference field="6" count="1" selected="0">
            <x v="61"/>
          </reference>
        </references>
      </pivotArea>
    </chartFormat>
    <chartFormat chart="23" format="1662">
      <pivotArea type="data" outline="0" fieldPosition="0">
        <references count="3">
          <reference field="4294967294" count="1" selected="0">
            <x v="0"/>
          </reference>
          <reference field="1" count="1" selected="0">
            <x v="35"/>
          </reference>
          <reference field="6" count="1" selected="0">
            <x v="61"/>
          </reference>
        </references>
      </pivotArea>
    </chartFormat>
    <chartFormat chart="23" format="1663">
      <pivotArea type="data" outline="0" fieldPosition="0">
        <references count="3">
          <reference field="4294967294" count="1" selected="0">
            <x v="0"/>
          </reference>
          <reference field="1" count="1" selected="0">
            <x v="36"/>
          </reference>
          <reference field="6" count="1" selected="0">
            <x v="61"/>
          </reference>
        </references>
      </pivotArea>
    </chartFormat>
    <chartFormat chart="23" format="1664">
      <pivotArea type="data" outline="0" fieldPosition="0">
        <references count="3">
          <reference field="4294967294" count="1" selected="0">
            <x v="0"/>
          </reference>
          <reference field="1" count="1" selected="0">
            <x v="37"/>
          </reference>
          <reference field="6" count="1" selected="0">
            <x v="61"/>
          </reference>
        </references>
      </pivotArea>
    </chartFormat>
    <chartFormat chart="23" format="1665">
      <pivotArea type="data" outline="0" fieldPosition="0">
        <references count="3">
          <reference field="4294967294" count="1" selected="0">
            <x v="0"/>
          </reference>
          <reference field="1" count="1" selected="0">
            <x v="38"/>
          </reference>
          <reference field="6" count="1" selected="0">
            <x v="61"/>
          </reference>
        </references>
      </pivotArea>
    </chartFormat>
    <chartFormat chart="23" format="1666">
      <pivotArea type="data" outline="0" fieldPosition="0">
        <references count="3">
          <reference field="4294967294" count="1" selected="0">
            <x v="0"/>
          </reference>
          <reference field="1" count="1" selected="0">
            <x v="39"/>
          </reference>
          <reference field="6" count="1" selected="0">
            <x v="61"/>
          </reference>
        </references>
      </pivotArea>
    </chartFormat>
    <chartFormat chart="23" format="1667">
      <pivotArea type="data" outline="0" fieldPosition="0">
        <references count="3">
          <reference field="4294967294" count="1" selected="0">
            <x v="0"/>
          </reference>
          <reference field="1" count="1" selected="0">
            <x v="40"/>
          </reference>
          <reference field="6" count="1" selected="0">
            <x v="61"/>
          </reference>
        </references>
      </pivotArea>
    </chartFormat>
    <chartFormat chart="23" format="1668">
      <pivotArea type="data" outline="0" fieldPosition="0">
        <references count="3">
          <reference field="4294967294" count="1" selected="0">
            <x v="0"/>
          </reference>
          <reference field="1" count="1" selected="0">
            <x v="41"/>
          </reference>
          <reference field="6" count="1" selected="0">
            <x v="61"/>
          </reference>
        </references>
      </pivotArea>
    </chartFormat>
    <chartFormat chart="23" format="1669">
      <pivotArea type="data" outline="0" fieldPosition="0">
        <references count="3">
          <reference field="4294967294" count="1" selected="0">
            <x v="0"/>
          </reference>
          <reference field="1" count="1" selected="0">
            <x v="42"/>
          </reference>
          <reference field="6" count="1" selected="0">
            <x v="61"/>
          </reference>
        </references>
      </pivotArea>
    </chartFormat>
    <chartFormat chart="23" format="1670">
      <pivotArea type="data" outline="0" fieldPosition="0">
        <references count="3">
          <reference field="4294967294" count="1" selected="0">
            <x v="0"/>
          </reference>
          <reference field="1" count="1" selected="0">
            <x v="43"/>
          </reference>
          <reference field="6" count="1" selected="0">
            <x v="61"/>
          </reference>
        </references>
      </pivotArea>
    </chartFormat>
    <chartFormat chart="23" format="1671">
      <pivotArea type="data" outline="0" fieldPosition="0">
        <references count="3">
          <reference field="4294967294" count="1" selected="0">
            <x v="0"/>
          </reference>
          <reference field="1" count="1" selected="0">
            <x v="44"/>
          </reference>
          <reference field="6" count="1" selected="0">
            <x v="61"/>
          </reference>
        </references>
      </pivotArea>
    </chartFormat>
    <chartFormat chart="23" format="1672">
      <pivotArea type="data" outline="0" fieldPosition="0">
        <references count="3">
          <reference field="4294967294" count="1" selected="0">
            <x v="0"/>
          </reference>
          <reference field="1" count="1" selected="0">
            <x v="45"/>
          </reference>
          <reference field="6" count="1" selected="0">
            <x v="61"/>
          </reference>
        </references>
      </pivotArea>
    </chartFormat>
    <chartFormat chart="23" format="1673">
      <pivotArea type="data" outline="0" fieldPosition="0">
        <references count="3">
          <reference field="4294967294" count="1" selected="0">
            <x v="0"/>
          </reference>
          <reference field="1" count="1" selected="0">
            <x v="5"/>
          </reference>
          <reference field="6" count="1" selected="0">
            <x v="62"/>
          </reference>
        </references>
      </pivotArea>
    </chartFormat>
    <chartFormat chart="23" format="1674">
      <pivotArea type="data" outline="0" fieldPosition="0">
        <references count="3">
          <reference field="4294967294" count="1" selected="0">
            <x v="0"/>
          </reference>
          <reference field="1" count="1" selected="0">
            <x v="11"/>
          </reference>
          <reference field="6" count="1" selected="0">
            <x v="62"/>
          </reference>
        </references>
      </pivotArea>
    </chartFormat>
    <chartFormat chart="23" format="1675">
      <pivotArea type="data" outline="0" fieldPosition="0">
        <references count="3">
          <reference field="4294967294" count="1" selected="0">
            <x v="0"/>
          </reference>
          <reference field="1" count="1" selected="0">
            <x v="17"/>
          </reference>
          <reference field="6" count="1" selected="0">
            <x v="62"/>
          </reference>
        </references>
      </pivotArea>
    </chartFormat>
    <chartFormat chart="23" format="1676">
      <pivotArea type="data" outline="0" fieldPosition="0">
        <references count="3">
          <reference field="4294967294" count="1" selected="0">
            <x v="0"/>
          </reference>
          <reference field="1" count="1" selected="0">
            <x v="18"/>
          </reference>
          <reference field="6" count="1" selected="0">
            <x v="62"/>
          </reference>
        </references>
      </pivotArea>
    </chartFormat>
    <chartFormat chart="23" format="1677">
      <pivotArea type="data" outline="0" fieldPosition="0">
        <references count="3">
          <reference field="4294967294" count="1" selected="0">
            <x v="0"/>
          </reference>
          <reference field="1" count="1" selected="0">
            <x v="19"/>
          </reference>
          <reference field="6" count="1" selected="0">
            <x v="62"/>
          </reference>
        </references>
      </pivotArea>
    </chartFormat>
    <chartFormat chart="23" format="1678">
      <pivotArea type="data" outline="0" fieldPosition="0">
        <references count="3">
          <reference field="4294967294" count="1" selected="0">
            <x v="0"/>
          </reference>
          <reference field="1" count="1" selected="0">
            <x v="24"/>
          </reference>
          <reference field="6" count="1" selected="0">
            <x v="62"/>
          </reference>
        </references>
      </pivotArea>
    </chartFormat>
    <chartFormat chart="23" format="1679">
      <pivotArea type="data" outline="0" fieldPosition="0">
        <references count="3">
          <reference field="4294967294" count="1" selected="0">
            <x v="0"/>
          </reference>
          <reference field="1" count="1" selected="0">
            <x v="25"/>
          </reference>
          <reference field="6" count="1" selected="0">
            <x v="62"/>
          </reference>
        </references>
      </pivotArea>
    </chartFormat>
    <chartFormat chart="23" format="1680">
      <pivotArea type="data" outline="0" fieldPosition="0">
        <references count="3">
          <reference field="4294967294" count="1" selected="0">
            <x v="0"/>
          </reference>
          <reference field="1" count="1" selected="0">
            <x v="29"/>
          </reference>
          <reference field="6" count="1" selected="0">
            <x v="62"/>
          </reference>
        </references>
      </pivotArea>
    </chartFormat>
    <chartFormat chart="23" format="1681">
      <pivotArea type="data" outline="0" fieldPosition="0">
        <references count="3">
          <reference field="4294967294" count="1" selected="0">
            <x v="0"/>
          </reference>
          <reference field="1" count="1" selected="0">
            <x v="30"/>
          </reference>
          <reference field="6" count="1" selected="0">
            <x v="62"/>
          </reference>
        </references>
      </pivotArea>
    </chartFormat>
    <chartFormat chart="23" format="1682">
      <pivotArea type="data" outline="0" fieldPosition="0">
        <references count="3">
          <reference field="4294967294" count="1" selected="0">
            <x v="0"/>
          </reference>
          <reference field="1" count="1" selected="0">
            <x v="31"/>
          </reference>
          <reference field="6" count="1" selected="0">
            <x v="62"/>
          </reference>
        </references>
      </pivotArea>
    </chartFormat>
    <chartFormat chart="23" format="1683">
      <pivotArea type="data" outline="0" fieldPosition="0">
        <references count="3">
          <reference field="4294967294" count="1" selected="0">
            <x v="0"/>
          </reference>
          <reference field="1" count="1" selected="0">
            <x v="32"/>
          </reference>
          <reference field="6" count="1" selected="0">
            <x v="62"/>
          </reference>
        </references>
      </pivotArea>
    </chartFormat>
    <chartFormat chart="23" format="1684">
      <pivotArea type="data" outline="0" fieldPosition="0">
        <references count="3">
          <reference field="4294967294" count="1" selected="0">
            <x v="0"/>
          </reference>
          <reference field="1" count="1" selected="0">
            <x v="33"/>
          </reference>
          <reference field="6" count="1" selected="0">
            <x v="62"/>
          </reference>
        </references>
      </pivotArea>
    </chartFormat>
    <chartFormat chart="23" format="1685">
      <pivotArea type="data" outline="0" fieldPosition="0">
        <references count="3">
          <reference field="4294967294" count="1" selected="0">
            <x v="0"/>
          </reference>
          <reference field="1" count="1" selected="0">
            <x v="34"/>
          </reference>
          <reference field="6" count="1" selected="0">
            <x v="62"/>
          </reference>
        </references>
      </pivotArea>
    </chartFormat>
    <chartFormat chart="23" format="1686">
      <pivotArea type="data" outline="0" fieldPosition="0">
        <references count="3">
          <reference field="4294967294" count="1" selected="0">
            <x v="0"/>
          </reference>
          <reference field="1" count="1" selected="0">
            <x v="35"/>
          </reference>
          <reference field="6" count="1" selected="0">
            <x v="62"/>
          </reference>
        </references>
      </pivotArea>
    </chartFormat>
    <chartFormat chart="23" format="1687">
      <pivotArea type="data" outline="0" fieldPosition="0">
        <references count="3">
          <reference field="4294967294" count="1" selected="0">
            <x v="0"/>
          </reference>
          <reference field="1" count="1" selected="0">
            <x v="36"/>
          </reference>
          <reference field="6" count="1" selected="0">
            <x v="62"/>
          </reference>
        </references>
      </pivotArea>
    </chartFormat>
    <chartFormat chart="23" format="1688">
      <pivotArea type="data" outline="0" fieldPosition="0">
        <references count="3">
          <reference field="4294967294" count="1" selected="0">
            <x v="0"/>
          </reference>
          <reference field="1" count="1" selected="0">
            <x v="37"/>
          </reference>
          <reference field="6" count="1" selected="0">
            <x v="62"/>
          </reference>
        </references>
      </pivotArea>
    </chartFormat>
    <chartFormat chart="23" format="1689">
      <pivotArea type="data" outline="0" fieldPosition="0">
        <references count="3">
          <reference field="4294967294" count="1" selected="0">
            <x v="0"/>
          </reference>
          <reference field="1" count="1" selected="0">
            <x v="38"/>
          </reference>
          <reference field="6" count="1" selected="0">
            <x v="62"/>
          </reference>
        </references>
      </pivotArea>
    </chartFormat>
    <chartFormat chart="23" format="1690">
      <pivotArea type="data" outline="0" fieldPosition="0">
        <references count="3">
          <reference field="4294967294" count="1" selected="0">
            <x v="0"/>
          </reference>
          <reference field="1" count="1" selected="0">
            <x v="39"/>
          </reference>
          <reference field="6" count="1" selected="0">
            <x v="62"/>
          </reference>
        </references>
      </pivotArea>
    </chartFormat>
    <chartFormat chart="23" format="1691">
      <pivotArea type="data" outline="0" fieldPosition="0">
        <references count="3">
          <reference field="4294967294" count="1" selected="0">
            <x v="0"/>
          </reference>
          <reference field="1" count="1" selected="0">
            <x v="40"/>
          </reference>
          <reference field="6" count="1" selected="0">
            <x v="62"/>
          </reference>
        </references>
      </pivotArea>
    </chartFormat>
    <chartFormat chart="23" format="1692">
      <pivotArea type="data" outline="0" fieldPosition="0">
        <references count="3">
          <reference field="4294967294" count="1" selected="0">
            <x v="0"/>
          </reference>
          <reference field="1" count="1" selected="0">
            <x v="41"/>
          </reference>
          <reference field="6" count="1" selected="0">
            <x v="62"/>
          </reference>
        </references>
      </pivotArea>
    </chartFormat>
    <chartFormat chart="23" format="1693">
      <pivotArea type="data" outline="0" fieldPosition="0">
        <references count="3">
          <reference field="4294967294" count="1" selected="0">
            <x v="0"/>
          </reference>
          <reference field="1" count="1" selected="0">
            <x v="42"/>
          </reference>
          <reference field="6" count="1" selected="0">
            <x v="62"/>
          </reference>
        </references>
      </pivotArea>
    </chartFormat>
    <chartFormat chart="23" format="1694">
      <pivotArea type="data" outline="0" fieldPosition="0">
        <references count="3">
          <reference field="4294967294" count="1" selected="0">
            <x v="0"/>
          </reference>
          <reference field="1" count="1" selected="0">
            <x v="43"/>
          </reference>
          <reference field="6" count="1" selected="0">
            <x v="62"/>
          </reference>
        </references>
      </pivotArea>
    </chartFormat>
    <chartFormat chart="23" format="1695">
      <pivotArea type="data" outline="0" fieldPosition="0">
        <references count="3">
          <reference field="4294967294" count="1" selected="0">
            <x v="0"/>
          </reference>
          <reference field="1" count="1" selected="0">
            <x v="44"/>
          </reference>
          <reference field="6" count="1" selected="0">
            <x v="62"/>
          </reference>
        </references>
      </pivotArea>
    </chartFormat>
    <chartFormat chart="23" format="1696">
      <pivotArea type="data" outline="0" fieldPosition="0">
        <references count="3">
          <reference field="4294967294" count="1" selected="0">
            <x v="0"/>
          </reference>
          <reference field="1" count="1" selected="0">
            <x v="45"/>
          </reference>
          <reference field="6" count="1" selected="0">
            <x v="62"/>
          </reference>
        </references>
      </pivotArea>
    </chartFormat>
    <chartFormat chart="23" format="1697">
      <pivotArea type="data" outline="0" fieldPosition="0">
        <references count="3">
          <reference field="4294967294" count="1" selected="0">
            <x v="0"/>
          </reference>
          <reference field="1" count="1" selected="0">
            <x v="5"/>
          </reference>
          <reference field="6" count="1" selected="0">
            <x v="63"/>
          </reference>
        </references>
      </pivotArea>
    </chartFormat>
    <chartFormat chart="23" format="1698">
      <pivotArea type="data" outline="0" fieldPosition="0">
        <references count="3">
          <reference field="4294967294" count="1" selected="0">
            <x v="0"/>
          </reference>
          <reference field="1" count="1" selected="0">
            <x v="11"/>
          </reference>
          <reference field="6" count="1" selected="0">
            <x v="63"/>
          </reference>
        </references>
      </pivotArea>
    </chartFormat>
    <chartFormat chart="23" format="1699">
      <pivotArea type="data" outline="0" fieldPosition="0">
        <references count="3">
          <reference field="4294967294" count="1" selected="0">
            <x v="0"/>
          </reference>
          <reference field="1" count="1" selected="0">
            <x v="17"/>
          </reference>
          <reference field="6" count="1" selected="0">
            <x v="63"/>
          </reference>
        </references>
      </pivotArea>
    </chartFormat>
    <chartFormat chart="23" format="1700">
      <pivotArea type="data" outline="0" fieldPosition="0">
        <references count="3">
          <reference field="4294967294" count="1" selected="0">
            <x v="0"/>
          </reference>
          <reference field="1" count="1" selected="0">
            <x v="18"/>
          </reference>
          <reference field="6" count="1" selected="0">
            <x v="63"/>
          </reference>
        </references>
      </pivotArea>
    </chartFormat>
    <chartFormat chart="23" format="1701">
      <pivotArea type="data" outline="0" fieldPosition="0">
        <references count="3">
          <reference field="4294967294" count="1" selected="0">
            <x v="0"/>
          </reference>
          <reference field="1" count="1" selected="0">
            <x v="19"/>
          </reference>
          <reference field="6" count="1" selected="0">
            <x v="63"/>
          </reference>
        </references>
      </pivotArea>
    </chartFormat>
    <chartFormat chart="23" format="1702">
      <pivotArea type="data" outline="0" fieldPosition="0">
        <references count="3">
          <reference field="4294967294" count="1" selected="0">
            <x v="0"/>
          </reference>
          <reference field="1" count="1" selected="0">
            <x v="24"/>
          </reference>
          <reference field="6" count="1" selected="0">
            <x v="63"/>
          </reference>
        </references>
      </pivotArea>
    </chartFormat>
    <chartFormat chart="23" format="1703">
      <pivotArea type="data" outline="0" fieldPosition="0">
        <references count="3">
          <reference field="4294967294" count="1" selected="0">
            <x v="0"/>
          </reference>
          <reference field="1" count="1" selected="0">
            <x v="25"/>
          </reference>
          <reference field="6" count="1" selected="0">
            <x v="63"/>
          </reference>
        </references>
      </pivotArea>
    </chartFormat>
    <chartFormat chart="23" format="1704">
      <pivotArea type="data" outline="0" fieldPosition="0">
        <references count="3">
          <reference field="4294967294" count="1" selected="0">
            <x v="0"/>
          </reference>
          <reference field="1" count="1" selected="0">
            <x v="29"/>
          </reference>
          <reference field="6" count="1" selected="0">
            <x v="63"/>
          </reference>
        </references>
      </pivotArea>
    </chartFormat>
    <chartFormat chart="23" format="1705">
      <pivotArea type="data" outline="0" fieldPosition="0">
        <references count="3">
          <reference field="4294967294" count="1" selected="0">
            <x v="0"/>
          </reference>
          <reference field="1" count="1" selected="0">
            <x v="30"/>
          </reference>
          <reference field="6" count="1" selected="0">
            <x v="63"/>
          </reference>
        </references>
      </pivotArea>
    </chartFormat>
    <chartFormat chart="23" format="1706">
      <pivotArea type="data" outline="0" fieldPosition="0">
        <references count="3">
          <reference field="4294967294" count="1" selected="0">
            <x v="0"/>
          </reference>
          <reference field="1" count="1" selected="0">
            <x v="31"/>
          </reference>
          <reference field="6" count="1" selected="0">
            <x v="63"/>
          </reference>
        </references>
      </pivotArea>
    </chartFormat>
    <chartFormat chart="23" format="1707">
      <pivotArea type="data" outline="0" fieldPosition="0">
        <references count="3">
          <reference field="4294967294" count="1" selected="0">
            <x v="0"/>
          </reference>
          <reference field="1" count="1" selected="0">
            <x v="32"/>
          </reference>
          <reference field="6" count="1" selected="0">
            <x v="63"/>
          </reference>
        </references>
      </pivotArea>
    </chartFormat>
    <chartFormat chart="23" format="1708">
      <pivotArea type="data" outline="0" fieldPosition="0">
        <references count="3">
          <reference field="4294967294" count="1" selected="0">
            <x v="0"/>
          </reference>
          <reference field="1" count="1" selected="0">
            <x v="33"/>
          </reference>
          <reference field="6" count="1" selected="0">
            <x v="63"/>
          </reference>
        </references>
      </pivotArea>
    </chartFormat>
    <chartFormat chart="23" format="1709">
      <pivotArea type="data" outline="0" fieldPosition="0">
        <references count="3">
          <reference field="4294967294" count="1" selected="0">
            <x v="0"/>
          </reference>
          <reference field="1" count="1" selected="0">
            <x v="34"/>
          </reference>
          <reference field="6" count="1" selected="0">
            <x v="63"/>
          </reference>
        </references>
      </pivotArea>
    </chartFormat>
    <chartFormat chart="23" format="1710">
      <pivotArea type="data" outline="0" fieldPosition="0">
        <references count="3">
          <reference field="4294967294" count="1" selected="0">
            <x v="0"/>
          </reference>
          <reference field="1" count="1" selected="0">
            <x v="35"/>
          </reference>
          <reference field="6" count="1" selected="0">
            <x v="63"/>
          </reference>
        </references>
      </pivotArea>
    </chartFormat>
    <chartFormat chart="23" format="1711">
      <pivotArea type="data" outline="0" fieldPosition="0">
        <references count="3">
          <reference field="4294967294" count="1" selected="0">
            <x v="0"/>
          </reference>
          <reference field="1" count="1" selected="0">
            <x v="36"/>
          </reference>
          <reference field="6" count="1" selected="0">
            <x v="63"/>
          </reference>
        </references>
      </pivotArea>
    </chartFormat>
    <chartFormat chart="23" format="1712">
      <pivotArea type="data" outline="0" fieldPosition="0">
        <references count="3">
          <reference field="4294967294" count="1" selected="0">
            <x v="0"/>
          </reference>
          <reference field="1" count="1" selected="0">
            <x v="37"/>
          </reference>
          <reference field="6" count="1" selected="0">
            <x v="63"/>
          </reference>
        </references>
      </pivotArea>
    </chartFormat>
    <chartFormat chart="23" format="1713">
      <pivotArea type="data" outline="0" fieldPosition="0">
        <references count="3">
          <reference field="4294967294" count="1" selected="0">
            <x v="0"/>
          </reference>
          <reference field="1" count="1" selected="0">
            <x v="38"/>
          </reference>
          <reference field="6" count="1" selected="0">
            <x v="63"/>
          </reference>
        </references>
      </pivotArea>
    </chartFormat>
    <chartFormat chart="23" format="1714">
      <pivotArea type="data" outline="0" fieldPosition="0">
        <references count="3">
          <reference field="4294967294" count="1" selected="0">
            <x v="0"/>
          </reference>
          <reference field="1" count="1" selected="0">
            <x v="39"/>
          </reference>
          <reference field="6" count="1" selected="0">
            <x v="63"/>
          </reference>
        </references>
      </pivotArea>
    </chartFormat>
    <chartFormat chart="23" format="1715">
      <pivotArea type="data" outline="0" fieldPosition="0">
        <references count="3">
          <reference field="4294967294" count="1" selected="0">
            <x v="0"/>
          </reference>
          <reference field="1" count="1" selected="0">
            <x v="40"/>
          </reference>
          <reference field="6" count="1" selected="0">
            <x v="63"/>
          </reference>
        </references>
      </pivotArea>
    </chartFormat>
    <chartFormat chart="23" format="1716">
      <pivotArea type="data" outline="0" fieldPosition="0">
        <references count="3">
          <reference field="4294967294" count="1" selected="0">
            <x v="0"/>
          </reference>
          <reference field="1" count="1" selected="0">
            <x v="41"/>
          </reference>
          <reference field="6" count="1" selected="0">
            <x v="63"/>
          </reference>
        </references>
      </pivotArea>
    </chartFormat>
    <chartFormat chart="23" format="1717">
      <pivotArea type="data" outline="0" fieldPosition="0">
        <references count="3">
          <reference field="4294967294" count="1" selected="0">
            <x v="0"/>
          </reference>
          <reference field="1" count="1" selected="0">
            <x v="42"/>
          </reference>
          <reference field="6" count="1" selected="0">
            <x v="63"/>
          </reference>
        </references>
      </pivotArea>
    </chartFormat>
    <chartFormat chart="23" format="1718">
      <pivotArea type="data" outline="0" fieldPosition="0">
        <references count="3">
          <reference field="4294967294" count="1" selected="0">
            <x v="0"/>
          </reference>
          <reference field="1" count="1" selected="0">
            <x v="43"/>
          </reference>
          <reference field="6" count="1" selected="0">
            <x v="63"/>
          </reference>
        </references>
      </pivotArea>
    </chartFormat>
    <chartFormat chart="23" format="1719">
      <pivotArea type="data" outline="0" fieldPosition="0">
        <references count="3">
          <reference field="4294967294" count="1" selected="0">
            <x v="0"/>
          </reference>
          <reference field="1" count="1" selected="0">
            <x v="44"/>
          </reference>
          <reference field="6" count="1" selected="0">
            <x v="63"/>
          </reference>
        </references>
      </pivotArea>
    </chartFormat>
    <chartFormat chart="23" format="1720">
      <pivotArea type="data" outline="0" fieldPosition="0">
        <references count="3">
          <reference field="4294967294" count="1" selected="0">
            <x v="0"/>
          </reference>
          <reference field="1" count="1" selected="0">
            <x v="45"/>
          </reference>
          <reference field="6" count="1" selected="0">
            <x v="63"/>
          </reference>
        </references>
      </pivotArea>
    </chartFormat>
    <chartFormat chart="23" format="1721">
      <pivotArea type="data" outline="0" fieldPosition="0">
        <references count="3">
          <reference field="4294967294" count="1" selected="0">
            <x v="0"/>
          </reference>
          <reference field="1" count="1" selected="0">
            <x v="5"/>
          </reference>
          <reference field="6" count="1" selected="0">
            <x v="64"/>
          </reference>
        </references>
      </pivotArea>
    </chartFormat>
    <chartFormat chart="23" format="1722">
      <pivotArea type="data" outline="0" fieldPosition="0">
        <references count="3">
          <reference field="4294967294" count="1" selected="0">
            <x v="0"/>
          </reference>
          <reference field="1" count="1" selected="0">
            <x v="11"/>
          </reference>
          <reference field="6" count="1" selected="0">
            <x v="64"/>
          </reference>
        </references>
      </pivotArea>
    </chartFormat>
    <chartFormat chart="23" format="1723">
      <pivotArea type="data" outline="0" fieldPosition="0">
        <references count="3">
          <reference field="4294967294" count="1" selected="0">
            <x v="0"/>
          </reference>
          <reference field="1" count="1" selected="0">
            <x v="17"/>
          </reference>
          <reference field="6" count="1" selected="0">
            <x v="64"/>
          </reference>
        </references>
      </pivotArea>
    </chartFormat>
    <chartFormat chart="23" format="1724">
      <pivotArea type="data" outline="0" fieldPosition="0">
        <references count="3">
          <reference field="4294967294" count="1" selected="0">
            <x v="0"/>
          </reference>
          <reference field="1" count="1" selected="0">
            <x v="18"/>
          </reference>
          <reference field="6" count="1" selected="0">
            <x v="64"/>
          </reference>
        </references>
      </pivotArea>
    </chartFormat>
    <chartFormat chart="23" format="1725">
      <pivotArea type="data" outline="0" fieldPosition="0">
        <references count="3">
          <reference field="4294967294" count="1" selected="0">
            <x v="0"/>
          </reference>
          <reference field="1" count="1" selected="0">
            <x v="19"/>
          </reference>
          <reference field="6" count="1" selected="0">
            <x v="64"/>
          </reference>
        </references>
      </pivotArea>
    </chartFormat>
    <chartFormat chart="23" format="1726">
      <pivotArea type="data" outline="0" fieldPosition="0">
        <references count="3">
          <reference field="4294967294" count="1" selected="0">
            <x v="0"/>
          </reference>
          <reference field="1" count="1" selected="0">
            <x v="24"/>
          </reference>
          <reference field="6" count="1" selected="0">
            <x v="64"/>
          </reference>
        </references>
      </pivotArea>
    </chartFormat>
    <chartFormat chart="23" format="1727">
      <pivotArea type="data" outline="0" fieldPosition="0">
        <references count="3">
          <reference field="4294967294" count="1" selected="0">
            <x v="0"/>
          </reference>
          <reference field="1" count="1" selected="0">
            <x v="25"/>
          </reference>
          <reference field="6" count="1" selected="0">
            <x v="64"/>
          </reference>
        </references>
      </pivotArea>
    </chartFormat>
    <chartFormat chart="23" format="1728">
      <pivotArea type="data" outline="0" fieldPosition="0">
        <references count="3">
          <reference field="4294967294" count="1" selected="0">
            <x v="0"/>
          </reference>
          <reference field="1" count="1" selected="0">
            <x v="29"/>
          </reference>
          <reference field="6" count="1" selected="0">
            <x v="64"/>
          </reference>
        </references>
      </pivotArea>
    </chartFormat>
    <chartFormat chart="23" format="1729">
      <pivotArea type="data" outline="0" fieldPosition="0">
        <references count="3">
          <reference field="4294967294" count="1" selected="0">
            <x v="0"/>
          </reference>
          <reference field="1" count="1" selected="0">
            <x v="30"/>
          </reference>
          <reference field="6" count="1" selected="0">
            <x v="64"/>
          </reference>
        </references>
      </pivotArea>
    </chartFormat>
    <chartFormat chart="23" format="1730">
      <pivotArea type="data" outline="0" fieldPosition="0">
        <references count="3">
          <reference field="4294967294" count="1" selected="0">
            <x v="0"/>
          </reference>
          <reference field="1" count="1" selected="0">
            <x v="31"/>
          </reference>
          <reference field="6" count="1" selected="0">
            <x v="64"/>
          </reference>
        </references>
      </pivotArea>
    </chartFormat>
    <chartFormat chart="23" format="1731">
      <pivotArea type="data" outline="0" fieldPosition="0">
        <references count="3">
          <reference field="4294967294" count="1" selected="0">
            <x v="0"/>
          </reference>
          <reference field="1" count="1" selected="0">
            <x v="32"/>
          </reference>
          <reference field="6" count="1" selected="0">
            <x v="64"/>
          </reference>
        </references>
      </pivotArea>
    </chartFormat>
    <chartFormat chart="23" format="1732">
      <pivotArea type="data" outline="0" fieldPosition="0">
        <references count="3">
          <reference field="4294967294" count="1" selected="0">
            <x v="0"/>
          </reference>
          <reference field="1" count="1" selected="0">
            <x v="33"/>
          </reference>
          <reference field="6" count="1" selected="0">
            <x v="64"/>
          </reference>
        </references>
      </pivotArea>
    </chartFormat>
    <chartFormat chart="23" format="1733">
      <pivotArea type="data" outline="0" fieldPosition="0">
        <references count="3">
          <reference field="4294967294" count="1" selected="0">
            <x v="0"/>
          </reference>
          <reference field="1" count="1" selected="0">
            <x v="34"/>
          </reference>
          <reference field="6" count="1" selected="0">
            <x v="64"/>
          </reference>
        </references>
      </pivotArea>
    </chartFormat>
    <chartFormat chart="23" format="1734">
      <pivotArea type="data" outline="0" fieldPosition="0">
        <references count="3">
          <reference field="4294967294" count="1" selected="0">
            <x v="0"/>
          </reference>
          <reference field="1" count="1" selected="0">
            <x v="35"/>
          </reference>
          <reference field="6" count="1" selected="0">
            <x v="64"/>
          </reference>
        </references>
      </pivotArea>
    </chartFormat>
    <chartFormat chart="23" format="1735">
      <pivotArea type="data" outline="0" fieldPosition="0">
        <references count="3">
          <reference field="4294967294" count="1" selected="0">
            <x v="0"/>
          </reference>
          <reference field="1" count="1" selected="0">
            <x v="36"/>
          </reference>
          <reference field="6" count="1" selected="0">
            <x v="64"/>
          </reference>
        </references>
      </pivotArea>
    </chartFormat>
    <chartFormat chart="23" format="1736">
      <pivotArea type="data" outline="0" fieldPosition="0">
        <references count="3">
          <reference field="4294967294" count="1" selected="0">
            <x v="0"/>
          </reference>
          <reference field="1" count="1" selected="0">
            <x v="37"/>
          </reference>
          <reference field="6" count="1" selected="0">
            <x v="64"/>
          </reference>
        </references>
      </pivotArea>
    </chartFormat>
    <chartFormat chart="23" format="1737">
      <pivotArea type="data" outline="0" fieldPosition="0">
        <references count="3">
          <reference field="4294967294" count="1" selected="0">
            <x v="0"/>
          </reference>
          <reference field="1" count="1" selected="0">
            <x v="38"/>
          </reference>
          <reference field="6" count="1" selected="0">
            <x v="64"/>
          </reference>
        </references>
      </pivotArea>
    </chartFormat>
    <chartFormat chart="23" format="1738">
      <pivotArea type="data" outline="0" fieldPosition="0">
        <references count="3">
          <reference field="4294967294" count="1" selected="0">
            <x v="0"/>
          </reference>
          <reference field="1" count="1" selected="0">
            <x v="39"/>
          </reference>
          <reference field="6" count="1" selected="0">
            <x v="64"/>
          </reference>
        </references>
      </pivotArea>
    </chartFormat>
    <chartFormat chart="23" format="1739">
      <pivotArea type="data" outline="0" fieldPosition="0">
        <references count="3">
          <reference field="4294967294" count="1" selected="0">
            <x v="0"/>
          </reference>
          <reference field="1" count="1" selected="0">
            <x v="40"/>
          </reference>
          <reference field="6" count="1" selected="0">
            <x v="64"/>
          </reference>
        </references>
      </pivotArea>
    </chartFormat>
    <chartFormat chart="23" format="1740">
      <pivotArea type="data" outline="0" fieldPosition="0">
        <references count="3">
          <reference field="4294967294" count="1" selected="0">
            <x v="0"/>
          </reference>
          <reference field="1" count="1" selected="0">
            <x v="41"/>
          </reference>
          <reference field="6" count="1" selected="0">
            <x v="64"/>
          </reference>
        </references>
      </pivotArea>
    </chartFormat>
    <chartFormat chart="23" format="1741">
      <pivotArea type="data" outline="0" fieldPosition="0">
        <references count="3">
          <reference field="4294967294" count="1" selected="0">
            <x v="0"/>
          </reference>
          <reference field="1" count="1" selected="0">
            <x v="42"/>
          </reference>
          <reference field="6" count="1" selected="0">
            <x v="64"/>
          </reference>
        </references>
      </pivotArea>
    </chartFormat>
    <chartFormat chart="23" format="1742">
      <pivotArea type="data" outline="0" fieldPosition="0">
        <references count="3">
          <reference field="4294967294" count="1" selected="0">
            <x v="0"/>
          </reference>
          <reference field="1" count="1" selected="0">
            <x v="43"/>
          </reference>
          <reference field="6" count="1" selected="0">
            <x v="64"/>
          </reference>
        </references>
      </pivotArea>
    </chartFormat>
    <chartFormat chart="23" format="1743">
      <pivotArea type="data" outline="0" fieldPosition="0">
        <references count="3">
          <reference field="4294967294" count="1" selected="0">
            <x v="0"/>
          </reference>
          <reference field="1" count="1" selected="0">
            <x v="44"/>
          </reference>
          <reference field="6" count="1" selected="0">
            <x v="64"/>
          </reference>
        </references>
      </pivotArea>
    </chartFormat>
    <chartFormat chart="23" format="1744">
      <pivotArea type="data" outline="0" fieldPosition="0">
        <references count="3">
          <reference field="4294967294" count="1" selected="0">
            <x v="0"/>
          </reference>
          <reference field="1" count="1" selected="0">
            <x v="45"/>
          </reference>
          <reference field="6" count="1" selected="0">
            <x v="64"/>
          </reference>
        </references>
      </pivotArea>
    </chartFormat>
    <chartFormat chart="23" format="1745">
      <pivotArea type="data" outline="0" fieldPosition="0">
        <references count="3">
          <reference field="4294967294" count="1" selected="0">
            <x v="0"/>
          </reference>
          <reference field="1" count="1" selected="0">
            <x v="5"/>
          </reference>
          <reference field="6" count="1" selected="0">
            <x v="65"/>
          </reference>
        </references>
      </pivotArea>
    </chartFormat>
    <chartFormat chart="23" format="1746">
      <pivotArea type="data" outline="0" fieldPosition="0">
        <references count="3">
          <reference field="4294967294" count="1" selected="0">
            <x v="0"/>
          </reference>
          <reference field="1" count="1" selected="0">
            <x v="11"/>
          </reference>
          <reference field="6" count="1" selected="0">
            <x v="65"/>
          </reference>
        </references>
      </pivotArea>
    </chartFormat>
    <chartFormat chart="23" format="1747">
      <pivotArea type="data" outline="0" fieldPosition="0">
        <references count="3">
          <reference field="4294967294" count="1" selected="0">
            <x v="0"/>
          </reference>
          <reference field="1" count="1" selected="0">
            <x v="17"/>
          </reference>
          <reference field="6" count="1" selected="0">
            <x v="65"/>
          </reference>
        </references>
      </pivotArea>
    </chartFormat>
    <chartFormat chart="23" format="1748">
      <pivotArea type="data" outline="0" fieldPosition="0">
        <references count="3">
          <reference field="4294967294" count="1" selected="0">
            <x v="0"/>
          </reference>
          <reference field="1" count="1" selected="0">
            <x v="18"/>
          </reference>
          <reference field="6" count="1" selected="0">
            <x v="65"/>
          </reference>
        </references>
      </pivotArea>
    </chartFormat>
    <chartFormat chart="23" format="1749">
      <pivotArea type="data" outline="0" fieldPosition="0">
        <references count="3">
          <reference field="4294967294" count="1" selected="0">
            <x v="0"/>
          </reference>
          <reference field="1" count="1" selected="0">
            <x v="19"/>
          </reference>
          <reference field="6" count="1" selected="0">
            <x v="65"/>
          </reference>
        </references>
      </pivotArea>
    </chartFormat>
    <chartFormat chart="23" format="1750">
      <pivotArea type="data" outline="0" fieldPosition="0">
        <references count="3">
          <reference field="4294967294" count="1" selected="0">
            <x v="0"/>
          </reference>
          <reference field="1" count="1" selected="0">
            <x v="24"/>
          </reference>
          <reference field="6" count="1" selected="0">
            <x v="65"/>
          </reference>
        </references>
      </pivotArea>
    </chartFormat>
    <chartFormat chart="23" format="1751">
      <pivotArea type="data" outline="0" fieldPosition="0">
        <references count="3">
          <reference field="4294967294" count="1" selected="0">
            <x v="0"/>
          </reference>
          <reference field="1" count="1" selected="0">
            <x v="25"/>
          </reference>
          <reference field="6" count="1" selected="0">
            <x v="65"/>
          </reference>
        </references>
      </pivotArea>
    </chartFormat>
    <chartFormat chart="23" format="1752">
      <pivotArea type="data" outline="0" fieldPosition="0">
        <references count="3">
          <reference field="4294967294" count="1" selected="0">
            <x v="0"/>
          </reference>
          <reference field="1" count="1" selected="0">
            <x v="29"/>
          </reference>
          <reference field="6" count="1" selected="0">
            <x v="65"/>
          </reference>
        </references>
      </pivotArea>
    </chartFormat>
    <chartFormat chart="23" format="1753">
      <pivotArea type="data" outline="0" fieldPosition="0">
        <references count="3">
          <reference field="4294967294" count="1" selected="0">
            <x v="0"/>
          </reference>
          <reference field="1" count="1" selected="0">
            <x v="30"/>
          </reference>
          <reference field="6" count="1" selected="0">
            <x v="65"/>
          </reference>
        </references>
      </pivotArea>
    </chartFormat>
    <chartFormat chart="23" format="1754">
      <pivotArea type="data" outline="0" fieldPosition="0">
        <references count="3">
          <reference field="4294967294" count="1" selected="0">
            <x v="0"/>
          </reference>
          <reference field="1" count="1" selected="0">
            <x v="31"/>
          </reference>
          <reference field="6" count="1" selected="0">
            <x v="65"/>
          </reference>
        </references>
      </pivotArea>
    </chartFormat>
    <chartFormat chart="23" format="1755">
      <pivotArea type="data" outline="0" fieldPosition="0">
        <references count="3">
          <reference field="4294967294" count="1" selected="0">
            <x v="0"/>
          </reference>
          <reference field="1" count="1" selected="0">
            <x v="32"/>
          </reference>
          <reference field="6" count="1" selected="0">
            <x v="65"/>
          </reference>
        </references>
      </pivotArea>
    </chartFormat>
    <chartFormat chart="23" format="1756">
      <pivotArea type="data" outline="0" fieldPosition="0">
        <references count="3">
          <reference field="4294967294" count="1" selected="0">
            <x v="0"/>
          </reference>
          <reference field="1" count="1" selected="0">
            <x v="33"/>
          </reference>
          <reference field="6" count="1" selected="0">
            <x v="65"/>
          </reference>
        </references>
      </pivotArea>
    </chartFormat>
    <chartFormat chart="23" format="1757">
      <pivotArea type="data" outline="0" fieldPosition="0">
        <references count="3">
          <reference field="4294967294" count="1" selected="0">
            <x v="0"/>
          </reference>
          <reference field="1" count="1" selected="0">
            <x v="34"/>
          </reference>
          <reference field="6" count="1" selected="0">
            <x v="65"/>
          </reference>
        </references>
      </pivotArea>
    </chartFormat>
    <chartFormat chart="23" format="1758">
      <pivotArea type="data" outline="0" fieldPosition="0">
        <references count="3">
          <reference field="4294967294" count="1" selected="0">
            <x v="0"/>
          </reference>
          <reference field="1" count="1" selected="0">
            <x v="35"/>
          </reference>
          <reference field="6" count="1" selected="0">
            <x v="65"/>
          </reference>
        </references>
      </pivotArea>
    </chartFormat>
    <chartFormat chart="23" format="1759">
      <pivotArea type="data" outline="0" fieldPosition="0">
        <references count="3">
          <reference field="4294967294" count="1" selected="0">
            <x v="0"/>
          </reference>
          <reference field="1" count="1" selected="0">
            <x v="36"/>
          </reference>
          <reference field="6" count="1" selected="0">
            <x v="65"/>
          </reference>
        </references>
      </pivotArea>
    </chartFormat>
    <chartFormat chart="23" format="1760">
      <pivotArea type="data" outline="0" fieldPosition="0">
        <references count="3">
          <reference field="4294967294" count="1" selected="0">
            <x v="0"/>
          </reference>
          <reference field="1" count="1" selected="0">
            <x v="37"/>
          </reference>
          <reference field="6" count="1" selected="0">
            <x v="65"/>
          </reference>
        </references>
      </pivotArea>
    </chartFormat>
    <chartFormat chart="23" format="1761">
      <pivotArea type="data" outline="0" fieldPosition="0">
        <references count="3">
          <reference field="4294967294" count="1" selected="0">
            <x v="0"/>
          </reference>
          <reference field="1" count="1" selected="0">
            <x v="38"/>
          </reference>
          <reference field="6" count="1" selected="0">
            <x v="65"/>
          </reference>
        </references>
      </pivotArea>
    </chartFormat>
    <chartFormat chart="23" format="1762">
      <pivotArea type="data" outline="0" fieldPosition="0">
        <references count="3">
          <reference field="4294967294" count="1" selected="0">
            <x v="0"/>
          </reference>
          <reference field="1" count="1" selected="0">
            <x v="39"/>
          </reference>
          <reference field="6" count="1" selected="0">
            <x v="65"/>
          </reference>
        </references>
      </pivotArea>
    </chartFormat>
    <chartFormat chart="23" format="1763">
      <pivotArea type="data" outline="0" fieldPosition="0">
        <references count="3">
          <reference field="4294967294" count="1" selected="0">
            <x v="0"/>
          </reference>
          <reference field="1" count="1" selected="0">
            <x v="40"/>
          </reference>
          <reference field="6" count="1" selected="0">
            <x v="65"/>
          </reference>
        </references>
      </pivotArea>
    </chartFormat>
    <chartFormat chart="23" format="1764">
      <pivotArea type="data" outline="0" fieldPosition="0">
        <references count="3">
          <reference field="4294967294" count="1" selected="0">
            <x v="0"/>
          </reference>
          <reference field="1" count="1" selected="0">
            <x v="41"/>
          </reference>
          <reference field="6" count="1" selected="0">
            <x v="65"/>
          </reference>
        </references>
      </pivotArea>
    </chartFormat>
    <chartFormat chart="23" format="1765">
      <pivotArea type="data" outline="0" fieldPosition="0">
        <references count="3">
          <reference field="4294967294" count="1" selected="0">
            <x v="0"/>
          </reference>
          <reference field="1" count="1" selected="0">
            <x v="42"/>
          </reference>
          <reference field="6" count="1" selected="0">
            <x v="65"/>
          </reference>
        </references>
      </pivotArea>
    </chartFormat>
    <chartFormat chart="23" format="1766">
      <pivotArea type="data" outline="0" fieldPosition="0">
        <references count="3">
          <reference field="4294967294" count="1" selected="0">
            <x v="0"/>
          </reference>
          <reference field="1" count="1" selected="0">
            <x v="43"/>
          </reference>
          <reference field="6" count="1" selected="0">
            <x v="65"/>
          </reference>
        </references>
      </pivotArea>
    </chartFormat>
    <chartFormat chart="23" format="1767">
      <pivotArea type="data" outline="0" fieldPosition="0">
        <references count="3">
          <reference field="4294967294" count="1" selected="0">
            <x v="0"/>
          </reference>
          <reference field="1" count="1" selected="0">
            <x v="44"/>
          </reference>
          <reference field="6" count="1" selected="0">
            <x v="65"/>
          </reference>
        </references>
      </pivotArea>
    </chartFormat>
    <chartFormat chart="23" format="1768">
      <pivotArea type="data" outline="0" fieldPosition="0">
        <references count="3">
          <reference field="4294967294" count="1" selected="0">
            <x v="0"/>
          </reference>
          <reference field="1" count="1" selected="0">
            <x v="45"/>
          </reference>
          <reference field="6" count="1" selected="0">
            <x v="65"/>
          </reference>
        </references>
      </pivotArea>
    </chartFormat>
    <chartFormat chart="23" format="1769">
      <pivotArea type="data" outline="0" fieldPosition="0">
        <references count="3">
          <reference field="4294967294" count="1" selected="0">
            <x v="0"/>
          </reference>
          <reference field="1" count="1" selected="0">
            <x v="5"/>
          </reference>
          <reference field="6" count="1" selected="0">
            <x v="66"/>
          </reference>
        </references>
      </pivotArea>
    </chartFormat>
    <chartFormat chart="23" format="1770">
      <pivotArea type="data" outline="0" fieldPosition="0">
        <references count="3">
          <reference field="4294967294" count="1" selected="0">
            <x v="0"/>
          </reference>
          <reference field="1" count="1" selected="0">
            <x v="11"/>
          </reference>
          <reference field="6" count="1" selected="0">
            <x v="66"/>
          </reference>
        </references>
      </pivotArea>
    </chartFormat>
    <chartFormat chart="23" format="1771">
      <pivotArea type="data" outline="0" fieldPosition="0">
        <references count="3">
          <reference field="4294967294" count="1" selected="0">
            <x v="0"/>
          </reference>
          <reference field="1" count="1" selected="0">
            <x v="17"/>
          </reference>
          <reference field="6" count="1" selected="0">
            <x v="66"/>
          </reference>
        </references>
      </pivotArea>
    </chartFormat>
    <chartFormat chart="23" format="1772">
      <pivotArea type="data" outline="0" fieldPosition="0">
        <references count="3">
          <reference field="4294967294" count="1" selected="0">
            <x v="0"/>
          </reference>
          <reference field="1" count="1" selected="0">
            <x v="18"/>
          </reference>
          <reference field="6" count="1" selected="0">
            <x v="66"/>
          </reference>
        </references>
      </pivotArea>
    </chartFormat>
    <chartFormat chart="23" format="1773">
      <pivotArea type="data" outline="0" fieldPosition="0">
        <references count="3">
          <reference field="4294967294" count="1" selected="0">
            <x v="0"/>
          </reference>
          <reference field="1" count="1" selected="0">
            <x v="19"/>
          </reference>
          <reference field="6" count="1" selected="0">
            <x v="66"/>
          </reference>
        </references>
      </pivotArea>
    </chartFormat>
    <chartFormat chart="23" format="1774">
      <pivotArea type="data" outline="0" fieldPosition="0">
        <references count="3">
          <reference field="4294967294" count="1" selected="0">
            <x v="0"/>
          </reference>
          <reference field="1" count="1" selected="0">
            <x v="24"/>
          </reference>
          <reference field="6" count="1" selected="0">
            <x v="66"/>
          </reference>
        </references>
      </pivotArea>
    </chartFormat>
    <chartFormat chart="23" format="1775">
      <pivotArea type="data" outline="0" fieldPosition="0">
        <references count="3">
          <reference field="4294967294" count="1" selected="0">
            <x v="0"/>
          </reference>
          <reference field="1" count="1" selected="0">
            <x v="25"/>
          </reference>
          <reference field="6" count="1" selected="0">
            <x v="66"/>
          </reference>
        </references>
      </pivotArea>
    </chartFormat>
    <chartFormat chart="23" format="1776">
      <pivotArea type="data" outline="0" fieldPosition="0">
        <references count="3">
          <reference field="4294967294" count="1" selected="0">
            <x v="0"/>
          </reference>
          <reference field="1" count="1" selected="0">
            <x v="29"/>
          </reference>
          <reference field="6" count="1" selected="0">
            <x v="66"/>
          </reference>
        </references>
      </pivotArea>
    </chartFormat>
    <chartFormat chart="23" format="1777">
      <pivotArea type="data" outline="0" fieldPosition="0">
        <references count="3">
          <reference field="4294967294" count="1" selected="0">
            <x v="0"/>
          </reference>
          <reference field="1" count="1" selected="0">
            <x v="30"/>
          </reference>
          <reference field="6" count="1" selected="0">
            <x v="66"/>
          </reference>
        </references>
      </pivotArea>
    </chartFormat>
    <chartFormat chart="23" format="1778">
      <pivotArea type="data" outline="0" fieldPosition="0">
        <references count="3">
          <reference field="4294967294" count="1" selected="0">
            <x v="0"/>
          </reference>
          <reference field="1" count="1" selected="0">
            <x v="31"/>
          </reference>
          <reference field="6" count="1" selected="0">
            <x v="66"/>
          </reference>
        </references>
      </pivotArea>
    </chartFormat>
    <chartFormat chart="23" format="1779">
      <pivotArea type="data" outline="0" fieldPosition="0">
        <references count="3">
          <reference field="4294967294" count="1" selected="0">
            <x v="0"/>
          </reference>
          <reference field="1" count="1" selected="0">
            <x v="32"/>
          </reference>
          <reference field="6" count="1" selected="0">
            <x v="66"/>
          </reference>
        </references>
      </pivotArea>
    </chartFormat>
    <chartFormat chart="23" format="1780">
      <pivotArea type="data" outline="0" fieldPosition="0">
        <references count="3">
          <reference field="4294967294" count="1" selected="0">
            <x v="0"/>
          </reference>
          <reference field="1" count="1" selected="0">
            <x v="33"/>
          </reference>
          <reference field="6" count="1" selected="0">
            <x v="66"/>
          </reference>
        </references>
      </pivotArea>
    </chartFormat>
    <chartFormat chart="23" format="1781">
      <pivotArea type="data" outline="0" fieldPosition="0">
        <references count="3">
          <reference field="4294967294" count="1" selected="0">
            <x v="0"/>
          </reference>
          <reference field="1" count="1" selected="0">
            <x v="34"/>
          </reference>
          <reference field="6" count="1" selected="0">
            <x v="66"/>
          </reference>
        </references>
      </pivotArea>
    </chartFormat>
    <chartFormat chart="23" format="1782">
      <pivotArea type="data" outline="0" fieldPosition="0">
        <references count="3">
          <reference field="4294967294" count="1" selected="0">
            <x v="0"/>
          </reference>
          <reference field="1" count="1" selected="0">
            <x v="35"/>
          </reference>
          <reference field="6" count="1" selected="0">
            <x v="66"/>
          </reference>
        </references>
      </pivotArea>
    </chartFormat>
    <chartFormat chart="23" format="1783">
      <pivotArea type="data" outline="0" fieldPosition="0">
        <references count="3">
          <reference field="4294967294" count="1" selected="0">
            <x v="0"/>
          </reference>
          <reference field="1" count="1" selected="0">
            <x v="36"/>
          </reference>
          <reference field="6" count="1" selected="0">
            <x v="66"/>
          </reference>
        </references>
      </pivotArea>
    </chartFormat>
    <chartFormat chart="23" format="1784">
      <pivotArea type="data" outline="0" fieldPosition="0">
        <references count="3">
          <reference field="4294967294" count="1" selected="0">
            <x v="0"/>
          </reference>
          <reference field="1" count="1" selected="0">
            <x v="37"/>
          </reference>
          <reference field="6" count="1" selected="0">
            <x v="66"/>
          </reference>
        </references>
      </pivotArea>
    </chartFormat>
    <chartFormat chart="23" format="1785">
      <pivotArea type="data" outline="0" fieldPosition="0">
        <references count="3">
          <reference field="4294967294" count="1" selected="0">
            <x v="0"/>
          </reference>
          <reference field="1" count="1" selected="0">
            <x v="38"/>
          </reference>
          <reference field="6" count="1" selected="0">
            <x v="66"/>
          </reference>
        </references>
      </pivotArea>
    </chartFormat>
    <chartFormat chart="23" format="1786">
      <pivotArea type="data" outline="0" fieldPosition="0">
        <references count="3">
          <reference field="4294967294" count="1" selected="0">
            <x v="0"/>
          </reference>
          <reference field="1" count="1" selected="0">
            <x v="39"/>
          </reference>
          <reference field="6" count="1" selected="0">
            <x v="66"/>
          </reference>
        </references>
      </pivotArea>
    </chartFormat>
    <chartFormat chart="23" format="1787">
      <pivotArea type="data" outline="0" fieldPosition="0">
        <references count="3">
          <reference field="4294967294" count="1" selected="0">
            <x v="0"/>
          </reference>
          <reference field="1" count="1" selected="0">
            <x v="40"/>
          </reference>
          <reference field="6" count="1" selected="0">
            <x v="66"/>
          </reference>
        </references>
      </pivotArea>
    </chartFormat>
    <chartFormat chart="23" format="1788">
      <pivotArea type="data" outline="0" fieldPosition="0">
        <references count="3">
          <reference field="4294967294" count="1" selected="0">
            <x v="0"/>
          </reference>
          <reference field="1" count="1" selected="0">
            <x v="41"/>
          </reference>
          <reference field="6" count="1" selected="0">
            <x v="66"/>
          </reference>
        </references>
      </pivotArea>
    </chartFormat>
    <chartFormat chart="23" format="1789">
      <pivotArea type="data" outline="0" fieldPosition="0">
        <references count="3">
          <reference field="4294967294" count="1" selected="0">
            <x v="0"/>
          </reference>
          <reference field="1" count="1" selected="0">
            <x v="42"/>
          </reference>
          <reference field="6" count="1" selected="0">
            <x v="66"/>
          </reference>
        </references>
      </pivotArea>
    </chartFormat>
    <chartFormat chart="23" format="1790">
      <pivotArea type="data" outline="0" fieldPosition="0">
        <references count="3">
          <reference field="4294967294" count="1" selected="0">
            <x v="0"/>
          </reference>
          <reference field="1" count="1" selected="0">
            <x v="43"/>
          </reference>
          <reference field="6" count="1" selected="0">
            <x v="66"/>
          </reference>
        </references>
      </pivotArea>
    </chartFormat>
    <chartFormat chart="23" format="1791">
      <pivotArea type="data" outline="0" fieldPosition="0">
        <references count="3">
          <reference field="4294967294" count="1" selected="0">
            <x v="0"/>
          </reference>
          <reference field="1" count="1" selected="0">
            <x v="44"/>
          </reference>
          <reference field="6" count="1" selected="0">
            <x v="66"/>
          </reference>
        </references>
      </pivotArea>
    </chartFormat>
    <chartFormat chart="23" format="1792">
      <pivotArea type="data" outline="0" fieldPosition="0">
        <references count="3">
          <reference field="4294967294" count="1" selected="0">
            <x v="0"/>
          </reference>
          <reference field="1" count="1" selected="0">
            <x v="45"/>
          </reference>
          <reference field="6" count="1" selected="0">
            <x v="66"/>
          </reference>
        </references>
      </pivotArea>
    </chartFormat>
    <chartFormat chart="23" format="1793">
      <pivotArea type="data" outline="0" fieldPosition="0">
        <references count="3">
          <reference field="4294967294" count="1" selected="0">
            <x v="0"/>
          </reference>
          <reference field="1" count="1" selected="0">
            <x v="5"/>
          </reference>
          <reference field="6" count="1" selected="0">
            <x v="67"/>
          </reference>
        </references>
      </pivotArea>
    </chartFormat>
    <chartFormat chart="23" format="1794">
      <pivotArea type="data" outline="0" fieldPosition="0">
        <references count="3">
          <reference field="4294967294" count="1" selected="0">
            <x v="0"/>
          </reference>
          <reference field="1" count="1" selected="0">
            <x v="11"/>
          </reference>
          <reference field="6" count="1" selected="0">
            <x v="67"/>
          </reference>
        </references>
      </pivotArea>
    </chartFormat>
    <chartFormat chart="23" format="1795">
      <pivotArea type="data" outline="0" fieldPosition="0">
        <references count="3">
          <reference field="4294967294" count="1" selected="0">
            <x v="0"/>
          </reference>
          <reference field="1" count="1" selected="0">
            <x v="17"/>
          </reference>
          <reference field="6" count="1" selected="0">
            <x v="67"/>
          </reference>
        </references>
      </pivotArea>
    </chartFormat>
    <chartFormat chart="23" format="1796">
      <pivotArea type="data" outline="0" fieldPosition="0">
        <references count="3">
          <reference field="4294967294" count="1" selected="0">
            <x v="0"/>
          </reference>
          <reference field="1" count="1" selected="0">
            <x v="18"/>
          </reference>
          <reference field="6" count="1" selected="0">
            <x v="67"/>
          </reference>
        </references>
      </pivotArea>
    </chartFormat>
    <chartFormat chart="23" format="1797">
      <pivotArea type="data" outline="0" fieldPosition="0">
        <references count="3">
          <reference field="4294967294" count="1" selected="0">
            <x v="0"/>
          </reference>
          <reference field="1" count="1" selected="0">
            <x v="19"/>
          </reference>
          <reference field="6" count="1" selected="0">
            <x v="67"/>
          </reference>
        </references>
      </pivotArea>
    </chartFormat>
    <chartFormat chart="23" format="1798">
      <pivotArea type="data" outline="0" fieldPosition="0">
        <references count="3">
          <reference field="4294967294" count="1" selected="0">
            <x v="0"/>
          </reference>
          <reference field="1" count="1" selected="0">
            <x v="24"/>
          </reference>
          <reference field="6" count="1" selected="0">
            <x v="67"/>
          </reference>
        </references>
      </pivotArea>
    </chartFormat>
    <chartFormat chart="23" format="1799">
      <pivotArea type="data" outline="0" fieldPosition="0">
        <references count="3">
          <reference field="4294967294" count="1" selected="0">
            <x v="0"/>
          </reference>
          <reference field="1" count="1" selected="0">
            <x v="25"/>
          </reference>
          <reference field="6" count="1" selected="0">
            <x v="67"/>
          </reference>
        </references>
      </pivotArea>
    </chartFormat>
    <chartFormat chart="23" format="1800">
      <pivotArea type="data" outline="0" fieldPosition="0">
        <references count="3">
          <reference field="4294967294" count="1" selected="0">
            <x v="0"/>
          </reference>
          <reference field="1" count="1" selected="0">
            <x v="29"/>
          </reference>
          <reference field="6" count="1" selected="0">
            <x v="67"/>
          </reference>
        </references>
      </pivotArea>
    </chartFormat>
    <chartFormat chart="23" format="1801">
      <pivotArea type="data" outline="0" fieldPosition="0">
        <references count="3">
          <reference field="4294967294" count="1" selected="0">
            <x v="0"/>
          </reference>
          <reference field="1" count="1" selected="0">
            <x v="30"/>
          </reference>
          <reference field="6" count="1" selected="0">
            <x v="67"/>
          </reference>
        </references>
      </pivotArea>
    </chartFormat>
    <chartFormat chart="23" format="1802">
      <pivotArea type="data" outline="0" fieldPosition="0">
        <references count="3">
          <reference field="4294967294" count="1" selected="0">
            <x v="0"/>
          </reference>
          <reference field="1" count="1" selected="0">
            <x v="31"/>
          </reference>
          <reference field="6" count="1" selected="0">
            <x v="67"/>
          </reference>
        </references>
      </pivotArea>
    </chartFormat>
    <chartFormat chart="23" format="1803">
      <pivotArea type="data" outline="0" fieldPosition="0">
        <references count="3">
          <reference field="4294967294" count="1" selected="0">
            <x v="0"/>
          </reference>
          <reference field="1" count="1" selected="0">
            <x v="32"/>
          </reference>
          <reference field="6" count="1" selected="0">
            <x v="67"/>
          </reference>
        </references>
      </pivotArea>
    </chartFormat>
    <chartFormat chart="23" format="1804">
      <pivotArea type="data" outline="0" fieldPosition="0">
        <references count="3">
          <reference field="4294967294" count="1" selected="0">
            <x v="0"/>
          </reference>
          <reference field="1" count="1" selected="0">
            <x v="33"/>
          </reference>
          <reference field="6" count="1" selected="0">
            <x v="67"/>
          </reference>
        </references>
      </pivotArea>
    </chartFormat>
    <chartFormat chart="23" format="1805">
      <pivotArea type="data" outline="0" fieldPosition="0">
        <references count="3">
          <reference field="4294967294" count="1" selected="0">
            <x v="0"/>
          </reference>
          <reference field="1" count="1" selected="0">
            <x v="34"/>
          </reference>
          <reference field="6" count="1" selected="0">
            <x v="67"/>
          </reference>
        </references>
      </pivotArea>
    </chartFormat>
    <chartFormat chart="23" format="1806">
      <pivotArea type="data" outline="0" fieldPosition="0">
        <references count="3">
          <reference field="4294967294" count="1" selected="0">
            <x v="0"/>
          </reference>
          <reference field="1" count="1" selected="0">
            <x v="35"/>
          </reference>
          <reference field="6" count="1" selected="0">
            <x v="67"/>
          </reference>
        </references>
      </pivotArea>
    </chartFormat>
    <chartFormat chart="23" format="1807">
      <pivotArea type="data" outline="0" fieldPosition="0">
        <references count="3">
          <reference field="4294967294" count="1" selected="0">
            <x v="0"/>
          </reference>
          <reference field="1" count="1" selected="0">
            <x v="36"/>
          </reference>
          <reference field="6" count="1" selected="0">
            <x v="67"/>
          </reference>
        </references>
      </pivotArea>
    </chartFormat>
    <chartFormat chart="23" format="1808">
      <pivotArea type="data" outline="0" fieldPosition="0">
        <references count="3">
          <reference field="4294967294" count="1" selected="0">
            <x v="0"/>
          </reference>
          <reference field="1" count="1" selected="0">
            <x v="37"/>
          </reference>
          <reference field="6" count="1" selected="0">
            <x v="67"/>
          </reference>
        </references>
      </pivotArea>
    </chartFormat>
    <chartFormat chart="23" format="1809">
      <pivotArea type="data" outline="0" fieldPosition="0">
        <references count="3">
          <reference field="4294967294" count="1" selected="0">
            <x v="0"/>
          </reference>
          <reference field="1" count="1" selected="0">
            <x v="38"/>
          </reference>
          <reference field="6" count="1" selected="0">
            <x v="67"/>
          </reference>
        </references>
      </pivotArea>
    </chartFormat>
    <chartFormat chart="23" format="1810">
      <pivotArea type="data" outline="0" fieldPosition="0">
        <references count="3">
          <reference field="4294967294" count="1" selected="0">
            <x v="0"/>
          </reference>
          <reference field="1" count="1" selected="0">
            <x v="39"/>
          </reference>
          <reference field="6" count="1" selected="0">
            <x v="67"/>
          </reference>
        </references>
      </pivotArea>
    </chartFormat>
    <chartFormat chart="23" format="1811">
      <pivotArea type="data" outline="0" fieldPosition="0">
        <references count="3">
          <reference field="4294967294" count="1" selected="0">
            <x v="0"/>
          </reference>
          <reference field="1" count="1" selected="0">
            <x v="40"/>
          </reference>
          <reference field="6" count="1" selected="0">
            <x v="67"/>
          </reference>
        </references>
      </pivotArea>
    </chartFormat>
    <chartFormat chart="23" format="1812">
      <pivotArea type="data" outline="0" fieldPosition="0">
        <references count="3">
          <reference field="4294967294" count="1" selected="0">
            <x v="0"/>
          </reference>
          <reference field="1" count="1" selected="0">
            <x v="41"/>
          </reference>
          <reference field="6" count="1" selected="0">
            <x v="67"/>
          </reference>
        </references>
      </pivotArea>
    </chartFormat>
    <chartFormat chart="23" format="1813">
      <pivotArea type="data" outline="0" fieldPosition="0">
        <references count="3">
          <reference field="4294967294" count="1" selected="0">
            <x v="0"/>
          </reference>
          <reference field="1" count="1" selected="0">
            <x v="42"/>
          </reference>
          <reference field="6" count="1" selected="0">
            <x v="67"/>
          </reference>
        </references>
      </pivotArea>
    </chartFormat>
    <chartFormat chart="23" format="1814">
      <pivotArea type="data" outline="0" fieldPosition="0">
        <references count="3">
          <reference field="4294967294" count="1" selected="0">
            <x v="0"/>
          </reference>
          <reference field="1" count="1" selected="0">
            <x v="43"/>
          </reference>
          <reference field="6" count="1" selected="0">
            <x v="67"/>
          </reference>
        </references>
      </pivotArea>
    </chartFormat>
    <chartFormat chart="23" format="1815">
      <pivotArea type="data" outline="0" fieldPosition="0">
        <references count="3">
          <reference field="4294967294" count="1" selected="0">
            <x v="0"/>
          </reference>
          <reference field="1" count="1" selected="0">
            <x v="44"/>
          </reference>
          <reference field="6" count="1" selected="0">
            <x v="67"/>
          </reference>
        </references>
      </pivotArea>
    </chartFormat>
    <chartFormat chart="23" format="1816">
      <pivotArea type="data" outline="0" fieldPosition="0">
        <references count="3">
          <reference field="4294967294" count="1" selected="0">
            <x v="0"/>
          </reference>
          <reference field="1" count="1" selected="0">
            <x v="45"/>
          </reference>
          <reference field="6" count="1" selected="0">
            <x v="67"/>
          </reference>
        </references>
      </pivotArea>
    </chartFormat>
    <chartFormat chart="23" format="1817">
      <pivotArea type="data" outline="0" fieldPosition="0">
        <references count="3">
          <reference field="4294967294" count="1" selected="0">
            <x v="0"/>
          </reference>
          <reference field="1" count="1" selected="0">
            <x v="5"/>
          </reference>
          <reference field="6" count="1" selected="0">
            <x v="68"/>
          </reference>
        </references>
      </pivotArea>
    </chartFormat>
    <chartFormat chart="23" format="1818">
      <pivotArea type="data" outline="0" fieldPosition="0">
        <references count="3">
          <reference field="4294967294" count="1" selected="0">
            <x v="0"/>
          </reference>
          <reference field="1" count="1" selected="0">
            <x v="11"/>
          </reference>
          <reference field="6" count="1" selected="0">
            <x v="68"/>
          </reference>
        </references>
      </pivotArea>
    </chartFormat>
    <chartFormat chart="23" format="1819">
      <pivotArea type="data" outline="0" fieldPosition="0">
        <references count="3">
          <reference field="4294967294" count="1" selected="0">
            <x v="0"/>
          </reference>
          <reference field="1" count="1" selected="0">
            <x v="17"/>
          </reference>
          <reference field="6" count="1" selected="0">
            <x v="68"/>
          </reference>
        </references>
      </pivotArea>
    </chartFormat>
    <chartFormat chart="23" format="1820">
      <pivotArea type="data" outline="0" fieldPosition="0">
        <references count="3">
          <reference field="4294967294" count="1" selected="0">
            <x v="0"/>
          </reference>
          <reference field="1" count="1" selected="0">
            <x v="18"/>
          </reference>
          <reference field="6" count="1" selected="0">
            <x v="68"/>
          </reference>
        </references>
      </pivotArea>
    </chartFormat>
    <chartFormat chart="23" format="1821">
      <pivotArea type="data" outline="0" fieldPosition="0">
        <references count="3">
          <reference field="4294967294" count="1" selected="0">
            <x v="0"/>
          </reference>
          <reference field="1" count="1" selected="0">
            <x v="19"/>
          </reference>
          <reference field="6" count="1" selected="0">
            <x v="68"/>
          </reference>
        </references>
      </pivotArea>
    </chartFormat>
    <chartFormat chart="23" format="1822">
      <pivotArea type="data" outline="0" fieldPosition="0">
        <references count="3">
          <reference field="4294967294" count="1" selected="0">
            <x v="0"/>
          </reference>
          <reference field="1" count="1" selected="0">
            <x v="24"/>
          </reference>
          <reference field="6" count="1" selected="0">
            <x v="68"/>
          </reference>
        </references>
      </pivotArea>
    </chartFormat>
    <chartFormat chart="23" format="1823">
      <pivotArea type="data" outline="0" fieldPosition="0">
        <references count="3">
          <reference field="4294967294" count="1" selected="0">
            <x v="0"/>
          </reference>
          <reference field="1" count="1" selected="0">
            <x v="25"/>
          </reference>
          <reference field="6" count="1" selected="0">
            <x v="68"/>
          </reference>
        </references>
      </pivotArea>
    </chartFormat>
    <chartFormat chart="23" format="1824">
      <pivotArea type="data" outline="0" fieldPosition="0">
        <references count="3">
          <reference field="4294967294" count="1" selected="0">
            <x v="0"/>
          </reference>
          <reference field="1" count="1" selected="0">
            <x v="29"/>
          </reference>
          <reference field="6" count="1" selected="0">
            <x v="68"/>
          </reference>
        </references>
      </pivotArea>
    </chartFormat>
    <chartFormat chart="23" format="1825">
      <pivotArea type="data" outline="0" fieldPosition="0">
        <references count="3">
          <reference field="4294967294" count="1" selected="0">
            <x v="0"/>
          </reference>
          <reference field="1" count="1" selected="0">
            <x v="30"/>
          </reference>
          <reference field="6" count="1" selected="0">
            <x v="68"/>
          </reference>
        </references>
      </pivotArea>
    </chartFormat>
    <chartFormat chart="23" format="1826">
      <pivotArea type="data" outline="0" fieldPosition="0">
        <references count="3">
          <reference field="4294967294" count="1" selected="0">
            <x v="0"/>
          </reference>
          <reference field="1" count="1" selected="0">
            <x v="31"/>
          </reference>
          <reference field="6" count="1" selected="0">
            <x v="68"/>
          </reference>
        </references>
      </pivotArea>
    </chartFormat>
    <chartFormat chart="23" format="1827">
      <pivotArea type="data" outline="0" fieldPosition="0">
        <references count="3">
          <reference field="4294967294" count="1" selected="0">
            <x v="0"/>
          </reference>
          <reference field="1" count="1" selected="0">
            <x v="32"/>
          </reference>
          <reference field="6" count="1" selected="0">
            <x v="68"/>
          </reference>
        </references>
      </pivotArea>
    </chartFormat>
    <chartFormat chart="23" format="1828">
      <pivotArea type="data" outline="0" fieldPosition="0">
        <references count="3">
          <reference field="4294967294" count="1" selected="0">
            <x v="0"/>
          </reference>
          <reference field="1" count="1" selected="0">
            <x v="33"/>
          </reference>
          <reference field="6" count="1" selected="0">
            <x v="68"/>
          </reference>
        </references>
      </pivotArea>
    </chartFormat>
    <chartFormat chart="23" format="1829">
      <pivotArea type="data" outline="0" fieldPosition="0">
        <references count="3">
          <reference field="4294967294" count="1" selected="0">
            <x v="0"/>
          </reference>
          <reference field="1" count="1" selected="0">
            <x v="34"/>
          </reference>
          <reference field="6" count="1" selected="0">
            <x v="68"/>
          </reference>
        </references>
      </pivotArea>
    </chartFormat>
    <chartFormat chart="23" format="1830">
      <pivotArea type="data" outline="0" fieldPosition="0">
        <references count="3">
          <reference field="4294967294" count="1" selected="0">
            <x v="0"/>
          </reference>
          <reference field="1" count="1" selected="0">
            <x v="35"/>
          </reference>
          <reference field="6" count="1" selected="0">
            <x v="68"/>
          </reference>
        </references>
      </pivotArea>
    </chartFormat>
    <chartFormat chart="23" format="1831">
      <pivotArea type="data" outline="0" fieldPosition="0">
        <references count="3">
          <reference field="4294967294" count="1" selected="0">
            <x v="0"/>
          </reference>
          <reference field="1" count="1" selected="0">
            <x v="36"/>
          </reference>
          <reference field="6" count="1" selected="0">
            <x v="68"/>
          </reference>
        </references>
      </pivotArea>
    </chartFormat>
    <chartFormat chart="23" format="1832">
      <pivotArea type="data" outline="0" fieldPosition="0">
        <references count="3">
          <reference field="4294967294" count="1" selected="0">
            <x v="0"/>
          </reference>
          <reference field="1" count="1" selected="0">
            <x v="37"/>
          </reference>
          <reference field="6" count="1" selected="0">
            <x v="68"/>
          </reference>
        </references>
      </pivotArea>
    </chartFormat>
    <chartFormat chart="23" format="1833">
      <pivotArea type="data" outline="0" fieldPosition="0">
        <references count="3">
          <reference field="4294967294" count="1" selected="0">
            <x v="0"/>
          </reference>
          <reference field="1" count="1" selected="0">
            <x v="38"/>
          </reference>
          <reference field="6" count="1" selected="0">
            <x v="68"/>
          </reference>
        </references>
      </pivotArea>
    </chartFormat>
    <chartFormat chart="23" format="1834">
      <pivotArea type="data" outline="0" fieldPosition="0">
        <references count="3">
          <reference field="4294967294" count="1" selected="0">
            <x v="0"/>
          </reference>
          <reference field="1" count="1" selected="0">
            <x v="39"/>
          </reference>
          <reference field="6" count="1" selected="0">
            <x v="68"/>
          </reference>
        </references>
      </pivotArea>
    </chartFormat>
    <chartFormat chart="23" format="1835">
      <pivotArea type="data" outline="0" fieldPosition="0">
        <references count="3">
          <reference field="4294967294" count="1" selected="0">
            <x v="0"/>
          </reference>
          <reference field="1" count="1" selected="0">
            <x v="40"/>
          </reference>
          <reference field="6" count="1" selected="0">
            <x v="68"/>
          </reference>
        </references>
      </pivotArea>
    </chartFormat>
    <chartFormat chart="23" format="1836">
      <pivotArea type="data" outline="0" fieldPosition="0">
        <references count="3">
          <reference field="4294967294" count="1" selected="0">
            <x v="0"/>
          </reference>
          <reference field="1" count="1" selected="0">
            <x v="41"/>
          </reference>
          <reference field="6" count="1" selected="0">
            <x v="68"/>
          </reference>
        </references>
      </pivotArea>
    </chartFormat>
    <chartFormat chart="23" format="1837">
      <pivotArea type="data" outline="0" fieldPosition="0">
        <references count="3">
          <reference field="4294967294" count="1" selected="0">
            <x v="0"/>
          </reference>
          <reference field="1" count="1" selected="0">
            <x v="42"/>
          </reference>
          <reference field="6" count="1" selected="0">
            <x v="68"/>
          </reference>
        </references>
      </pivotArea>
    </chartFormat>
    <chartFormat chart="23" format="1838">
      <pivotArea type="data" outline="0" fieldPosition="0">
        <references count="3">
          <reference field="4294967294" count="1" selected="0">
            <x v="0"/>
          </reference>
          <reference field="1" count="1" selected="0">
            <x v="43"/>
          </reference>
          <reference field="6" count="1" selected="0">
            <x v="68"/>
          </reference>
        </references>
      </pivotArea>
    </chartFormat>
    <chartFormat chart="23" format="1839">
      <pivotArea type="data" outline="0" fieldPosition="0">
        <references count="3">
          <reference field="4294967294" count="1" selected="0">
            <x v="0"/>
          </reference>
          <reference field="1" count="1" selected="0">
            <x v="44"/>
          </reference>
          <reference field="6" count="1" selected="0">
            <x v="68"/>
          </reference>
        </references>
      </pivotArea>
    </chartFormat>
    <chartFormat chart="23" format="1840">
      <pivotArea type="data" outline="0" fieldPosition="0">
        <references count="3">
          <reference field="4294967294" count="1" selected="0">
            <x v="0"/>
          </reference>
          <reference field="1" count="1" selected="0">
            <x v="45"/>
          </reference>
          <reference field="6" count="1" selected="0">
            <x v="68"/>
          </reference>
        </references>
      </pivotArea>
    </chartFormat>
    <chartFormat chart="23" format="1841">
      <pivotArea type="data" outline="0" fieldPosition="0">
        <references count="3">
          <reference field="4294967294" count="1" selected="0">
            <x v="0"/>
          </reference>
          <reference field="1" count="1" selected="0">
            <x v="5"/>
          </reference>
          <reference field="6" count="1" selected="0">
            <x v="69"/>
          </reference>
        </references>
      </pivotArea>
    </chartFormat>
    <chartFormat chart="23" format="1842">
      <pivotArea type="data" outline="0" fieldPosition="0">
        <references count="3">
          <reference field="4294967294" count="1" selected="0">
            <x v="0"/>
          </reference>
          <reference field="1" count="1" selected="0">
            <x v="11"/>
          </reference>
          <reference field="6" count="1" selected="0">
            <x v="69"/>
          </reference>
        </references>
      </pivotArea>
    </chartFormat>
    <chartFormat chart="23" format="1843">
      <pivotArea type="data" outline="0" fieldPosition="0">
        <references count="3">
          <reference field="4294967294" count="1" selected="0">
            <x v="0"/>
          </reference>
          <reference field="1" count="1" selected="0">
            <x v="17"/>
          </reference>
          <reference field="6" count="1" selected="0">
            <x v="69"/>
          </reference>
        </references>
      </pivotArea>
    </chartFormat>
    <chartFormat chart="23" format="1844">
      <pivotArea type="data" outline="0" fieldPosition="0">
        <references count="3">
          <reference field="4294967294" count="1" selected="0">
            <x v="0"/>
          </reference>
          <reference field="1" count="1" selected="0">
            <x v="18"/>
          </reference>
          <reference field="6" count="1" selected="0">
            <x v="69"/>
          </reference>
        </references>
      </pivotArea>
    </chartFormat>
    <chartFormat chart="23" format="1845">
      <pivotArea type="data" outline="0" fieldPosition="0">
        <references count="3">
          <reference field="4294967294" count="1" selected="0">
            <x v="0"/>
          </reference>
          <reference field="1" count="1" selected="0">
            <x v="19"/>
          </reference>
          <reference field="6" count="1" selected="0">
            <x v="69"/>
          </reference>
        </references>
      </pivotArea>
    </chartFormat>
    <chartFormat chart="23" format="1846">
      <pivotArea type="data" outline="0" fieldPosition="0">
        <references count="3">
          <reference field="4294967294" count="1" selected="0">
            <x v="0"/>
          </reference>
          <reference field="1" count="1" selected="0">
            <x v="24"/>
          </reference>
          <reference field="6" count="1" selected="0">
            <x v="69"/>
          </reference>
        </references>
      </pivotArea>
    </chartFormat>
    <chartFormat chart="23" format="1847">
      <pivotArea type="data" outline="0" fieldPosition="0">
        <references count="3">
          <reference field="4294967294" count="1" selected="0">
            <x v="0"/>
          </reference>
          <reference field="1" count="1" selected="0">
            <x v="25"/>
          </reference>
          <reference field="6" count="1" selected="0">
            <x v="69"/>
          </reference>
        </references>
      </pivotArea>
    </chartFormat>
    <chartFormat chart="23" format="1848">
      <pivotArea type="data" outline="0" fieldPosition="0">
        <references count="3">
          <reference field="4294967294" count="1" selected="0">
            <x v="0"/>
          </reference>
          <reference field="1" count="1" selected="0">
            <x v="29"/>
          </reference>
          <reference field="6" count="1" selected="0">
            <x v="69"/>
          </reference>
        </references>
      </pivotArea>
    </chartFormat>
    <chartFormat chart="23" format="1849">
      <pivotArea type="data" outline="0" fieldPosition="0">
        <references count="3">
          <reference field="4294967294" count="1" selected="0">
            <x v="0"/>
          </reference>
          <reference field="1" count="1" selected="0">
            <x v="30"/>
          </reference>
          <reference field="6" count="1" selected="0">
            <x v="69"/>
          </reference>
        </references>
      </pivotArea>
    </chartFormat>
    <chartFormat chart="23" format="1850">
      <pivotArea type="data" outline="0" fieldPosition="0">
        <references count="3">
          <reference field="4294967294" count="1" selected="0">
            <x v="0"/>
          </reference>
          <reference field="1" count="1" selected="0">
            <x v="31"/>
          </reference>
          <reference field="6" count="1" selected="0">
            <x v="69"/>
          </reference>
        </references>
      </pivotArea>
    </chartFormat>
    <chartFormat chart="23" format="1851">
      <pivotArea type="data" outline="0" fieldPosition="0">
        <references count="3">
          <reference field="4294967294" count="1" selected="0">
            <x v="0"/>
          </reference>
          <reference field="1" count="1" selected="0">
            <x v="32"/>
          </reference>
          <reference field="6" count="1" selected="0">
            <x v="69"/>
          </reference>
        </references>
      </pivotArea>
    </chartFormat>
    <chartFormat chart="23" format="1852">
      <pivotArea type="data" outline="0" fieldPosition="0">
        <references count="3">
          <reference field="4294967294" count="1" selected="0">
            <x v="0"/>
          </reference>
          <reference field="1" count="1" selected="0">
            <x v="33"/>
          </reference>
          <reference field="6" count="1" selected="0">
            <x v="69"/>
          </reference>
        </references>
      </pivotArea>
    </chartFormat>
    <chartFormat chart="23" format="1853">
      <pivotArea type="data" outline="0" fieldPosition="0">
        <references count="3">
          <reference field="4294967294" count="1" selected="0">
            <x v="0"/>
          </reference>
          <reference field="1" count="1" selected="0">
            <x v="34"/>
          </reference>
          <reference field="6" count="1" selected="0">
            <x v="69"/>
          </reference>
        </references>
      </pivotArea>
    </chartFormat>
    <chartFormat chart="23" format="1854">
      <pivotArea type="data" outline="0" fieldPosition="0">
        <references count="3">
          <reference field="4294967294" count="1" selected="0">
            <x v="0"/>
          </reference>
          <reference field="1" count="1" selected="0">
            <x v="35"/>
          </reference>
          <reference field="6" count="1" selected="0">
            <x v="69"/>
          </reference>
        </references>
      </pivotArea>
    </chartFormat>
    <chartFormat chart="23" format="1855">
      <pivotArea type="data" outline="0" fieldPosition="0">
        <references count="3">
          <reference field="4294967294" count="1" selected="0">
            <x v="0"/>
          </reference>
          <reference field="1" count="1" selected="0">
            <x v="36"/>
          </reference>
          <reference field="6" count="1" selected="0">
            <x v="69"/>
          </reference>
        </references>
      </pivotArea>
    </chartFormat>
    <chartFormat chart="23" format="1856">
      <pivotArea type="data" outline="0" fieldPosition="0">
        <references count="3">
          <reference field="4294967294" count="1" selected="0">
            <x v="0"/>
          </reference>
          <reference field="1" count="1" selected="0">
            <x v="37"/>
          </reference>
          <reference field="6" count="1" selected="0">
            <x v="69"/>
          </reference>
        </references>
      </pivotArea>
    </chartFormat>
    <chartFormat chart="23" format="1857">
      <pivotArea type="data" outline="0" fieldPosition="0">
        <references count="3">
          <reference field="4294967294" count="1" selected="0">
            <x v="0"/>
          </reference>
          <reference field="1" count="1" selected="0">
            <x v="38"/>
          </reference>
          <reference field="6" count="1" selected="0">
            <x v="69"/>
          </reference>
        </references>
      </pivotArea>
    </chartFormat>
    <chartFormat chart="23" format="1858">
      <pivotArea type="data" outline="0" fieldPosition="0">
        <references count="3">
          <reference field="4294967294" count="1" selected="0">
            <x v="0"/>
          </reference>
          <reference field="1" count="1" selected="0">
            <x v="39"/>
          </reference>
          <reference field="6" count="1" selected="0">
            <x v="69"/>
          </reference>
        </references>
      </pivotArea>
    </chartFormat>
    <chartFormat chart="23" format="1859">
      <pivotArea type="data" outline="0" fieldPosition="0">
        <references count="3">
          <reference field="4294967294" count="1" selected="0">
            <x v="0"/>
          </reference>
          <reference field="1" count="1" selected="0">
            <x v="40"/>
          </reference>
          <reference field="6" count="1" selected="0">
            <x v="69"/>
          </reference>
        </references>
      </pivotArea>
    </chartFormat>
    <chartFormat chart="23" format="1860">
      <pivotArea type="data" outline="0" fieldPosition="0">
        <references count="3">
          <reference field="4294967294" count="1" selected="0">
            <x v="0"/>
          </reference>
          <reference field="1" count="1" selected="0">
            <x v="41"/>
          </reference>
          <reference field="6" count="1" selected="0">
            <x v="69"/>
          </reference>
        </references>
      </pivotArea>
    </chartFormat>
    <chartFormat chart="23" format="1861">
      <pivotArea type="data" outline="0" fieldPosition="0">
        <references count="3">
          <reference field="4294967294" count="1" selected="0">
            <x v="0"/>
          </reference>
          <reference field="1" count="1" selected="0">
            <x v="42"/>
          </reference>
          <reference field="6" count="1" selected="0">
            <x v="69"/>
          </reference>
        </references>
      </pivotArea>
    </chartFormat>
    <chartFormat chart="23" format="1862">
      <pivotArea type="data" outline="0" fieldPosition="0">
        <references count="3">
          <reference field="4294967294" count="1" selected="0">
            <x v="0"/>
          </reference>
          <reference field="1" count="1" selected="0">
            <x v="43"/>
          </reference>
          <reference field="6" count="1" selected="0">
            <x v="69"/>
          </reference>
        </references>
      </pivotArea>
    </chartFormat>
    <chartFormat chart="23" format="1863">
      <pivotArea type="data" outline="0" fieldPosition="0">
        <references count="3">
          <reference field="4294967294" count="1" selected="0">
            <x v="0"/>
          </reference>
          <reference field="1" count="1" selected="0">
            <x v="44"/>
          </reference>
          <reference field="6" count="1" selected="0">
            <x v="69"/>
          </reference>
        </references>
      </pivotArea>
    </chartFormat>
    <chartFormat chart="23" format="1864">
      <pivotArea type="data" outline="0" fieldPosition="0">
        <references count="3">
          <reference field="4294967294" count="1" selected="0">
            <x v="0"/>
          </reference>
          <reference field="1" count="1" selected="0">
            <x v="45"/>
          </reference>
          <reference field="6" count="1" selected="0">
            <x v="69"/>
          </reference>
        </references>
      </pivotArea>
    </chartFormat>
    <chartFormat chart="23" format="1865">
      <pivotArea type="data" outline="0" fieldPosition="0">
        <references count="3">
          <reference field="4294967294" count="1" selected="0">
            <x v="0"/>
          </reference>
          <reference field="1" count="1" selected="0">
            <x v="5"/>
          </reference>
          <reference field="6" count="1" selected="0">
            <x v="70"/>
          </reference>
        </references>
      </pivotArea>
    </chartFormat>
    <chartFormat chart="23" format="1866">
      <pivotArea type="data" outline="0" fieldPosition="0">
        <references count="3">
          <reference field="4294967294" count="1" selected="0">
            <x v="0"/>
          </reference>
          <reference field="1" count="1" selected="0">
            <x v="11"/>
          </reference>
          <reference field="6" count="1" selected="0">
            <x v="70"/>
          </reference>
        </references>
      </pivotArea>
    </chartFormat>
    <chartFormat chart="23" format="1867">
      <pivotArea type="data" outline="0" fieldPosition="0">
        <references count="3">
          <reference field="4294967294" count="1" selected="0">
            <x v="0"/>
          </reference>
          <reference field="1" count="1" selected="0">
            <x v="17"/>
          </reference>
          <reference field="6" count="1" selected="0">
            <x v="70"/>
          </reference>
        </references>
      </pivotArea>
    </chartFormat>
    <chartFormat chart="23" format="1868">
      <pivotArea type="data" outline="0" fieldPosition="0">
        <references count="3">
          <reference field="4294967294" count="1" selected="0">
            <x v="0"/>
          </reference>
          <reference field="1" count="1" selected="0">
            <x v="18"/>
          </reference>
          <reference field="6" count="1" selected="0">
            <x v="70"/>
          </reference>
        </references>
      </pivotArea>
    </chartFormat>
    <chartFormat chart="23" format="1869">
      <pivotArea type="data" outline="0" fieldPosition="0">
        <references count="3">
          <reference field="4294967294" count="1" selected="0">
            <x v="0"/>
          </reference>
          <reference field="1" count="1" selected="0">
            <x v="19"/>
          </reference>
          <reference field="6" count="1" selected="0">
            <x v="70"/>
          </reference>
        </references>
      </pivotArea>
    </chartFormat>
    <chartFormat chart="23" format="1870">
      <pivotArea type="data" outline="0" fieldPosition="0">
        <references count="3">
          <reference field="4294967294" count="1" selected="0">
            <x v="0"/>
          </reference>
          <reference field="1" count="1" selected="0">
            <x v="24"/>
          </reference>
          <reference field="6" count="1" selected="0">
            <x v="70"/>
          </reference>
        </references>
      </pivotArea>
    </chartFormat>
    <chartFormat chart="23" format="1871">
      <pivotArea type="data" outline="0" fieldPosition="0">
        <references count="3">
          <reference field="4294967294" count="1" selected="0">
            <x v="0"/>
          </reference>
          <reference field="1" count="1" selected="0">
            <x v="25"/>
          </reference>
          <reference field="6" count="1" selected="0">
            <x v="70"/>
          </reference>
        </references>
      </pivotArea>
    </chartFormat>
    <chartFormat chart="23" format="1872">
      <pivotArea type="data" outline="0" fieldPosition="0">
        <references count="3">
          <reference field="4294967294" count="1" selected="0">
            <x v="0"/>
          </reference>
          <reference field="1" count="1" selected="0">
            <x v="29"/>
          </reference>
          <reference field="6" count="1" selected="0">
            <x v="70"/>
          </reference>
        </references>
      </pivotArea>
    </chartFormat>
    <chartFormat chart="23" format="1873">
      <pivotArea type="data" outline="0" fieldPosition="0">
        <references count="3">
          <reference field="4294967294" count="1" selected="0">
            <x v="0"/>
          </reference>
          <reference field="1" count="1" selected="0">
            <x v="30"/>
          </reference>
          <reference field="6" count="1" selected="0">
            <x v="70"/>
          </reference>
        </references>
      </pivotArea>
    </chartFormat>
    <chartFormat chart="23" format="1874">
      <pivotArea type="data" outline="0" fieldPosition="0">
        <references count="3">
          <reference field="4294967294" count="1" selected="0">
            <x v="0"/>
          </reference>
          <reference field="1" count="1" selected="0">
            <x v="31"/>
          </reference>
          <reference field="6" count="1" selected="0">
            <x v="70"/>
          </reference>
        </references>
      </pivotArea>
    </chartFormat>
    <chartFormat chart="23" format="1875">
      <pivotArea type="data" outline="0" fieldPosition="0">
        <references count="3">
          <reference field="4294967294" count="1" selected="0">
            <x v="0"/>
          </reference>
          <reference field="1" count="1" selected="0">
            <x v="32"/>
          </reference>
          <reference field="6" count="1" selected="0">
            <x v="70"/>
          </reference>
        </references>
      </pivotArea>
    </chartFormat>
    <chartFormat chart="23" format="1876">
      <pivotArea type="data" outline="0" fieldPosition="0">
        <references count="3">
          <reference field="4294967294" count="1" selected="0">
            <x v="0"/>
          </reference>
          <reference field="1" count="1" selected="0">
            <x v="33"/>
          </reference>
          <reference field="6" count="1" selected="0">
            <x v="70"/>
          </reference>
        </references>
      </pivotArea>
    </chartFormat>
    <chartFormat chart="23" format="1877">
      <pivotArea type="data" outline="0" fieldPosition="0">
        <references count="3">
          <reference field="4294967294" count="1" selected="0">
            <x v="0"/>
          </reference>
          <reference field="1" count="1" selected="0">
            <x v="34"/>
          </reference>
          <reference field="6" count="1" selected="0">
            <x v="70"/>
          </reference>
        </references>
      </pivotArea>
    </chartFormat>
    <chartFormat chart="23" format="1878">
      <pivotArea type="data" outline="0" fieldPosition="0">
        <references count="3">
          <reference field="4294967294" count="1" selected="0">
            <x v="0"/>
          </reference>
          <reference field="1" count="1" selected="0">
            <x v="35"/>
          </reference>
          <reference field="6" count="1" selected="0">
            <x v="70"/>
          </reference>
        </references>
      </pivotArea>
    </chartFormat>
    <chartFormat chart="23" format="1879">
      <pivotArea type="data" outline="0" fieldPosition="0">
        <references count="3">
          <reference field="4294967294" count="1" selected="0">
            <x v="0"/>
          </reference>
          <reference field="1" count="1" selected="0">
            <x v="36"/>
          </reference>
          <reference field="6" count="1" selected="0">
            <x v="70"/>
          </reference>
        </references>
      </pivotArea>
    </chartFormat>
    <chartFormat chart="23" format="1880">
      <pivotArea type="data" outline="0" fieldPosition="0">
        <references count="3">
          <reference field="4294967294" count="1" selected="0">
            <x v="0"/>
          </reference>
          <reference field="1" count="1" selected="0">
            <x v="37"/>
          </reference>
          <reference field="6" count="1" selected="0">
            <x v="70"/>
          </reference>
        </references>
      </pivotArea>
    </chartFormat>
    <chartFormat chart="23" format="1881">
      <pivotArea type="data" outline="0" fieldPosition="0">
        <references count="3">
          <reference field="4294967294" count="1" selected="0">
            <x v="0"/>
          </reference>
          <reference field="1" count="1" selected="0">
            <x v="38"/>
          </reference>
          <reference field="6" count="1" selected="0">
            <x v="70"/>
          </reference>
        </references>
      </pivotArea>
    </chartFormat>
    <chartFormat chart="23" format="1882">
      <pivotArea type="data" outline="0" fieldPosition="0">
        <references count="3">
          <reference field="4294967294" count="1" selected="0">
            <x v="0"/>
          </reference>
          <reference field="1" count="1" selected="0">
            <x v="39"/>
          </reference>
          <reference field="6" count="1" selected="0">
            <x v="70"/>
          </reference>
        </references>
      </pivotArea>
    </chartFormat>
    <chartFormat chart="23" format="1883">
      <pivotArea type="data" outline="0" fieldPosition="0">
        <references count="3">
          <reference field="4294967294" count="1" selected="0">
            <x v="0"/>
          </reference>
          <reference field="1" count="1" selected="0">
            <x v="40"/>
          </reference>
          <reference field="6" count="1" selected="0">
            <x v="70"/>
          </reference>
        </references>
      </pivotArea>
    </chartFormat>
    <chartFormat chart="23" format="1884">
      <pivotArea type="data" outline="0" fieldPosition="0">
        <references count="3">
          <reference field="4294967294" count="1" selected="0">
            <x v="0"/>
          </reference>
          <reference field="1" count="1" selected="0">
            <x v="41"/>
          </reference>
          <reference field="6" count="1" selected="0">
            <x v="70"/>
          </reference>
        </references>
      </pivotArea>
    </chartFormat>
    <chartFormat chart="23" format="1885">
      <pivotArea type="data" outline="0" fieldPosition="0">
        <references count="3">
          <reference field="4294967294" count="1" selected="0">
            <x v="0"/>
          </reference>
          <reference field="1" count="1" selected="0">
            <x v="42"/>
          </reference>
          <reference field="6" count="1" selected="0">
            <x v="70"/>
          </reference>
        </references>
      </pivotArea>
    </chartFormat>
    <chartFormat chart="23" format="1886">
      <pivotArea type="data" outline="0" fieldPosition="0">
        <references count="3">
          <reference field="4294967294" count="1" selected="0">
            <x v="0"/>
          </reference>
          <reference field="1" count="1" selected="0">
            <x v="43"/>
          </reference>
          <reference field="6" count="1" selected="0">
            <x v="70"/>
          </reference>
        </references>
      </pivotArea>
    </chartFormat>
    <chartFormat chart="23" format="1887">
      <pivotArea type="data" outline="0" fieldPosition="0">
        <references count="3">
          <reference field="4294967294" count="1" selected="0">
            <x v="0"/>
          </reference>
          <reference field="1" count="1" selected="0">
            <x v="44"/>
          </reference>
          <reference field="6" count="1" selected="0">
            <x v="70"/>
          </reference>
        </references>
      </pivotArea>
    </chartFormat>
    <chartFormat chart="23" format="1888">
      <pivotArea type="data" outline="0" fieldPosition="0">
        <references count="3">
          <reference field="4294967294" count="1" selected="0">
            <x v="0"/>
          </reference>
          <reference field="1" count="1" selected="0">
            <x v="45"/>
          </reference>
          <reference field="6" count="1" selected="0">
            <x v="70"/>
          </reference>
        </references>
      </pivotArea>
    </chartFormat>
    <chartFormat chart="23" format="1889">
      <pivotArea type="data" outline="0" fieldPosition="0">
        <references count="3">
          <reference field="4294967294" count="1" selected="0">
            <x v="0"/>
          </reference>
          <reference field="1" count="1" selected="0">
            <x v="5"/>
          </reference>
          <reference field="6" count="1" selected="0">
            <x v="71"/>
          </reference>
        </references>
      </pivotArea>
    </chartFormat>
    <chartFormat chart="23" format="1890">
      <pivotArea type="data" outline="0" fieldPosition="0">
        <references count="3">
          <reference field="4294967294" count="1" selected="0">
            <x v="0"/>
          </reference>
          <reference field="1" count="1" selected="0">
            <x v="11"/>
          </reference>
          <reference field="6" count="1" selected="0">
            <x v="71"/>
          </reference>
        </references>
      </pivotArea>
    </chartFormat>
    <chartFormat chart="23" format="1891">
      <pivotArea type="data" outline="0" fieldPosition="0">
        <references count="3">
          <reference field="4294967294" count="1" selected="0">
            <x v="0"/>
          </reference>
          <reference field="1" count="1" selected="0">
            <x v="17"/>
          </reference>
          <reference field="6" count="1" selected="0">
            <x v="71"/>
          </reference>
        </references>
      </pivotArea>
    </chartFormat>
    <chartFormat chart="23" format="1892">
      <pivotArea type="data" outline="0" fieldPosition="0">
        <references count="3">
          <reference field="4294967294" count="1" selected="0">
            <x v="0"/>
          </reference>
          <reference field="1" count="1" selected="0">
            <x v="18"/>
          </reference>
          <reference field="6" count="1" selected="0">
            <x v="71"/>
          </reference>
        </references>
      </pivotArea>
    </chartFormat>
    <chartFormat chart="23" format="1893">
      <pivotArea type="data" outline="0" fieldPosition="0">
        <references count="3">
          <reference field="4294967294" count="1" selected="0">
            <x v="0"/>
          </reference>
          <reference field="1" count="1" selected="0">
            <x v="19"/>
          </reference>
          <reference field="6" count="1" selected="0">
            <x v="71"/>
          </reference>
        </references>
      </pivotArea>
    </chartFormat>
    <chartFormat chart="23" format="1894">
      <pivotArea type="data" outline="0" fieldPosition="0">
        <references count="3">
          <reference field="4294967294" count="1" selected="0">
            <x v="0"/>
          </reference>
          <reference field="1" count="1" selected="0">
            <x v="24"/>
          </reference>
          <reference field="6" count="1" selected="0">
            <x v="71"/>
          </reference>
        </references>
      </pivotArea>
    </chartFormat>
    <chartFormat chart="23" format="1895">
      <pivotArea type="data" outline="0" fieldPosition="0">
        <references count="3">
          <reference field="4294967294" count="1" selected="0">
            <x v="0"/>
          </reference>
          <reference field="1" count="1" selected="0">
            <x v="25"/>
          </reference>
          <reference field="6" count="1" selected="0">
            <x v="71"/>
          </reference>
        </references>
      </pivotArea>
    </chartFormat>
    <chartFormat chart="23" format="1896">
      <pivotArea type="data" outline="0" fieldPosition="0">
        <references count="3">
          <reference field="4294967294" count="1" selected="0">
            <x v="0"/>
          </reference>
          <reference field="1" count="1" selected="0">
            <x v="29"/>
          </reference>
          <reference field="6" count="1" selected="0">
            <x v="71"/>
          </reference>
        </references>
      </pivotArea>
    </chartFormat>
    <chartFormat chart="23" format="1897">
      <pivotArea type="data" outline="0" fieldPosition="0">
        <references count="3">
          <reference field="4294967294" count="1" selected="0">
            <x v="0"/>
          </reference>
          <reference field="1" count="1" selected="0">
            <x v="30"/>
          </reference>
          <reference field="6" count="1" selected="0">
            <x v="71"/>
          </reference>
        </references>
      </pivotArea>
    </chartFormat>
    <chartFormat chart="23" format="1898">
      <pivotArea type="data" outline="0" fieldPosition="0">
        <references count="3">
          <reference field="4294967294" count="1" selected="0">
            <x v="0"/>
          </reference>
          <reference field="1" count="1" selected="0">
            <x v="31"/>
          </reference>
          <reference field="6" count="1" selected="0">
            <x v="71"/>
          </reference>
        </references>
      </pivotArea>
    </chartFormat>
    <chartFormat chart="23" format="1899">
      <pivotArea type="data" outline="0" fieldPosition="0">
        <references count="3">
          <reference field="4294967294" count="1" selected="0">
            <x v="0"/>
          </reference>
          <reference field="1" count="1" selected="0">
            <x v="32"/>
          </reference>
          <reference field="6" count="1" selected="0">
            <x v="71"/>
          </reference>
        </references>
      </pivotArea>
    </chartFormat>
    <chartFormat chart="23" format="1900">
      <pivotArea type="data" outline="0" fieldPosition="0">
        <references count="3">
          <reference field="4294967294" count="1" selected="0">
            <x v="0"/>
          </reference>
          <reference field="1" count="1" selected="0">
            <x v="33"/>
          </reference>
          <reference field="6" count="1" selected="0">
            <x v="71"/>
          </reference>
        </references>
      </pivotArea>
    </chartFormat>
    <chartFormat chart="23" format="1901">
      <pivotArea type="data" outline="0" fieldPosition="0">
        <references count="3">
          <reference field="4294967294" count="1" selected="0">
            <x v="0"/>
          </reference>
          <reference field="1" count="1" selected="0">
            <x v="34"/>
          </reference>
          <reference field="6" count="1" selected="0">
            <x v="71"/>
          </reference>
        </references>
      </pivotArea>
    </chartFormat>
    <chartFormat chart="23" format="1902">
      <pivotArea type="data" outline="0" fieldPosition="0">
        <references count="3">
          <reference field="4294967294" count="1" selected="0">
            <x v="0"/>
          </reference>
          <reference field="1" count="1" selected="0">
            <x v="35"/>
          </reference>
          <reference field="6" count="1" selected="0">
            <x v="71"/>
          </reference>
        </references>
      </pivotArea>
    </chartFormat>
    <chartFormat chart="23" format="1903">
      <pivotArea type="data" outline="0" fieldPosition="0">
        <references count="3">
          <reference field="4294967294" count="1" selected="0">
            <x v="0"/>
          </reference>
          <reference field="1" count="1" selected="0">
            <x v="36"/>
          </reference>
          <reference field="6" count="1" selected="0">
            <x v="71"/>
          </reference>
        </references>
      </pivotArea>
    </chartFormat>
    <chartFormat chart="23" format="1904">
      <pivotArea type="data" outline="0" fieldPosition="0">
        <references count="3">
          <reference field="4294967294" count="1" selected="0">
            <x v="0"/>
          </reference>
          <reference field="1" count="1" selected="0">
            <x v="37"/>
          </reference>
          <reference field="6" count="1" selected="0">
            <x v="71"/>
          </reference>
        </references>
      </pivotArea>
    </chartFormat>
    <chartFormat chart="23" format="1905">
      <pivotArea type="data" outline="0" fieldPosition="0">
        <references count="3">
          <reference field="4294967294" count="1" selected="0">
            <x v="0"/>
          </reference>
          <reference field="1" count="1" selected="0">
            <x v="38"/>
          </reference>
          <reference field="6" count="1" selected="0">
            <x v="71"/>
          </reference>
        </references>
      </pivotArea>
    </chartFormat>
    <chartFormat chart="23" format="1906">
      <pivotArea type="data" outline="0" fieldPosition="0">
        <references count="3">
          <reference field="4294967294" count="1" selected="0">
            <x v="0"/>
          </reference>
          <reference field="1" count="1" selected="0">
            <x v="39"/>
          </reference>
          <reference field="6" count="1" selected="0">
            <x v="71"/>
          </reference>
        </references>
      </pivotArea>
    </chartFormat>
    <chartFormat chart="23" format="1907">
      <pivotArea type="data" outline="0" fieldPosition="0">
        <references count="3">
          <reference field="4294967294" count="1" selected="0">
            <x v="0"/>
          </reference>
          <reference field="1" count="1" selected="0">
            <x v="40"/>
          </reference>
          <reference field="6" count="1" selected="0">
            <x v="71"/>
          </reference>
        </references>
      </pivotArea>
    </chartFormat>
    <chartFormat chart="23" format="1908">
      <pivotArea type="data" outline="0" fieldPosition="0">
        <references count="3">
          <reference field="4294967294" count="1" selected="0">
            <x v="0"/>
          </reference>
          <reference field="1" count="1" selected="0">
            <x v="41"/>
          </reference>
          <reference field="6" count="1" selected="0">
            <x v="71"/>
          </reference>
        </references>
      </pivotArea>
    </chartFormat>
    <chartFormat chart="23" format="1909">
      <pivotArea type="data" outline="0" fieldPosition="0">
        <references count="3">
          <reference field="4294967294" count="1" selected="0">
            <x v="0"/>
          </reference>
          <reference field="1" count="1" selected="0">
            <x v="42"/>
          </reference>
          <reference field="6" count="1" selected="0">
            <x v="71"/>
          </reference>
        </references>
      </pivotArea>
    </chartFormat>
    <chartFormat chart="23" format="1910">
      <pivotArea type="data" outline="0" fieldPosition="0">
        <references count="3">
          <reference field="4294967294" count="1" selected="0">
            <x v="0"/>
          </reference>
          <reference field="1" count="1" selected="0">
            <x v="43"/>
          </reference>
          <reference field="6" count="1" selected="0">
            <x v="71"/>
          </reference>
        </references>
      </pivotArea>
    </chartFormat>
    <chartFormat chart="23" format="1911">
      <pivotArea type="data" outline="0" fieldPosition="0">
        <references count="3">
          <reference field="4294967294" count="1" selected="0">
            <x v="0"/>
          </reference>
          <reference field="1" count="1" selected="0">
            <x v="44"/>
          </reference>
          <reference field="6" count="1" selected="0">
            <x v="71"/>
          </reference>
        </references>
      </pivotArea>
    </chartFormat>
    <chartFormat chart="23" format="1912">
      <pivotArea type="data" outline="0" fieldPosition="0">
        <references count="3">
          <reference field="4294967294" count="1" selected="0">
            <x v="0"/>
          </reference>
          <reference field="1" count="1" selected="0">
            <x v="45"/>
          </reference>
          <reference field="6" count="1" selected="0">
            <x v="71"/>
          </reference>
        </references>
      </pivotArea>
    </chartFormat>
    <chartFormat chart="23" format="1913">
      <pivotArea type="data" outline="0" fieldPosition="0">
        <references count="3">
          <reference field="4294967294" count="1" selected="0">
            <x v="0"/>
          </reference>
          <reference field="1" count="1" selected="0">
            <x v="5"/>
          </reference>
          <reference field="6" count="1" selected="0">
            <x v="72"/>
          </reference>
        </references>
      </pivotArea>
    </chartFormat>
    <chartFormat chart="23" format="1914">
      <pivotArea type="data" outline="0" fieldPosition="0">
        <references count="3">
          <reference field="4294967294" count="1" selected="0">
            <x v="0"/>
          </reference>
          <reference field="1" count="1" selected="0">
            <x v="11"/>
          </reference>
          <reference field="6" count="1" selected="0">
            <x v="72"/>
          </reference>
        </references>
      </pivotArea>
    </chartFormat>
    <chartFormat chart="23" format="1915">
      <pivotArea type="data" outline="0" fieldPosition="0">
        <references count="3">
          <reference field="4294967294" count="1" selected="0">
            <x v="0"/>
          </reference>
          <reference field="1" count="1" selected="0">
            <x v="17"/>
          </reference>
          <reference field="6" count="1" selected="0">
            <x v="72"/>
          </reference>
        </references>
      </pivotArea>
    </chartFormat>
    <chartFormat chart="23" format="1916">
      <pivotArea type="data" outline="0" fieldPosition="0">
        <references count="3">
          <reference field="4294967294" count="1" selected="0">
            <x v="0"/>
          </reference>
          <reference field="1" count="1" selected="0">
            <x v="18"/>
          </reference>
          <reference field="6" count="1" selected="0">
            <x v="72"/>
          </reference>
        </references>
      </pivotArea>
    </chartFormat>
    <chartFormat chart="23" format="1917">
      <pivotArea type="data" outline="0" fieldPosition="0">
        <references count="3">
          <reference field="4294967294" count="1" selected="0">
            <x v="0"/>
          </reference>
          <reference field="1" count="1" selected="0">
            <x v="19"/>
          </reference>
          <reference field="6" count="1" selected="0">
            <x v="72"/>
          </reference>
        </references>
      </pivotArea>
    </chartFormat>
    <chartFormat chart="23" format="1918">
      <pivotArea type="data" outline="0" fieldPosition="0">
        <references count="3">
          <reference field="4294967294" count="1" selected="0">
            <x v="0"/>
          </reference>
          <reference field="1" count="1" selected="0">
            <x v="24"/>
          </reference>
          <reference field="6" count="1" selected="0">
            <x v="72"/>
          </reference>
        </references>
      </pivotArea>
    </chartFormat>
    <chartFormat chart="23" format="1919">
      <pivotArea type="data" outline="0" fieldPosition="0">
        <references count="3">
          <reference field="4294967294" count="1" selected="0">
            <x v="0"/>
          </reference>
          <reference field="1" count="1" selected="0">
            <x v="25"/>
          </reference>
          <reference field="6" count="1" selected="0">
            <x v="72"/>
          </reference>
        </references>
      </pivotArea>
    </chartFormat>
    <chartFormat chart="23" format="1920">
      <pivotArea type="data" outline="0" fieldPosition="0">
        <references count="3">
          <reference field="4294967294" count="1" selected="0">
            <x v="0"/>
          </reference>
          <reference field="1" count="1" selected="0">
            <x v="29"/>
          </reference>
          <reference field="6" count="1" selected="0">
            <x v="72"/>
          </reference>
        </references>
      </pivotArea>
    </chartFormat>
    <chartFormat chart="23" format="1921">
      <pivotArea type="data" outline="0" fieldPosition="0">
        <references count="3">
          <reference field="4294967294" count="1" selected="0">
            <x v="0"/>
          </reference>
          <reference field="1" count="1" selected="0">
            <x v="30"/>
          </reference>
          <reference field="6" count="1" selected="0">
            <x v="72"/>
          </reference>
        </references>
      </pivotArea>
    </chartFormat>
    <chartFormat chart="23" format="1922">
      <pivotArea type="data" outline="0" fieldPosition="0">
        <references count="3">
          <reference field="4294967294" count="1" selected="0">
            <x v="0"/>
          </reference>
          <reference field="1" count="1" selected="0">
            <x v="31"/>
          </reference>
          <reference field="6" count="1" selected="0">
            <x v="72"/>
          </reference>
        </references>
      </pivotArea>
    </chartFormat>
    <chartFormat chart="23" format="1923">
      <pivotArea type="data" outline="0" fieldPosition="0">
        <references count="3">
          <reference field="4294967294" count="1" selected="0">
            <x v="0"/>
          </reference>
          <reference field="1" count="1" selected="0">
            <x v="32"/>
          </reference>
          <reference field="6" count="1" selected="0">
            <x v="72"/>
          </reference>
        </references>
      </pivotArea>
    </chartFormat>
    <chartFormat chart="23" format="1924">
      <pivotArea type="data" outline="0" fieldPosition="0">
        <references count="3">
          <reference field="4294967294" count="1" selected="0">
            <x v="0"/>
          </reference>
          <reference field="1" count="1" selected="0">
            <x v="33"/>
          </reference>
          <reference field="6" count="1" selected="0">
            <x v="72"/>
          </reference>
        </references>
      </pivotArea>
    </chartFormat>
    <chartFormat chart="23" format="1925">
      <pivotArea type="data" outline="0" fieldPosition="0">
        <references count="3">
          <reference field="4294967294" count="1" selected="0">
            <x v="0"/>
          </reference>
          <reference field="1" count="1" selected="0">
            <x v="34"/>
          </reference>
          <reference field="6" count="1" selected="0">
            <x v="72"/>
          </reference>
        </references>
      </pivotArea>
    </chartFormat>
    <chartFormat chart="23" format="1926">
      <pivotArea type="data" outline="0" fieldPosition="0">
        <references count="3">
          <reference field="4294967294" count="1" selected="0">
            <x v="0"/>
          </reference>
          <reference field="1" count="1" selected="0">
            <x v="35"/>
          </reference>
          <reference field="6" count="1" selected="0">
            <x v="72"/>
          </reference>
        </references>
      </pivotArea>
    </chartFormat>
    <chartFormat chart="23" format="1927">
      <pivotArea type="data" outline="0" fieldPosition="0">
        <references count="3">
          <reference field="4294967294" count="1" selected="0">
            <x v="0"/>
          </reference>
          <reference field="1" count="1" selected="0">
            <x v="36"/>
          </reference>
          <reference field="6" count="1" selected="0">
            <x v="72"/>
          </reference>
        </references>
      </pivotArea>
    </chartFormat>
    <chartFormat chart="23" format="1928">
      <pivotArea type="data" outline="0" fieldPosition="0">
        <references count="3">
          <reference field="4294967294" count="1" selected="0">
            <x v="0"/>
          </reference>
          <reference field="1" count="1" selected="0">
            <x v="37"/>
          </reference>
          <reference field="6" count="1" selected="0">
            <x v="72"/>
          </reference>
        </references>
      </pivotArea>
    </chartFormat>
    <chartFormat chart="23" format="1929">
      <pivotArea type="data" outline="0" fieldPosition="0">
        <references count="3">
          <reference field="4294967294" count="1" selected="0">
            <x v="0"/>
          </reference>
          <reference field="1" count="1" selected="0">
            <x v="38"/>
          </reference>
          <reference field="6" count="1" selected="0">
            <x v="72"/>
          </reference>
        </references>
      </pivotArea>
    </chartFormat>
    <chartFormat chart="23" format="1930">
      <pivotArea type="data" outline="0" fieldPosition="0">
        <references count="3">
          <reference field="4294967294" count="1" selected="0">
            <x v="0"/>
          </reference>
          <reference field="1" count="1" selected="0">
            <x v="39"/>
          </reference>
          <reference field="6" count="1" selected="0">
            <x v="72"/>
          </reference>
        </references>
      </pivotArea>
    </chartFormat>
    <chartFormat chart="23" format="1931">
      <pivotArea type="data" outline="0" fieldPosition="0">
        <references count="3">
          <reference field="4294967294" count="1" selected="0">
            <x v="0"/>
          </reference>
          <reference field="1" count="1" selected="0">
            <x v="40"/>
          </reference>
          <reference field="6" count="1" selected="0">
            <x v="72"/>
          </reference>
        </references>
      </pivotArea>
    </chartFormat>
    <chartFormat chart="23" format="1932">
      <pivotArea type="data" outline="0" fieldPosition="0">
        <references count="3">
          <reference field="4294967294" count="1" selected="0">
            <x v="0"/>
          </reference>
          <reference field="1" count="1" selected="0">
            <x v="41"/>
          </reference>
          <reference field="6" count="1" selected="0">
            <x v="72"/>
          </reference>
        </references>
      </pivotArea>
    </chartFormat>
    <chartFormat chart="23" format="1933">
      <pivotArea type="data" outline="0" fieldPosition="0">
        <references count="3">
          <reference field="4294967294" count="1" selected="0">
            <x v="0"/>
          </reference>
          <reference field="1" count="1" selected="0">
            <x v="42"/>
          </reference>
          <reference field="6" count="1" selected="0">
            <x v="72"/>
          </reference>
        </references>
      </pivotArea>
    </chartFormat>
    <chartFormat chart="23" format="1934">
      <pivotArea type="data" outline="0" fieldPosition="0">
        <references count="3">
          <reference field="4294967294" count="1" selected="0">
            <x v="0"/>
          </reference>
          <reference field="1" count="1" selected="0">
            <x v="43"/>
          </reference>
          <reference field="6" count="1" selected="0">
            <x v="72"/>
          </reference>
        </references>
      </pivotArea>
    </chartFormat>
    <chartFormat chart="23" format="1935">
      <pivotArea type="data" outline="0" fieldPosition="0">
        <references count="3">
          <reference field="4294967294" count="1" selected="0">
            <x v="0"/>
          </reference>
          <reference field="1" count="1" selected="0">
            <x v="44"/>
          </reference>
          <reference field="6" count="1" selected="0">
            <x v="72"/>
          </reference>
        </references>
      </pivotArea>
    </chartFormat>
    <chartFormat chart="23" format="1936">
      <pivotArea type="data" outline="0" fieldPosition="0">
        <references count="3">
          <reference field="4294967294" count="1" selected="0">
            <x v="0"/>
          </reference>
          <reference field="1" count="1" selected="0">
            <x v="45"/>
          </reference>
          <reference field="6" count="1" selected="0">
            <x v="72"/>
          </reference>
        </references>
      </pivotArea>
    </chartFormat>
    <chartFormat chart="23" format="1937">
      <pivotArea type="data" outline="0" fieldPosition="0">
        <references count="3">
          <reference field="4294967294" count="1" selected="0">
            <x v="0"/>
          </reference>
          <reference field="1" count="1" selected="0">
            <x v="5"/>
          </reference>
          <reference field="6" count="1" selected="0">
            <x v="73"/>
          </reference>
        </references>
      </pivotArea>
    </chartFormat>
    <chartFormat chart="23" format="1938">
      <pivotArea type="data" outline="0" fieldPosition="0">
        <references count="3">
          <reference field="4294967294" count="1" selected="0">
            <x v="0"/>
          </reference>
          <reference field="1" count="1" selected="0">
            <x v="11"/>
          </reference>
          <reference field="6" count="1" selected="0">
            <x v="73"/>
          </reference>
        </references>
      </pivotArea>
    </chartFormat>
    <chartFormat chart="23" format="1939">
      <pivotArea type="data" outline="0" fieldPosition="0">
        <references count="3">
          <reference field="4294967294" count="1" selected="0">
            <x v="0"/>
          </reference>
          <reference field="1" count="1" selected="0">
            <x v="17"/>
          </reference>
          <reference field="6" count="1" selected="0">
            <x v="73"/>
          </reference>
        </references>
      </pivotArea>
    </chartFormat>
    <chartFormat chart="23" format="1940">
      <pivotArea type="data" outline="0" fieldPosition="0">
        <references count="3">
          <reference field="4294967294" count="1" selected="0">
            <x v="0"/>
          </reference>
          <reference field="1" count="1" selected="0">
            <x v="18"/>
          </reference>
          <reference field="6" count="1" selected="0">
            <x v="73"/>
          </reference>
        </references>
      </pivotArea>
    </chartFormat>
    <chartFormat chart="23" format="1941">
      <pivotArea type="data" outline="0" fieldPosition="0">
        <references count="3">
          <reference field="4294967294" count="1" selected="0">
            <x v="0"/>
          </reference>
          <reference field="1" count="1" selected="0">
            <x v="19"/>
          </reference>
          <reference field="6" count="1" selected="0">
            <x v="73"/>
          </reference>
        </references>
      </pivotArea>
    </chartFormat>
    <chartFormat chart="23" format="1942">
      <pivotArea type="data" outline="0" fieldPosition="0">
        <references count="3">
          <reference field="4294967294" count="1" selected="0">
            <x v="0"/>
          </reference>
          <reference field="1" count="1" selected="0">
            <x v="24"/>
          </reference>
          <reference field="6" count="1" selected="0">
            <x v="73"/>
          </reference>
        </references>
      </pivotArea>
    </chartFormat>
    <chartFormat chart="23" format="1943">
      <pivotArea type="data" outline="0" fieldPosition="0">
        <references count="3">
          <reference field="4294967294" count="1" selected="0">
            <x v="0"/>
          </reference>
          <reference field="1" count="1" selected="0">
            <x v="25"/>
          </reference>
          <reference field="6" count="1" selected="0">
            <x v="73"/>
          </reference>
        </references>
      </pivotArea>
    </chartFormat>
    <chartFormat chart="23" format="1944">
      <pivotArea type="data" outline="0" fieldPosition="0">
        <references count="3">
          <reference field="4294967294" count="1" selected="0">
            <x v="0"/>
          </reference>
          <reference field="1" count="1" selected="0">
            <x v="29"/>
          </reference>
          <reference field="6" count="1" selected="0">
            <x v="73"/>
          </reference>
        </references>
      </pivotArea>
    </chartFormat>
    <chartFormat chart="23" format="1945">
      <pivotArea type="data" outline="0" fieldPosition="0">
        <references count="3">
          <reference field="4294967294" count="1" selected="0">
            <x v="0"/>
          </reference>
          <reference field="1" count="1" selected="0">
            <x v="30"/>
          </reference>
          <reference field="6" count="1" selected="0">
            <x v="73"/>
          </reference>
        </references>
      </pivotArea>
    </chartFormat>
    <chartFormat chart="23" format="1946">
      <pivotArea type="data" outline="0" fieldPosition="0">
        <references count="3">
          <reference field="4294967294" count="1" selected="0">
            <x v="0"/>
          </reference>
          <reference field="1" count="1" selected="0">
            <x v="31"/>
          </reference>
          <reference field="6" count="1" selected="0">
            <x v="73"/>
          </reference>
        </references>
      </pivotArea>
    </chartFormat>
    <chartFormat chart="23" format="1947">
      <pivotArea type="data" outline="0" fieldPosition="0">
        <references count="3">
          <reference field="4294967294" count="1" selected="0">
            <x v="0"/>
          </reference>
          <reference field="1" count="1" selected="0">
            <x v="32"/>
          </reference>
          <reference field="6" count="1" selected="0">
            <x v="73"/>
          </reference>
        </references>
      </pivotArea>
    </chartFormat>
    <chartFormat chart="23" format="1948">
      <pivotArea type="data" outline="0" fieldPosition="0">
        <references count="3">
          <reference field="4294967294" count="1" selected="0">
            <x v="0"/>
          </reference>
          <reference field="1" count="1" selected="0">
            <x v="33"/>
          </reference>
          <reference field="6" count="1" selected="0">
            <x v="73"/>
          </reference>
        </references>
      </pivotArea>
    </chartFormat>
    <chartFormat chart="23" format="1949">
      <pivotArea type="data" outline="0" fieldPosition="0">
        <references count="3">
          <reference field="4294967294" count="1" selected="0">
            <x v="0"/>
          </reference>
          <reference field="1" count="1" selected="0">
            <x v="34"/>
          </reference>
          <reference field="6" count="1" selected="0">
            <x v="73"/>
          </reference>
        </references>
      </pivotArea>
    </chartFormat>
    <chartFormat chart="23" format="1950">
      <pivotArea type="data" outline="0" fieldPosition="0">
        <references count="3">
          <reference field="4294967294" count="1" selected="0">
            <x v="0"/>
          </reference>
          <reference field="1" count="1" selected="0">
            <x v="35"/>
          </reference>
          <reference field="6" count="1" selected="0">
            <x v="73"/>
          </reference>
        </references>
      </pivotArea>
    </chartFormat>
    <chartFormat chart="23" format="1951">
      <pivotArea type="data" outline="0" fieldPosition="0">
        <references count="3">
          <reference field="4294967294" count="1" selected="0">
            <x v="0"/>
          </reference>
          <reference field="1" count="1" selected="0">
            <x v="36"/>
          </reference>
          <reference field="6" count="1" selected="0">
            <x v="73"/>
          </reference>
        </references>
      </pivotArea>
    </chartFormat>
    <chartFormat chart="23" format="1952">
      <pivotArea type="data" outline="0" fieldPosition="0">
        <references count="3">
          <reference field="4294967294" count="1" selected="0">
            <x v="0"/>
          </reference>
          <reference field="1" count="1" selected="0">
            <x v="37"/>
          </reference>
          <reference field="6" count="1" selected="0">
            <x v="73"/>
          </reference>
        </references>
      </pivotArea>
    </chartFormat>
    <chartFormat chart="23" format="1953">
      <pivotArea type="data" outline="0" fieldPosition="0">
        <references count="3">
          <reference field="4294967294" count="1" selected="0">
            <x v="0"/>
          </reference>
          <reference field="1" count="1" selected="0">
            <x v="38"/>
          </reference>
          <reference field="6" count="1" selected="0">
            <x v="73"/>
          </reference>
        </references>
      </pivotArea>
    </chartFormat>
    <chartFormat chart="23" format="1954">
      <pivotArea type="data" outline="0" fieldPosition="0">
        <references count="3">
          <reference field="4294967294" count="1" selected="0">
            <x v="0"/>
          </reference>
          <reference field="1" count="1" selected="0">
            <x v="39"/>
          </reference>
          <reference field="6" count="1" selected="0">
            <x v="73"/>
          </reference>
        </references>
      </pivotArea>
    </chartFormat>
    <chartFormat chart="23" format="1955">
      <pivotArea type="data" outline="0" fieldPosition="0">
        <references count="3">
          <reference field="4294967294" count="1" selected="0">
            <x v="0"/>
          </reference>
          <reference field="1" count="1" selected="0">
            <x v="40"/>
          </reference>
          <reference field="6" count="1" selected="0">
            <x v="73"/>
          </reference>
        </references>
      </pivotArea>
    </chartFormat>
    <chartFormat chart="23" format="1956">
      <pivotArea type="data" outline="0" fieldPosition="0">
        <references count="3">
          <reference field="4294967294" count="1" selected="0">
            <x v="0"/>
          </reference>
          <reference field="1" count="1" selected="0">
            <x v="41"/>
          </reference>
          <reference field="6" count="1" selected="0">
            <x v="73"/>
          </reference>
        </references>
      </pivotArea>
    </chartFormat>
    <chartFormat chart="23" format="1957">
      <pivotArea type="data" outline="0" fieldPosition="0">
        <references count="3">
          <reference field="4294967294" count="1" selected="0">
            <x v="0"/>
          </reference>
          <reference field="1" count="1" selected="0">
            <x v="42"/>
          </reference>
          <reference field="6" count="1" selected="0">
            <x v="73"/>
          </reference>
        </references>
      </pivotArea>
    </chartFormat>
    <chartFormat chart="23" format="1958">
      <pivotArea type="data" outline="0" fieldPosition="0">
        <references count="3">
          <reference field="4294967294" count="1" selected="0">
            <x v="0"/>
          </reference>
          <reference field="1" count="1" selected="0">
            <x v="43"/>
          </reference>
          <reference field="6" count="1" selected="0">
            <x v="73"/>
          </reference>
        </references>
      </pivotArea>
    </chartFormat>
    <chartFormat chart="23" format="1959">
      <pivotArea type="data" outline="0" fieldPosition="0">
        <references count="3">
          <reference field="4294967294" count="1" selected="0">
            <x v="0"/>
          </reference>
          <reference field="1" count="1" selected="0">
            <x v="44"/>
          </reference>
          <reference field="6" count="1" selected="0">
            <x v="73"/>
          </reference>
        </references>
      </pivotArea>
    </chartFormat>
    <chartFormat chart="23" format="1960">
      <pivotArea type="data" outline="0" fieldPosition="0">
        <references count="3">
          <reference field="4294967294" count="1" selected="0">
            <x v="0"/>
          </reference>
          <reference field="1" count="1" selected="0">
            <x v="45"/>
          </reference>
          <reference field="6" count="1" selected="0">
            <x v="73"/>
          </reference>
        </references>
      </pivotArea>
    </chartFormat>
    <chartFormat chart="23" format="1961">
      <pivotArea type="data" outline="0" fieldPosition="0">
        <references count="3">
          <reference field="4294967294" count="1" selected="0">
            <x v="0"/>
          </reference>
          <reference field="1" count="1" selected="0">
            <x v="5"/>
          </reference>
          <reference field="6" count="1" selected="0">
            <x v="74"/>
          </reference>
        </references>
      </pivotArea>
    </chartFormat>
    <chartFormat chart="23" format="1962">
      <pivotArea type="data" outline="0" fieldPosition="0">
        <references count="3">
          <reference field="4294967294" count="1" selected="0">
            <x v="0"/>
          </reference>
          <reference field="1" count="1" selected="0">
            <x v="11"/>
          </reference>
          <reference field="6" count="1" selected="0">
            <x v="74"/>
          </reference>
        </references>
      </pivotArea>
    </chartFormat>
    <chartFormat chart="23" format="1963">
      <pivotArea type="data" outline="0" fieldPosition="0">
        <references count="3">
          <reference field="4294967294" count="1" selected="0">
            <x v="0"/>
          </reference>
          <reference field="1" count="1" selected="0">
            <x v="17"/>
          </reference>
          <reference field="6" count="1" selected="0">
            <x v="74"/>
          </reference>
        </references>
      </pivotArea>
    </chartFormat>
    <chartFormat chart="23" format="1964">
      <pivotArea type="data" outline="0" fieldPosition="0">
        <references count="3">
          <reference field="4294967294" count="1" selected="0">
            <x v="0"/>
          </reference>
          <reference field="1" count="1" selected="0">
            <x v="18"/>
          </reference>
          <reference field="6" count="1" selected="0">
            <x v="74"/>
          </reference>
        </references>
      </pivotArea>
    </chartFormat>
    <chartFormat chart="23" format="1965">
      <pivotArea type="data" outline="0" fieldPosition="0">
        <references count="3">
          <reference field="4294967294" count="1" selected="0">
            <x v="0"/>
          </reference>
          <reference field="1" count="1" selected="0">
            <x v="19"/>
          </reference>
          <reference field="6" count="1" selected="0">
            <x v="74"/>
          </reference>
        </references>
      </pivotArea>
    </chartFormat>
    <chartFormat chart="23" format="1966">
      <pivotArea type="data" outline="0" fieldPosition="0">
        <references count="3">
          <reference field="4294967294" count="1" selected="0">
            <x v="0"/>
          </reference>
          <reference field="1" count="1" selected="0">
            <x v="24"/>
          </reference>
          <reference field="6" count="1" selected="0">
            <x v="74"/>
          </reference>
        </references>
      </pivotArea>
    </chartFormat>
    <chartFormat chart="23" format="1967">
      <pivotArea type="data" outline="0" fieldPosition="0">
        <references count="3">
          <reference field="4294967294" count="1" selected="0">
            <x v="0"/>
          </reference>
          <reference field="1" count="1" selected="0">
            <x v="25"/>
          </reference>
          <reference field="6" count="1" selected="0">
            <x v="74"/>
          </reference>
        </references>
      </pivotArea>
    </chartFormat>
    <chartFormat chart="23" format="1968">
      <pivotArea type="data" outline="0" fieldPosition="0">
        <references count="3">
          <reference field="4294967294" count="1" selected="0">
            <x v="0"/>
          </reference>
          <reference field="1" count="1" selected="0">
            <x v="29"/>
          </reference>
          <reference field="6" count="1" selected="0">
            <x v="74"/>
          </reference>
        </references>
      </pivotArea>
    </chartFormat>
    <chartFormat chart="23" format="1969">
      <pivotArea type="data" outline="0" fieldPosition="0">
        <references count="3">
          <reference field="4294967294" count="1" selected="0">
            <x v="0"/>
          </reference>
          <reference field="1" count="1" selected="0">
            <x v="30"/>
          </reference>
          <reference field="6" count="1" selected="0">
            <x v="74"/>
          </reference>
        </references>
      </pivotArea>
    </chartFormat>
    <chartFormat chart="23" format="1970">
      <pivotArea type="data" outline="0" fieldPosition="0">
        <references count="3">
          <reference field="4294967294" count="1" selected="0">
            <x v="0"/>
          </reference>
          <reference field="1" count="1" selected="0">
            <x v="31"/>
          </reference>
          <reference field="6" count="1" selected="0">
            <x v="74"/>
          </reference>
        </references>
      </pivotArea>
    </chartFormat>
    <chartFormat chart="23" format="1971">
      <pivotArea type="data" outline="0" fieldPosition="0">
        <references count="3">
          <reference field="4294967294" count="1" selected="0">
            <x v="0"/>
          </reference>
          <reference field="1" count="1" selected="0">
            <x v="32"/>
          </reference>
          <reference field="6" count="1" selected="0">
            <x v="74"/>
          </reference>
        </references>
      </pivotArea>
    </chartFormat>
    <chartFormat chart="23" format="1972">
      <pivotArea type="data" outline="0" fieldPosition="0">
        <references count="3">
          <reference field="4294967294" count="1" selected="0">
            <x v="0"/>
          </reference>
          <reference field="1" count="1" selected="0">
            <x v="33"/>
          </reference>
          <reference field="6" count="1" selected="0">
            <x v="74"/>
          </reference>
        </references>
      </pivotArea>
    </chartFormat>
    <chartFormat chart="23" format="1973">
      <pivotArea type="data" outline="0" fieldPosition="0">
        <references count="3">
          <reference field="4294967294" count="1" selected="0">
            <x v="0"/>
          </reference>
          <reference field="1" count="1" selected="0">
            <x v="34"/>
          </reference>
          <reference field="6" count="1" selected="0">
            <x v="74"/>
          </reference>
        </references>
      </pivotArea>
    </chartFormat>
    <chartFormat chart="23" format="1974">
      <pivotArea type="data" outline="0" fieldPosition="0">
        <references count="3">
          <reference field="4294967294" count="1" selected="0">
            <x v="0"/>
          </reference>
          <reference field="1" count="1" selected="0">
            <x v="35"/>
          </reference>
          <reference field="6" count="1" selected="0">
            <x v="74"/>
          </reference>
        </references>
      </pivotArea>
    </chartFormat>
    <chartFormat chart="23" format="1975">
      <pivotArea type="data" outline="0" fieldPosition="0">
        <references count="3">
          <reference field="4294967294" count="1" selected="0">
            <x v="0"/>
          </reference>
          <reference field="1" count="1" selected="0">
            <x v="36"/>
          </reference>
          <reference field="6" count="1" selected="0">
            <x v="74"/>
          </reference>
        </references>
      </pivotArea>
    </chartFormat>
    <chartFormat chart="23" format="1976">
      <pivotArea type="data" outline="0" fieldPosition="0">
        <references count="3">
          <reference field="4294967294" count="1" selected="0">
            <x v="0"/>
          </reference>
          <reference field="1" count="1" selected="0">
            <x v="37"/>
          </reference>
          <reference field="6" count="1" selected="0">
            <x v="74"/>
          </reference>
        </references>
      </pivotArea>
    </chartFormat>
    <chartFormat chart="23" format="1977">
      <pivotArea type="data" outline="0" fieldPosition="0">
        <references count="3">
          <reference field="4294967294" count="1" selected="0">
            <x v="0"/>
          </reference>
          <reference field="1" count="1" selected="0">
            <x v="38"/>
          </reference>
          <reference field="6" count="1" selected="0">
            <x v="74"/>
          </reference>
        </references>
      </pivotArea>
    </chartFormat>
    <chartFormat chart="23" format="1978">
      <pivotArea type="data" outline="0" fieldPosition="0">
        <references count="3">
          <reference field="4294967294" count="1" selected="0">
            <x v="0"/>
          </reference>
          <reference field="1" count="1" selected="0">
            <x v="39"/>
          </reference>
          <reference field="6" count="1" selected="0">
            <x v="74"/>
          </reference>
        </references>
      </pivotArea>
    </chartFormat>
    <chartFormat chart="23" format="1979">
      <pivotArea type="data" outline="0" fieldPosition="0">
        <references count="3">
          <reference field="4294967294" count="1" selected="0">
            <x v="0"/>
          </reference>
          <reference field="1" count="1" selected="0">
            <x v="40"/>
          </reference>
          <reference field="6" count="1" selected="0">
            <x v="74"/>
          </reference>
        </references>
      </pivotArea>
    </chartFormat>
    <chartFormat chart="23" format="1980">
      <pivotArea type="data" outline="0" fieldPosition="0">
        <references count="3">
          <reference field="4294967294" count="1" selected="0">
            <x v="0"/>
          </reference>
          <reference field="1" count="1" selected="0">
            <x v="41"/>
          </reference>
          <reference field="6" count="1" selected="0">
            <x v="74"/>
          </reference>
        </references>
      </pivotArea>
    </chartFormat>
    <chartFormat chart="23" format="1981">
      <pivotArea type="data" outline="0" fieldPosition="0">
        <references count="3">
          <reference field="4294967294" count="1" selected="0">
            <x v="0"/>
          </reference>
          <reference field="1" count="1" selected="0">
            <x v="42"/>
          </reference>
          <reference field="6" count="1" selected="0">
            <x v="74"/>
          </reference>
        </references>
      </pivotArea>
    </chartFormat>
    <chartFormat chart="23" format="1982">
      <pivotArea type="data" outline="0" fieldPosition="0">
        <references count="3">
          <reference field="4294967294" count="1" selected="0">
            <x v="0"/>
          </reference>
          <reference field="1" count="1" selected="0">
            <x v="43"/>
          </reference>
          <reference field="6" count="1" selected="0">
            <x v="74"/>
          </reference>
        </references>
      </pivotArea>
    </chartFormat>
    <chartFormat chart="23" format="1983">
      <pivotArea type="data" outline="0" fieldPosition="0">
        <references count="3">
          <reference field="4294967294" count="1" selected="0">
            <x v="0"/>
          </reference>
          <reference field="1" count="1" selected="0">
            <x v="44"/>
          </reference>
          <reference field="6" count="1" selected="0">
            <x v="74"/>
          </reference>
        </references>
      </pivotArea>
    </chartFormat>
    <chartFormat chart="23" format="1984">
      <pivotArea type="data" outline="0" fieldPosition="0">
        <references count="3">
          <reference field="4294967294" count="1" selected="0">
            <x v="0"/>
          </reference>
          <reference field="1" count="1" selected="0">
            <x v="45"/>
          </reference>
          <reference field="6" count="1" selected="0">
            <x v="74"/>
          </reference>
        </references>
      </pivotArea>
    </chartFormat>
    <chartFormat chart="23" format="1985">
      <pivotArea type="data" outline="0" fieldPosition="0">
        <references count="3">
          <reference field="4294967294" count="1" selected="0">
            <x v="0"/>
          </reference>
          <reference field="1" count="1" selected="0">
            <x v="5"/>
          </reference>
          <reference field="6" count="1" selected="0">
            <x v="75"/>
          </reference>
        </references>
      </pivotArea>
    </chartFormat>
    <chartFormat chart="23" format="1986">
      <pivotArea type="data" outline="0" fieldPosition="0">
        <references count="3">
          <reference field="4294967294" count="1" selected="0">
            <x v="0"/>
          </reference>
          <reference field="1" count="1" selected="0">
            <x v="11"/>
          </reference>
          <reference field="6" count="1" selected="0">
            <x v="75"/>
          </reference>
        </references>
      </pivotArea>
    </chartFormat>
    <chartFormat chart="23" format="1987">
      <pivotArea type="data" outline="0" fieldPosition="0">
        <references count="3">
          <reference field="4294967294" count="1" selected="0">
            <x v="0"/>
          </reference>
          <reference field="1" count="1" selected="0">
            <x v="17"/>
          </reference>
          <reference field="6" count="1" selected="0">
            <x v="75"/>
          </reference>
        </references>
      </pivotArea>
    </chartFormat>
    <chartFormat chart="23" format="1988">
      <pivotArea type="data" outline="0" fieldPosition="0">
        <references count="3">
          <reference field="4294967294" count="1" selected="0">
            <x v="0"/>
          </reference>
          <reference field="1" count="1" selected="0">
            <x v="18"/>
          </reference>
          <reference field="6" count="1" selected="0">
            <x v="75"/>
          </reference>
        </references>
      </pivotArea>
    </chartFormat>
    <chartFormat chart="23" format="1989">
      <pivotArea type="data" outline="0" fieldPosition="0">
        <references count="3">
          <reference field="4294967294" count="1" selected="0">
            <x v="0"/>
          </reference>
          <reference field="1" count="1" selected="0">
            <x v="19"/>
          </reference>
          <reference field="6" count="1" selected="0">
            <x v="75"/>
          </reference>
        </references>
      </pivotArea>
    </chartFormat>
    <chartFormat chart="23" format="1990">
      <pivotArea type="data" outline="0" fieldPosition="0">
        <references count="3">
          <reference field="4294967294" count="1" selected="0">
            <x v="0"/>
          </reference>
          <reference field="1" count="1" selected="0">
            <x v="24"/>
          </reference>
          <reference field="6" count="1" selected="0">
            <x v="75"/>
          </reference>
        </references>
      </pivotArea>
    </chartFormat>
    <chartFormat chart="23" format="1991">
      <pivotArea type="data" outline="0" fieldPosition="0">
        <references count="3">
          <reference field="4294967294" count="1" selected="0">
            <x v="0"/>
          </reference>
          <reference field="1" count="1" selected="0">
            <x v="25"/>
          </reference>
          <reference field="6" count="1" selected="0">
            <x v="75"/>
          </reference>
        </references>
      </pivotArea>
    </chartFormat>
    <chartFormat chart="23" format="1992">
      <pivotArea type="data" outline="0" fieldPosition="0">
        <references count="3">
          <reference field="4294967294" count="1" selected="0">
            <x v="0"/>
          </reference>
          <reference field="1" count="1" selected="0">
            <x v="29"/>
          </reference>
          <reference field="6" count="1" selected="0">
            <x v="75"/>
          </reference>
        </references>
      </pivotArea>
    </chartFormat>
    <chartFormat chart="23" format="1993">
      <pivotArea type="data" outline="0" fieldPosition="0">
        <references count="3">
          <reference field="4294967294" count="1" selected="0">
            <x v="0"/>
          </reference>
          <reference field="1" count="1" selected="0">
            <x v="30"/>
          </reference>
          <reference field="6" count="1" selected="0">
            <x v="75"/>
          </reference>
        </references>
      </pivotArea>
    </chartFormat>
    <chartFormat chart="23" format="1994">
      <pivotArea type="data" outline="0" fieldPosition="0">
        <references count="3">
          <reference field="4294967294" count="1" selected="0">
            <x v="0"/>
          </reference>
          <reference field="1" count="1" selected="0">
            <x v="31"/>
          </reference>
          <reference field="6" count="1" selected="0">
            <x v="75"/>
          </reference>
        </references>
      </pivotArea>
    </chartFormat>
    <chartFormat chart="23" format="1995">
      <pivotArea type="data" outline="0" fieldPosition="0">
        <references count="3">
          <reference field="4294967294" count="1" selected="0">
            <x v="0"/>
          </reference>
          <reference field="1" count="1" selected="0">
            <x v="32"/>
          </reference>
          <reference field="6" count="1" selected="0">
            <x v="75"/>
          </reference>
        </references>
      </pivotArea>
    </chartFormat>
    <chartFormat chart="23" format="1996">
      <pivotArea type="data" outline="0" fieldPosition="0">
        <references count="3">
          <reference field="4294967294" count="1" selected="0">
            <x v="0"/>
          </reference>
          <reference field="1" count="1" selected="0">
            <x v="33"/>
          </reference>
          <reference field="6" count="1" selected="0">
            <x v="75"/>
          </reference>
        </references>
      </pivotArea>
    </chartFormat>
    <chartFormat chart="23" format="1997">
      <pivotArea type="data" outline="0" fieldPosition="0">
        <references count="3">
          <reference field="4294967294" count="1" selected="0">
            <x v="0"/>
          </reference>
          <reference field="1" count="1" selected="0">
            <x v="34"/>
          </reference>
          <reference field="6" count="1" selected="0">
            <x v="75"/>
          </reference>
        </references>
      </pivotArea>
    </chartFormat>
    <chartFormat chart="23" format="1998">
      <pivotArea type="data" outline="0" fieldPosition="0">
        <references count="3">
          <reference field="4294967294" count="1" selected="0">
            <x v="0"/>
          </reference>
          <reference field="1" count="1" selected="0">
            <x v="35"/>
          </reference>
          <reference field="6" count="1" selected="0">
            <x v="75"/>
          </reference>
        </references>
      </pivotArea>
    </chartFormat>
    <chartFormat chart="23" format="1999">
      <pivotArea type="data" outline="0" fieldPosition="0">
        <references count="3">
          <reference field="4294967294" count="1" selected="0">
            <x v="0"/>
          </reference>
          <reference field="1" count="1" selected="0">
            <x v="36"/>
          </reference>
          <reference field="6" count="1" selected="0">
            <x v="75"/>
          </reference>
        </references>
      </pivotArea>
    </chartFormat>
    <chartFormat chart="23" format="2000">
      <pivotArea type="data" outline="0" fieldPosition="0">
        <references count="3">
          <reference field="4294967294" count="1" selected="0">
            <x v="0"/>
          </reference>
          <reference field="1" count="1" selected="0">
            <x v="37"/>
          </reference>
          <reference field="6" count="1" selected="0">
            <x v="75"/>
          </reference>
        </references>
      </pivotArea>
    </chartFormat>
    <chartFormat chart="23" format="2001">
      <pivotArea type="data" outline="0" fieldPosition="0">
        <references count="3">
          <reference field="4294967294" count="1" selected="0">
            <x v="0"/>
          </reference>
          <reference field="1" count="1" selected="0">
            <x v="38"/>
          </reference>
          <reference field="6" count="1" selected="0">
            <x v="75"/>
          </reference>
        </references>
      </pivotArea>
    </chartFormat>
    <chartFormat chart="23" format="2002">
      <pivotArea type="data" outline="0" fieldPosition="0">
        <references count="3">
          <reference field="4294967294" count="1" selected="0">
            <x v="0"/>
          </reference>
          <reference field="1" count="1" selected="0">
            <x v="39"/>
          </reference>
          <reference field="6" count="1" selected="0">
            <x v="75"/>
          </reference>
        </references>
      </pivotArea>
    </chartFormat>
    <chartFormat chart="23" format="2003">
      <pivotArea type="data" outline="0" fieldPosition="0">
        <references count="3">
          <reference field="4294967294" count="1" selected="0">
            <x v="0"/>
          </reference>
          <reference field="1" count="1" selected="0">
            <x v="40"/>
          </reference>
          <reference field="6" count="1" selected="0">
            <x v="75"/>
          </reference>
        </references>
      </pivotArea>
    </chartFormat>
    <chartFormat chart="23" format="2004">
      <pivotArea type="data" outline="0" fieldPosition="0">
        <references count="3">
          <reference field="4294967294" count="1" selected="0">
            <x v="0"/>
          </reference>
          <reference field="1" count="1" selected="0">
            <x v="41"/>
          </reference>
          <reference field="6" count="1" selected="0">
            <x v="75"/>
          </reference>
        </references>
      </pivotArea>
    </chartFormat>
    <chartFormat chart="23" format="2005">
      <pivotArea type="data" outline="0" fieldPosition="0">
        <references count="3">
          <reference field="4294967294" count="1" selected="0">
            <x v="0"/>
          </reference>
          <reference field="1" count="1" selected="0">
            <x v="42"/>
          </reference>
          <reference field="6" count="1" selected="0">
            <x v="75"/>
          </reference>
        </references>
      </pivotArea>
    </chartFormat>
    <chartFormat chart="23" format="2006">
      <pivotArea type="data" outline="0" fieldPosition="0">
        <references count="3">
          <reference field="4294967294" count="1" selected="0">
            <x v="0"/>
          </reference>
          <reference field="1" count="1" selected="0">
            <x v="43"/>
          </reference>
          <reference field="6" count="1" selected="0">
            <x v="75"/>
          </reference>
        </references>
      </pivotArea>
    </chartFormat>
    <chartFormat chart="23" format="2007">
      <pivotArea type="data" outline="0" fieldPosition="0">
        <references count="3">
          <reference field="4294967294" count="1" selected="0">
            <x v="0"/>
          </reference>
          <reference field="1" count="1" selected="0">
            <x v="44"/>
          </reference>
          <reference field="6" count="1" selected="0">
            <x v="75"/>
          </reference>
        </references>
      </pivotArea>
    </chartFormat>
    <chartFormat chart="23" format="2008">
      <pivotArea type="data" outline="0" fieldPosition="0">
        <references count="3">
          <reference field="4294967294" count="1" selected="0">
            <x v="0"/>
          </reference>
          <reference field="1" count="1" selected="0">
            <x v="45"/>
          </reference>
          <reference field="6" count="1" selected="0">
            <x v="75"/>
          </reference>
        </references>
      </pivotArea>
    </chartFormat>
    <chartFormat chart="23" format="2009">
      <pivotArea type="data" outline="0" fieldPosition="0">
        <references count="3">
          <reference field="4294967294" count="1" selected="0">
            <x v="0"/>
          </reference>
          <reference field="1" count="1" selected="0">
            <x v="5"/>
          </reference>
          <reference field="6" count="1" selected="0">
            <x v="76"/>
          </reference>
        </references>
      </pivotArea>
    </chartFormat>
    <chartFormat chart="23" format="2010">
      <pivotArea type="data" outline="0" fieldPosition="0">
        <references count="3">
          <reference field="4294967294" count="1" selected="0">
            <x v="0"/>
          </reference>
          <reference field="1" count="1" selected="0">
            <x v="11"/>
          </reference>
          <reference field="6" count="1" selected="0">
            <x v="76"/>
          </reference>
        </references>
      </pivotArea>
    </chartFormat>
    <chartFormat chart="23" format="2011">
      <pivotArea type="data" outline="0" fieldPosition="0">
        <references count="3">
          <reference field="4294967294" count="1" selected="0">
            <x v="0"/>
          </reference>
          <reference field="1" count="1" selected="0">
            <x v="17"/>
          </reference>
          <reference field="6" count="1" selected="0">
            <x v="76"/>
          </reference>
        </references>
      </pivotArea>
    </chartFormat>
    <chartFormat chart="23" format="2012">
      <pivotArea type="data" outline="0" fieldPosition="0">
        <references count="3">
          <reference field="4294967294" count="1" selected="0">
            <x v="0"/>
          </reference>
          <reference field="1" count="1" selected="0">
            <x v="18"/>
          </reference>
          <reference field="6" count="1" selected="0">
            <x v="76"/>
          </reference>
        </references>
      </pivotArea>
    </chartFormat>
    <chartFormat chart="23" format="2013">
      <pivotArea type="data" outline="0" fieldPosition="0">
        <references count="3">
          <reference field="4294967294" count="1" selected="0">
            <x v="0"/>
          </reference>
          <reference field="1" count="1" selected="0">
            <x v="19"/>
          </reference>
          <reference field="6" count="1" selected="0">
            <x v="76"/>
          </reference>
        </references>
      </pivotArea>
    </chartFormat>
    <chartFormat chart="23" format="2014">
      <pivotArea type="data" outline="0" fieldPosition="0">
        <references count="3">
          <reference field="4294967294" count="1" selected="0">
            <x v="0"/>
          </reference>
          <reference field="1" count="1" selected="0">
            <x v="24"/>
          </reference>
          <reference field="6" count="1" selected="0">
            <x v="76"/>
          </reference>
        </references>
      </pivotArea>
    </chartFormat>
    <chartFormat chart="23" format="2015">
      <pivotArea type="data" outline="0" fieldPosition="0">
        <references count="3">
          <reference field="4294967294" count="1" selected="0">
            <x v="0"/>
          </reference>
          <reference field="1" count="1" selected="0">
            <x v="25"/>
          </reference>
          <reference field="6" count="1" selected="0">
            <x v="76"/>
          </reference>
        </references>
      </pivotArea>
    </chartFormat>
    <chartFormat chart="23" format="2016">
      <pivotArea type="data" outline="0" fieldPosition="0">
        <references count="3">
          <reference field="4294967294" count="1" selected="0">
            <x v="0"/>
          </reference>
          <reference field="1" count="1" selected="0">
            <x v="29"/>
          </reference>
          <reference field="6" count="1" selected="0">
            <x v="76"/>
          </reference>
        </references>
      </pivotArea>
    </chartFormat>
    <chartFormat chart="23" format="2017">
      <pivotArea type="data" outline="0" fieldPosition="0">
        <references count="3">
          <reference field="4294967294" count="1" selected="0">
            <x v="0"/>
          </reference>
          <reference field="1" count="1" selected="0">
            <x v="30"/>
          </reference>
          <reference field="6" count="1" selected="0">
            <x v="76"/>
          </reference>
        </references>
      </pivotArea>
    </chartFormat>
    <chartFormat chart="23" format="2018">
      <pivotArea type="data" outline="0" fieldPosition="0">
        <references count="3">
          <reference field="4294967294" count="1" selected="0">
            <x v="0"/>
          </reference>
          <reference field="1" count="1" selected="0">
            <x v="31"/>
          </reference>
          <reference field="6" count="1" selected="0">
            <x v="76"/>
          </reference>
        </references>
      </pivotArea>
    </chartFormat>
    <chartFormat chart="23" format="2019">
      <pivotArea type="data" outline="0" fieldPosition="0">
        <references count="3">
          <reference field="4294967294" count="1" selected="0">
            <x v="0"/>
          </reference>
          <reference field="1" count="1" selected="0">
            <x v="32"/>
          </reference>
          <reference field="6" count="1" selected="0">
            <x v="76"/>
          </reference>
        </references>
      </pivotArea>
    </chartFormat>
    <chartFormat chart="23" format="2020">
      <pivotArea type="data" outline="0" fieldPosition="0">
        <references count="3">
          <reference field="4294967294" count="1" selected="0">
            <x v="0"/>
          </reference>
          <reference field="1" count="1" selected="0">
            <x v="33"/>
          </reference>
          <reference field="6" count="1" selected="0">
            <x v="76"/>
          </reference>
        </references>
      </pivotArea>
    </chartFormat>
    <chartFormat chart="23" format="2021">
      <pivotArea type="data" outline="0" fieldPosition="0">
        <references count="3">
          <reference field="4294967294" count="1" selected="0">
            <x v="0"/>
          </reference>
          <reference field="1" count="1" selected="0">
            <x v="34"/>
          </reference>
          <reference field="6" count="1" selected="0">
            <x v="76"/>
          </reference>
        </references>
      </pivotArea>
    </chartFormat>
    <chartFormat chart="23" format="2022">
      <pivotArea type="data" outline="0" fieldPosition="0">
        <references count="3">
          <reference field="4294967294" count="1" selected="0">
            <x v="0"/>
          </reference>
          <reference field="1" count="1" selected="0">
            <x v="35"/>
          </reference>
          <reference field="6" count="1" selected="0">
            <x v="76"/>
          </reference>
        </references>
      </pivotArea>
    </chartFormat>
    <chartFormat chart="23" format="2023">
      <pivotArea type="data" outline="0" fieldPosition="0">
        <references count="3">
          <reference field="4294967294" count="1" selected="0">
            <x v="0"/>
          </reference>
          <reference field="1" count="1" selected="0">
            <x v="36"/>
          </reference>
          <reference field="6" count="1" selected="0">
            <x v="76"/>
          </reference>
        </references>
      </pivotArea>
    </chartFormat>
    <chartFormat chart="23" format="2024">
      <pivotArea type="data" outline="0" fieldPosition="0">
        <references count="3">
          <reference field="4294967294" count="1" selected="0">
            <x v="0"/>
          </reference>
          <reference field="1" count="1" selected="0">
            <x v="37"/>
          </reference>
          <reference field="6" count="1" selected="0">
            <x v="76"/>
          </reference>
        </references>
      </pivotArea>
    </chartFormat>
    <chartFormat chart="23" format="2025">
      <pivotArea type="data" outline="0" fieldPosition="0">
        <references count="3">
          <reference field="4294967294" count="1" selected="0">
            <x v="0"/>
          </reference>
          <reference field="1" count="1" selected="0">
            <x v="38"/>
          </reference>
          <reference field="6" count="1" selected="0">
            <x v="76"/>
          </reference>
        </references>
      </pivotArea>
    </chartFormat>
    <chartFormat chart="23" format="2026">
      <pivotArea type="data" outline="0" fieldPosition="0">
        <references count="3">
          <reference field="4294967294" count="1" selected="0">
            <x v="0"/>
          </reference>
          <reference field="1" count="1" selected="0">
            <x v="39"/>
          </reference>
          <reference field="6" count="1" selected="0">
            <x v="76"/>
          </reference>
        </references>
      </pivotArea>
    </chartFormat>
    <chartFormat chart="23" format="2027">
      <pivotArea type="data" outline="0" fieldPosition="0">
        <references count="3">
          <reference field="4294967294" count="1" selected="0">
            <x v="0"/>
          </reference>
          <reference field="1" count="1" selected="0">
            <x v="40"/>
          </reference>
          <reference field="6" count="1" selected="0">
            <x v="76"/>
          </reference>
        </references>
      </pivotArea>
    </chartFormat>
    <chartFormat chart="23" format="2028">
      <pivotArea type="data" outline="0" fieldPosition="0">
        <references count="3">
          <reference field="4294967294" count="1" selected="0">
            <x v="0"/>
          </reference>
          <reference field="1" count="1" selected="0">
            <x v="41"/>
          </reference>
          <reference field="6" count="1" selected="0">
            <x v="76"/>
          </reference>
        </references>
      </pivotArea>
    </chartFormat>
    <chartFormat chart="23" format="2029">
      <pivotArea type="data" outline="0" fieldPosition="0">
        <references count="3">
          <reference field="4294967294" count="1" selected="0">
            <x v="0"/>
          </reference>
          <reference field="1" count="1" selected="0">
            <x v="42"/>
          </reference>
          <reference field="6" count="1" selected="0">
            <x v="76"/>
          </reference>
        </references>
      </pivotArea>
    </chartFormat>
    <chartFormat chart="23" format="2030">
      <pivotArea type="data" outline="0" fieldPosition="0">
        <references count="3">
          <reference field="4294967294" count="1" selected="0">
            <x v="0"/>
          </reference>
          <reference field="1" count="1" selected="0">
            <x v="43"/>
          </reference>
          <reference field="6" count="1" selected="0">
            <x v="76"/>
          </reference>
        </references>
      </pivotArea>
    </chartFormat>
    <chartFormat chart="23" format="2031">
      <pivotArea type="data" outline="0" fieldPosition="0">
        <references count="3">
          <reference field="4294967294" count="1" selected="0">
            <x v="0"/>
          </reference>
          <reference field="1" count="1" selected="0">
            <x v="44"/>
          </reference>
          <reference field="6" count="1" selected="0">
            <x v="76"/>
          </reference>
        </references>
      </pivotArea>
    </chartFormat>
    <chartFormat chart="23" format="2032">
      <pivotArea type="data" outline="0" fieldPosition="0">
        <references count="3">
          <reference field="4294967294" count="1" selected="0">
            <x v="0"/>
          </reference>
          <reference field="1" count="1" selected="0">
            <x v="45"/>
          </reference>
          <reference field="6" count="1" selected="0">
            <x v="76"/>
          </reference>
        </references>
      </pivotArea>
    </chartFormat>
    <chartFormat chart="23" format="2033">
      <pivotArea type="data" outline="0" fieldPosition="0">
        <references count="3">
          <reference field="4294967294" count="1" selected="0">
            <x v="0"/>
          </reference>
          <reference field="1" count="1" selected="0">
            <x v="5"/>
          </reference>
          <reference field="6" count="1" selected="0">
            <x v="77"/>
          </reference>
        </references>
      </pivotArea>
    </chartFormat>
    <chartFormat chart="23" format="2034">
      <pivotArea type="data" outline="0" fieldPosition="0">
        <references count="3">
          <reference field="4294967294" count="1" selected="0">
            <x v="0"/>
          </reference>
          <reference field="1" count="1" selected="0">
            <x v="11"/>
          </reference>
          <reference field="6" count="1" selected="0">
            <x v="77"/>
          </reference>
        </references>
      </pivotArea>
    </chartFormat>
    <chartFormat chart="23" format="2035">
      <pivotArea type="data" outline="0" fieldPosition="0">
        <references count="3">
          <reference field="4294967294" count="1" selected="0">
            <x v="0"/>
          </reference>
          <reference field="1" count="1" selected="0">
            <x v="17"/>
          </reference>
          <reference field="6" count="1" selected="0">
            <x v="77"/>
          </reference>
        </references>
      </pivotArea>
    </chartFormat>
    <chartFormat chart="23" format="2036">
      <pivotArea type="data" outline="0" fieldPosition="0">
        <references count="3">
          <reference field="4294967294" count="1" selected="0">
            <x v="0"/>
          </reference>
          <reference field="1" count="1" selected="0">
            <x v="18"/>
          </reference>
          <reference field="6" count="1" selected="0">
            <x v="77"/>
          </reference>
        </references>
      </pivotArea>
    </chartFormat>
    <chartFormat chart="23" format="2037">
      <pivotArea type="data" outline="0" fieldPosition="0">
        <references count="3">
          <reference field="4294967294" count="1" selected="0">
            <x v="0"/>
          </reference>
          <reference field="1" count="1" selected="0">
            <x v="19"/>
          </reference>
          <reference field="6" count="1" selected="0">
            <x v="77"/>
          </reference>
        </references>
      </pivotArea>
    </chartFormat>
    <chartFormat chart="23" format="2038">
      <pivotArea type="data" outline="0" fieldPosition="0">
        <references count="3">
          <reference field="4294967294" count="1" selected="0">
            <x v="0"/>
          </reference>
          <reference field="1" count="1" selected="0">
            <x v="24"/>
          </reference>
          <reference field="6" count="1" selected="0">
            <x v="77"/>
          </reference>
        </references>
      </pivotArea>
    </chartFormat>
    <chartFormat chart="23" format="2039">
      <pivotArea type="data" outline="0" fieldPosition="0">
        <references count="3">
          <reference field="4294967294" count="1" selected="0">
            <x v="0"/>
          </reference>
          <reference field="1" count="1" selected="0">
            <x v="25"/>
          </reference>
          <reference field="6" count="1" selected="0">
            <x v="77"/>
          </reference>
        </references>
      </pivotArea>
    </chartFormat>
    <chartFormat chart="23" format="2040">
      <pivotArea type="data" outline="0" fieldPosition="0">
        <references count="3">
          <reference field="4294967294" count="1" selected="0">
            <x v="0"/>
          </reference>
          <reference field="1" count="1" selected="0">
            <x v="29"/>
          </reference>
          <reference field="6" count="1" selected="0">
            <x v="77"/>
          </reference>
        </references>
      </pivotArea>
    </chartFormat>
    <chartFormat chart="23" format="2041">
      <pivotArea type="data" outline="0" fieldPosition="0">
        <references count="3">
          <reference field="4294967294" count="1" selected="0">
            <x v="0"/>
          </reference>
          <reference field="1" count="1" selected="0">
            <x v="30"/>
          </reference>
          <reference field="6" count="1" selected="0">
            <x v="77"/>
          </reference>
        </references>
      </pivotArea>
    </chartFormat>
    <chartFormat chart="23" format="2042">
      <pivotArea type="data" outline="0" fieldPosition="0">
        <references count="3">
          <reference field="4294967294" count="1" selected="0">
            <x v="0"/>
          </reference>
          <reference field="1" count="1" selected="0">
            <x v="31"/>
          </reference>
          <reference field="6" count="1" selected="0">
            <x v="77"/>
          </reference>
        </references>
      </pivotArea>
    </chartFormat>
    <chartFormat chart="23" format="2043">
      <pivotArea type="data" outline="0" fieldPosition="0">
        <references count="3">
          <reference field="4294967294" count="1" selected="0">
            <x v="0"/>
          </reference>
          <reference field="1" count="1" selected="0">
            <x v="32"/>
          </reference>
          <reference field="6" count="1" selected="0">
            <x v="77"/>
          </reference>
        </references>
      </pivotArea>
    </chartFormat>
    <chartFormat chart="23" format="2044">
      <pivotArea type="data" outline="0" fieldPosition="0">
        <references count="3">
          <reference field="4294967294" count="1" selected="0">
            <x v="0"/>
          </reference>
          <reference field="1" count="1" selected="0">
            <x v="33"/>
          </reference>
          <reference field="6" count="1" selected="0">
            <x v="77"/>
          </reference>
        </references>
      </pivotArea>
    </chartFormat>
    <chartFormat chart="23" format="2045">
      <pivotArea type="data" outline="0" fieldPosition="0">
        <references count="3">
          <reference field="4294967294" count="1" selected="0">
            <x v="0"/>
          </reference>
          <reference field="1" count="1" selected="0">
            <x v="34"/>
          </reference>
          <reference field="6" count="1" selected="0">
            <x v="77"/>
          </reference>
        </references>
      </pivotArea>
    </chartFormat>
    <chartFormat chart="23" format="2046">
      <pivotArea type="data" outline="0" fieldPosition="0">
        <references count="3">
          <reference field="4294967294" count="1" selected="0">
            <x v="0"/>
          </reference>
          <reference field="1" count="1" selected="0">
            <x v="35"/>
          </reference>
          <reference field="6" count="1" selected="0">
            <x v="77"/>
          </reference>
        </references>
      </pivotArea>
    </chartFormat>
    <chartFormat chart="23" format="2047">
      <pivotArea type="data" outline="0" fieldPosition="0">
        <references count="3">
          <reference field="4294967294" count="1" selected="0">
            <x v="0"/>
          </reference>
          <reference field="1" count="1" selected="0">
            <x v="36"/>
          </reference>
          <reference field="6" count="1" selected="0">
            <x v="77"/>
          </reference>
        </references>
      </pivotArea>
    </chartFormat>
    <chartFormat chart="23" format="2048">
      <pivotArea type="data" outline="0" fieldPosition="0">
        <references count="3">
          <reference field="4294967294" count="1" selected="0">
            <x v="0"/>
          </reference>
          <reference field="1" count="1" selected="0">
            <x v="37"/>
          </reference>
          <reference field="6" count="1" selected="0">
            <x v="77"/>
          </reference>
        </references>
      </pivotArea>
    </chartFormat>
    <chartFormat chart="23" format="2049">
      <pivotArea type="data" outline="0" fieldPosition="0">
        <references count="3">
          <reference field="4294967294" count="1" selected="0">
            <x v="0"/>
          </reference>
          <reference field="1" count="1" selected="0">
            <x v="38"/>
          </reference>
          <reference field="6" count="1" selected="0">
            <x v="77"/>
          </reference>
        </references>
      </pivotArea>
    </chartFormat>
    <chartFormat chart="23" format="2050">
      <pivotArea type="data" outline="0" fieldPosition="0">
        <references count="3">
          <reference field="4294967294" count="1" selected="0">
            <x v="0"/>
          </reference>
          <reference field="1" count="1" selected="0">
            <x v="39"/>
          </reference>
          <reference field="6" count="1" selected="0">
            <x v="77"/>
          </reference>
        </references>
      </pivotArea>
    </chartFormat>
    <chartFormat chart="23" format="2051">
      <pivotArea type="data" outline="0" fieldPosition="0">
        <references count="3">
          <reference field="4294967294" count="1" selected="0">
            <x v="0"/>
          </reference>
          <reference field="1" count="1" selected="0">
            <x v="40"/>
          </reference>
          <reference field="6" count="1" selected="0">
            <x v="77"/>
          </reference>
        </references>
      </pivotArea>
    </chartFormat>
    <chartFormat chart="23" format="2052">
      <pivotArea type="data" outline="0" fieldPosition="0">
        <references count="3">
          <reference field="4294967294" count="1" selected="0">
            <x v="0"/>
          </reference>
          <reference field="1" count="1" selected="0">
            <x v="41"/>
          </reference>
          <reference field="6" count="1" selected="0">
            <x v="77"/>
          </reference>
        </references>
      </pivotArea>
    </chartFormat>
    <chartFormat chart="23" format="2053">
      <pivotArea type="data" outline="0" fieldPosition="0">
        <references count="3">
          <reference field="4294967294" count="1" selected="0">
            <x v="0"/>
          </reference>
          <reference field="1" count="1" selected="0">
            <x v="42"/>
          </reference>
          <reference field="6" count="1" selected="0">
            <x v="77"/>
          </reference>
        </references>
      </pivotArea>
    </chartFormat>
    <chartFormat chart="23" format="2054">
      <pivotArea type="data" outline="0" fieldPosition="0">
        <references count="3">
          <reference field="4294967294" count="1" selected="0">
            <x v="0"/>
          </reference>
          <reference field="1" count="1" selected="0">
            <x v="43"/>
          </reference>
          <reference field="6" count="1" selected="0">
            <x v="77"/>
          </reference>
        </references>
      </pivotArea>
    </chartFormat>
    <chartFormat chart="23" format="2055">
      <pivotArea type="data" outline="0" fieldPosition="0">
        <references count="3">
          <reference field="4294967294" count="1" selected="0">
            <x v="0"/>
          </reference>
          <reference field="1" count="1" selected="0">
            <x v="44"/>
          </reference>
          <reference field="6" count="1" selected="0">
            <x v="77"/>
          </reference>
        </references>
      </pivotArea>
    </chartFormat>
    <chartFormat chart="23" format="2056">
      <pivotArea type="data" outline="0" fieldPosition="0">
        <references count="3">
          <reference field="4294967294" count="1" selected="0">
            <x v="0"/>
          </reference>
          <reference field="1" count="1" selected="0">
            <x v="45"/>
          </reference>
          <reference field="6" count="1" selected="0">
            <x v="77"/>
          </reference>
        </references>
      </pivotArea>
    </chartFormat>
  </chartFormat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88E89F7B-FC5E-4E3B-A83C-9731CC18FD9A}" name="PivotTable3"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A109:AA110" firstHeaderRow="1" firstDataRow="1" firstDataCol="0"/>
  <pivotFields count="10">
    <pivotField showAll="0">
      <items count="8">
        <item m="1" x="5"/>
        <item m="1" x="3"/>
        <item m="1" x="2"/>
        <item m="1" x="4"/>
        <item m="1" x="6"/>
        <item x="0"/>
        <item x="1"/>
        <item t="default"/>
      </items>
    </pivotField>
    <pivotField showAll="0"/>
    <pivotField showAll="0"/>
    <pivotField showAll="0"/>
    <pivotField showAll="0">
      <items count="122">
        <item m="1" x="93"/>
        <item x="31"/>
        <item x="10"/>
        <item m="1" x="95"/>
        <item x="0"/>
        <item m="1" x="68"/>
        <item m="1" x="99"/>
        <item m="1" x="118"/>
        <item m="1" x="74"/>
        <item m="1" x="70"/>
        <item m="1" x="83"/>
        <item m="1" x="61"/>
        <item m="1" x="69"/>
        <item m="1" x="94"/>
        <item m="1" x="101"/>
        <item x="7"/>
        <item x="43"/>
        <item x="52"/>
        <item x="28"/>
        <item x="50"/>
        <item m="1" x="71"/>
        <item m="1" x="109"/>
        <item x="46"/>
        <item x="38"/>
        <item x="27"/>
        <item x="12"/>
        <item x="18"/>
        <item x="29"/>
        <item m="1" x="117"/>
        <item x="21"/>
        <item m="1" x="97"/>
        <item x="17"/>
        <item m="1" x="56"/>
        <item x="23"/>
        <item x="20"/>
        <item m="1" x="66"/>
        <item m="1" x="108"/>
        <item m="1" x="57"/>
        <item m="1" x="111"/>
        <item m="1" x="100"/>
        <item x="35"/>
        <item x="48"/>
        <item x="26"/>
        <item m="1" x="119"/>
        <item m="1" x="92"/>
        <item x="53"/>
        <item m="1" x="85"/>
        <item m="1" x="73"/>
        <item m="1" x="107"/>
        <item x="33"/>
        <item m="1" x="86"/>
        <item x="45"/>
        <item x="54"/>
        <item x="13"/>
        <item m="1" x="75"/>
        <item m="1" x="60"/>
        <item m="1" x="106"/>
        <item x="19"/>
        <item m="1" x="76"/>
        <item m="1" x="77"/>
        <item x="14"/>
        <item m="1" x="72"/>
        <item x="51"/>
        <item x="16"/>
        <item m="1" x="84"/>
        <item m="1" x="78"/>
        <item m="1" x="98"/>
        <item m="1" x="65"/>
        <item m="1" x="62"/>
        <item m="1" x="59"/>
        <item m="1" x="110"/>
        <item m="1" x="87"/>
        <item x="2"/>
        <item x="15"/>
        <item x="39"/>
        <item m="1" x="88"/>
        <item m="1" x="82"/>
        <item x="5"/>
        <item x="6"/>
        <item x="40"/>
        <item x="42"/>
        <item m="1" x="114"/>
        <item m="1" x="115"/>
        <item m="1" x="64"/>
        <item x="41"/>
        <item x="37"/>
        <item m="1" x="67"/>
        <item x="36"/>
        <item x="11"/>
        <item x="1"/>
        <item m="1" x="90"/>
        <item m="1" x="79"/>
        <item x="4"/>
        <item x="8"/>
        <item m="1" x="80"/>
        <item m="1" x="105"/>
        <item m="1" x="55"/>
        <item x="30"/>
        <item m="1" x="103"/>
        <item m="1" x="96"/>
        <item m="1" x="91"/>
        <item m="1" x="120"/>
        <item x="3"/>
        <item m="1" x="104"/>
        <item m="1" x="112"/>
        <item x="25"/>
        <item x="9"/>
        <item m="1" x="113"/>
        <item m="1" x="116"/>
        <item m="1" x="102"/>
        <item m="1" x="81"/>
        <item m="1" x="63"/>
        <item x="49"/>
        <item m="1" x="89"/>
        <item x="24"/>
        <item x="44"/>
        <item x="34"/>
        <item x="32"/>
        <item x="22"/>
        <item x="47"/>
        <item m="1" x="58"/>
        <item t="default"/>
      </items>
    </pivotField>
    <pivotField dataField="1" showAll="0"/>
    <pivotField showAll="0"/>
    <pivotField numFmtId="2" showAll="0"/>
    <pivotField numFmtId="14" showAll="0"/>
    <pivotField showAll="0">
      <items count="13">
        <item x="0"/>
        <item x="1"/>
        <item x="2"/>
        <item x="3"/>
        <item x="4"/>
        <item x="5"/>
        <item x="6"/>
        <item x="7"/>
        <item x="8"/>
        <item x="9"/>
        <item x="10"/>
        <item x="11"/>
        <item t="default"/>
      </items>
    </pivotField>
  </pivotFields>
  <rowItems count="1">
    <i/>
  </rowItems>
  <colItems count="1">
    <i/>
  </colItems>
  <dataFields count="1">
    <dataField name="Sum of Time in Min" fld="5" baseField="0" baseItem="0" numFmtId="2"/>
  </dataFields>
  <formats count="24">
    <format dxfId="429">
      <pivotArea type="all" dataOnly="0" outline="0" fieldPosition="0"/>
    </format>
    <format dxfId="428">
      <pivotArea field="0" type="button" dataOnly="0" labelOnly="1" outline="0"/>
    </format>
    <format dxfId="427">
      <pivotArea dataOnly="0" labelOnly="1" grandRow="1" outline="0" fieldPosition="0"/>
    </format>
    <format dxfId="426">
      <pivotArea type="all" dataOnly="0" outline="0" fieldPosition="0"/>
    </format>
    <format dxfId="425">
      <pivotArea outline="0" collapsedLevelsAreSubtotals="1" fieldPosition="0"/>
    </format>
    <format dxfId="424">
      <pivotArea dataOnly="0" labelOnly="1" outline="0" axis="axisValues" fieldPosition="0"/>
    </format>
    <format dxfId="423">
      <pivotArea type="all" dataOnly="0" outline="0" fieldPosition="0"/>
    </format>
    <format dxfId="422">
      <pivotArea outline="0" collapsedLevelsAreSubtotals="1" fieldPosition="0"/>
    </format>
    <format dxfId="421">
      <pivotArea dataOnly="0" labelOnly="1" outline="0" axis="axisValues" fieldPosition="0"/>
    </format>
    <format dxfId="420">
      <pivotArea type="all" dataOnly="0" outline="0" fieldPosition="0"/>
    </format>
    <format dxfId="419">
      <pivotArea outline="0" collapsedLevelsAreSubtotals="1" fieldPosition="0"/>
    </format>
    <format dxfId="418">
      <pivotArea dataOnly="0" labelOnly="1" outline="0" axis="axisValues" fieldPosition="0"/>
    </format>
    <format dxfId="417">
      <pivotArea type="all" dataOnly="0" outline="0" fieldPosition="0"/>
    </format>
    <format dxfId="416">
      <pivotArea outline="0" collapsedLevelsAreSubtotals="1" fieldPosition="0"/>
    </format>
    <format dxfId="415">
      <pivotArea dataOnly="0" labelOnly="1" outline="0" axis="axisValues" fieldPosition="0"/>
    </format>
    <format dxfId="414">
      <pivotArea type="all" dataOnly="0" outline="0" fieldPosition="0"/>
    </format>
    <format dxfId="413">
      <pivotArea outline="0" collapsedLevelsAreSubtotals="1" fieldPosition="0"/>
    </format>
    <format dxfId="412">
      <pivotArea dataOnly="0" labelOnly="1" outline="0" axis="axisValues" fieldPosition="0"/>
    </format>
    <format dxfId="411">
      <pivotArea type="all" dataOnly="0" outline="0" fieldPosition="0"/>
    </format>
    <format dxfId="410">
      <pivotArea outline="0" collapsedLevelsAreSubtotals="1" fieldPosition="0"/>
    </format>
    <format dxfId="409">
      <pivotArea dataOnly="0" labelOnly="1" outline="0" axis="axisValues" fieldPosition="0"/>
    </format>
    <format dxfId="408">
      <pivotArea type="all" dataOnly="0" outline="0" fieldPosition="0"/>
    </format>
    <format dxfId="407">
      <pivotArea outline="0" collapsedLevelsAreSubtotals="1" fieldPosition="0"/>
    </format>
    <format dxfId="406">
      <pivotArea dataOnly="0" labelOnly="1" outline="0" axis="axisValues" fieldPosition="0"/>
    </format>
  </format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F7DF1957-5FBE-47B3-A20E-7B1003F26F4F}" name="PivotTable4"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B109:AB110" firstHeaderRow="1" firstDataRow="1" firstDataCol="0"/>
  <pivotFields count="10">
    <pivotField showAll="0">
      <items count="8">
        <item m="1" x="5"/>
        <item m="1" x="3"/>
        <item m="1" x="2"/>
        <item m="1" x="4"/>
        <item m="1" x="6"/>
        <item x="0"/>
        <item x="1"/>
        <item t="default"/>
      </items>
    </pivotField>
    <pivotField showAll="0">
      <items count="47">
        <item x="12"/>
        <item m="1" x="36"/>
        <item x="6"/>
        <item x="4"/>
        <item x="2"/>
        <item x="21"/>
        <item x="20"/>
        <item m="1" x="34"/>
        <item m="1" x="29"/>
        <item m="1" x="31"/>
        <item m="1" x="32"/>
        <item m="1" x="44"/>
        <item x="3"/>
        <item x="11"/>
        <item m="1" x="37"/>
        <item x="0"/>
        <item x="10"/>
        <item x="19"/>
        <item x="23"/>
        <item x="9"/>
        <item x="5"/>
        <item m="1" x="28"/>
        <item x="14"/>
        <item m="1" x="27"/>
        <item m="1" x="43"/>
        <item x="8"/>
        <item x="16"/>
        <item x="1"/>
        <item x="13"/>
        <item m="1" x="38"/>
        <item x="18"/>
        <item m="1" x="33"/>
        <item x="15"/>
        <item m="1" x="39"/>
        <item m="1" x="35"/>
        <item m="1" x="41"/>
        <item m="1" x="40"/>
        <item m="1" x="30"/>
        <item m="1" x="25"/>
        <item m="1" x="42"/>
        <item m="1" x="45"/>
        <item x="24"/>
        <item x="7"/>
        <item x="22"/>
        <item x="17"/>
        <item m="1" x="26"/>
        <item t="default"/>
      </items>
    </pivotField>
    <pivotField showAll="0"/>
    <pivotField showAll="0">
      <items count="18">
        <item x="4"/>
        <item x="0"/>
        <item x="5"/>
        <item m="1" x="15"/>
        <item m="1" x="11"/>
        <item m="1" x="12"/>
        <item m="1" x="7"/>
        <item x="1"/>
        <item m="1" x="10"/>
        <item m="1" x="13"/>
        <item m="1" x="16"/>
        <item m="1" x="14"/>
        <item m="1" x="8"/>
        <item m="1" x="9"/>
        <item x="3"/>
        <item x="2"/>
        <item m="1" x="6"/>
        <item t="default"/>
      </items>
    </pivotField>
    <pivotField showAll="0">
      <items count="122">
        <item m="1" x="93"/>
        <item x="31"/>
        <item x="10"/>
        <item m="1" x="95"/>
        <item x="0"/>
        <item m="1" x="68"/>
        <item m="1" x="99"/>
        <item m="1" x="118"/>
        <item m="1" x="74"/>
        <item m="1" x="70"/>
        <item m="1" x="83"/>
        <item m="1" x="61"/>
        <item m="1" x="69"/>
        <item m="1" x="94"/>
        <item m="1" x="101"/>
        <item x="7"/>
        <item x="43"/>
        <item x="52"/>
        <item x="28"/>
        <item x="50"/>
        <item m="1" x="71"/>
        <item m="1" x="109"/>
        <item x="46"/>
        <item x="38"/>
        <item x="27"/>
        <item x="12"/>
        <item x="18"/>
        <item x="29"/>
        <item m="1" x="117"/>
        <item x="21"/>
        <item m="1" x="97"/>
        <item x="17"/>
        <item m="1" x="56"/>
        <item x="23"/>
        <item x="20"/>
        <item m="1" x="66"/>
        <item m="1" x="108"/>
        <item m="1" x="57"/>
        <item m="1" x="111"/>
        <item m="1" x="100"/>
        <item x="35"/>
        <item x="48"/>
        <item x="26"/>
        <item m="1" x="119"/>
        <item m="1" x="92"/>
        <item x="53"/>
        <item m="1" x="85"/>
        <item m="1" x="73"/>
        <item m="1" x="107"/>
        <item x="33"/>
        <item m="1" x="86"/>
        <item x="45"/>
        <item x="54"/>
        <item x="13"/>
        <item m="1" x="75"/>
        <item m="1" x="60"/>
        <item m="1" x="106"/>
        <item x="19"/>
        <item m="1" x="76"/>
        <item m="1" x="77"/>
        <item x="14"/>
        <item m="1" x="72"/>
        <item x="51"/>
        <item x="16"/>
        <item m="1" x="84"/>
        <item m="1" x="78"/>
        <item m="1" x="98"/>
        <item m="1" x="65"/>
        <item m="1" x="62"/>
        <item m="1" x="59"/>
        <item m="1" x="110"/>
        <item m="1" x="87"/>
        <item x="2"/>
        <item x="15"/>
        <item x="39"/>
        <item m="1" x="88"/>
        <item m="1" x="82"/>
        <item x="5"/>
        <item x="6"/>
        <item x="40"/>
        <item x="42"/>
        <item m="1" x="114"/>
        <item m="1" x="115"/>
        <item m="1" x="64"/>
        <item x="41"/>
        <item x="37"/>
        <item m="1" x="67"/>
        <item x="36"/>
        <item x="11"/>
        <item x="1"/>
        <item m="1" x="90"/>
        <item m="1" x="79"/>
        <item x="4"/>
        <item x="8"/>
        <item m="1" x="80"/>
        <item m="1" x="105"/>
        <item m="1" x="55"/>
        <item x="30"/>
        <item m="1" x="103"/>
        <item m="1" x="96"/>
        <item m="1" x="91"/>
        <item m="1" x="120"/>
        <item x="3"/>
        <item m="1" x="104"/>
        <item m="1" x="112"/>
        <item x="25"/>
        <item x="9"/>
        <item m="1" x="113"/>
        <item m="1" x="116"/>
        <item m="1" x="102"/>
        <item m="1" x="81"/>
        <item m="1" x="63"/>
        <item x="49"/>
        <item m="1" x="89"/>
        <item x="24"/>
        <item x="44"/>
        <item x="34"/>
        <item x="32"/>
        <item x="22"/>
        <item x="47"/>
        <item m="1" x="58"/>
        <item t="default"/>
      </items>
    </pivotField>
    <pivotField showAll="0"/>
    <pivotField showAll="0">
      <items count="79">
        <item x="0"/>
        <item x="1"/>
        <item x="2"/>
        <item x="3"/>
        <item x="4"/>
        <item x="5"/>
        <item x="6"/>
        <item x="7"/>
        <item x="8"/>
        <item x="9"/>
        <item x="10"/>
        <item x="11"/>
        <item x="12"/>
        <item x="13"/>
        <item x="14"/>
        <item x="15"/>
        <item x="16"/>
        <item x="17"/>
        <item x="18"/>
        <item x="19"/>
        <item x="20"/>
        <item x="21"/>
        <item x="31"/>
        <item x="33"/>
        <item x="36"/>
        <item x="39"/>
        <item x="41"/>
        <item x="46"/>
        <item x="49"/>
        <item x="51"/>
        <item x="54"/>
        <item x="57"/>
        <item x="58"/>
        <item x="60"/>
        <item x="62"/>
        <item x="64"/>
        <item x="66"/>
        <item x="68"/>
        <item x="22"/>
        <item x="23"/>
        <item x="24"/>
        <item x="25"/>
        <item x="32"/>
        <item x="34"/>
        <item x="37"/>
        <item x="42"/>
        <item x="44"/>
        <item x="47"/>
        <item x="50"/>
        <item x="52"/>
        <item x="55"/>
        <item x="59"/>
        <item x="61"/>
        <item x="63"/>
        <item x="65"/>
        <item x="67"/>
        <item x="69"/>
        <item x="26"/>
        <item x="27"/>
        <item x="35"/>
        <item x="38"/>
        <item x="40"/>
        <item x="43"/>
        <item x="45"/>
        <item x="48"/>
        <item x="53"/>
        <item x="56"/>
        <item x="28"/>
        <item x="29"/>
        <item x="30"/>
        <item m="1" x="73"/>
        <item m="1" x="77"/>
        <item m="1" x="71"/>
        <item m="1" x="75"/>
        <item m="1" x="74"/>
        <item m="1" x="70"/>
        <item m="1" x="72"/>
        <item m="1" x="76"/>
        <item t="default"/>
      </items>
    </pivotField>
    <pivotField dataField="1" numFmtId="2" showAll="0"/>
    <pivotField numFmtId="14" showAll="0">
      <items count="30">
        <item x="0"/>
        <item x="1"/>
        <item x="2"/>
        <item x="3"/>
        <item x="4"/>
        <item x="5"/>
        <item x="6"/>
        <item x="7"/>
        <item x="8"/>
        <item x="9"/>
        <item x="10"/>
        <item x="11"/>
        <item x="12"/>
        <item x="13"/>
        <item x="14"/>
        <item x="15"/>
        <item x="16"/>
        <item x="17"/>
        <item x="18"/>
        <item x="19"/>
        <item x="20"/>
        <item x="21"/>
        <item x="22"/>
        <item m="1" x="24"/>
        <item m="1" x="27"/>
        <item m="1" x="28"/>
        <item m="1" x="26"/>
        <item m="1" x="25"/>
        <item m="1" x="23"/>
        <item t="default"/>
      </items>
    </pivotField>
    <pivotField showAll="0">
      <items count="13">
        <item x="0"/>
        <item x="1"/>
        <item x="2"/>
        <item x="3"/>
        <item x="4"/>
        <item x="5"/>
        <item x="6"/>
        <item x="7"/>
        <item x="8"/>
        <item x="9"/>
        <item x="10"/>
        <item x="11"/>
        <item t="default"/>
      </items>
    </pivotField>
  </pivotFields>
  <rowItems count="1">
    <i/>
  </rowItems>
  <colItems count="1">
    <i/>
  </colItems>
  <dataFields count="1">
    <dataField name="Sum of Hours_x000a_" fld="7" baseField="0" baseItem="0" numFmtId="2"/>
  </dataFields>
  <formats count="24">
    <format dxfId="453">
      <pivotArea type="all" dataOnly="0" outline="0" fieldPosition="0"/>
    </format>
    <format dxfId="452">
      <pivotArea field="0" type="button" dataOnly="0" labelOnly="1" outline="0"/>
    </format>
    <format dxfId="451">
      <pivotArea dataOnly="0" labelOnly="1" grandRow="1" outline="0" fieldPosition="0"/>
    </format>
    <format dxfId="450">
      <pivotArea type="all" dataOnly="0" outline="0" fieldPosition="0"/>
    </format>
    <format dxfId="449">
      <pivotArea outline="0" collapsedLevelsAreSubtotals="1" fieldPosition="0"/>
    </format>
    <format dxfId="448">
      <pivotArea dataOnly="0" labelOnly="1" outline="0" axis="axisValues" fieldPosition="0"/>
    </format>
    <format dxfId="447">
      <pivotArea type="all" dataOnly="0" outline="0" fieldPosition="0"/>
    </format>
    <format dxfId="446">
      <pivotArea outline="0" collapsedLevelsAreSubtotals="1" fieldPosition="0"/>
    </format>
    <format dxfId="445">
      <pivotArea dataOnly="0" labelOnly="1" outline="0" axis="axisValues" fieldPosition="0"/>
    </format>
    <format dxfId="444">
      <pivotArea type="all" dataOnly="0" outline="0" fieldPosition="0"/>
    </format>
    <format dxfId="443">
      <pivotArea outline="0" collapsedLevelsAreSubtotals="1" fieldPosition="0"/>
    </format>
    <format dxfId="442">
      <pivotArea dataOnly="0" labelOnly="1" outline="0" axis="axisValues" fieldPosition="0"/>
    </format>
    <format dxfId="441">
      <pivotArea type="all" dataOnly="0" outline="0" fieldPosition="0"/>
    </format>
    <format dxfId="440">
      <pivotArea outline="0" collapsedLevelsAreSubtotals="1" fieldPosition="0"/>
    </format>
    <format dxfId="439">
      <pivotArea dataOnly="0" labelOnly="1" outline="0" axis="axisValues" fieldPosition="0"/>
    </format>
    <format dxfId="438">
      <pivotArea type="all" dataOnly="0" outline="0" fieldPosition="0"/>
    </format>
    <format dxfId="437">
      <pivotArea outline="0" collapsedLevelsAreSubtotals="1" fieldPosition="0"/>
    </format>
    <format dxfId="436">
      <pivotArea dataOnly="0" labelOnly="1" outline="0" axis="axisValues" fieldPosition="0"/>
    </format>
    <format dxfId="435">
      <pivotArea type="all" dataOnly="0" outline="0" fieldPosition="0"/>
    </format>
    <format dxfId="434">
      <pivotArea outline="0" collapsedLevelsAreSubtotals="1" fieldPosition="0"/>
    </format>
    <format dxfId="433">
      <pivotArea dataOnly="0" labelOnly="1" outline="0" axis="axisValues" fieldPosition="0"/>
    </format>
    <format dxfId="432">
      <pivotArea type="all" dataOnly="0" outline="0" fieldPosition="0"/>
    </format>
    <format dxfId="431">
      <pivotArea outline="0" collapsedLevelsAreSubtotals="1" fieldPosition="0"/>
    </format>
    <format dxfId="430">
      <pivotArea dataOnly="0" labelOnly="1" outline="0" axis="axisValues" fieldPosition="0"/>
    </format>
  </format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F5DBFF37-DD54-496D-8FF6-C562E0C72188}" name="PivotTable26"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compactData="0" multipleFieldFilters="0" chartFormat="16">
  <location ref="D91:E161" firstHeaderRow="1" firstDataRow="1" firstDataCol="2"/>
  <pivotFields count="10">
    <pivotField compact="0" outline="0" showAll="0" defaultSubtotal="0">
      <items count="7">
        <item m="1" x="5"/>
        <item m="1" x="3"/>
        <item m="1" x="2"/>
        <item m="1" x="4"/>
        <item m="1" x="6"/>
        <item x="0"/>
        <item x="1"/>
      </items>
    </pivotField>
    <pivotField compact="0" outline="0" showAll="0" defaultSubtotal="0">
      <items count="46">
        <item x="12"/>
        <item m="1" x="36"/>
        <item x="6"/>
        <item x="4"/>
        <item x="2"/>
        <item x="21"/>
        <item x="20"/>
        <item m="1" x="34"/>
        <item m="1" x="29"/>
        <item m="1" x="31"/>
        <item m="1" x="32"/>
        <item m="1" x="44"/>
        <item x="3"/>
        <item x="11"/>
        <item m="1" x="37"/>
        <item x="0"/>
        <item x="10"/>
        <item x="19"/>
        <item x="23"/>
        <item x="9"/>
        <item x="5"/>
        <item m="1" x="28"/>
        <item x="14"/>
        <item m="1" x="27"/>
        <item m="1" x="43"/>
        <item x="8"/>
        <item x="16"/>
        <item x="1"/>
        <item x="13"/>
        <item m="1" x="38"/>
        <item x="18"/>
        <item m="1" x="33"/>
        <item x="15"/>
        <item m="1" x="39"/>
        <item m="1" x="35"/>
        <item m="1" x="41"/>
        <item m="1" x="40"/>
        <item m="1" x="30"/>
        <item m="1" x="25"/>
        <item m="1" x="42"/>
        <item m="1" x="45"/>
        <item x="24"/>
        <item x="7"/>
        <item x="22"/>
        <item x="17"/>
        <item m="1" x="26"/>
      </items>
    </pivotField>
    <pivotField compact="0" outline="0" subtotalTop="0" showAll="0" defaultSubtotal="0"/>
    <pivotField compact="0" outline="0" showAll="0" defaultSubtotal="0">
      <items count="17">
        <item x="4"/>
        <item x="0"/>
        <item x="5"/>
        <item m="1" x="15"/>
        <item m="1" x="11"/>
        <item m="1" x="12"/>
        <item m="1" x="7"/>
        <item x="1"/>
        <item m="1" x="10"/>
        <item m="1" x="13"/>
        <item m="1" x="16"/>
        <item m="1" x="14"/>
        <item m="1" x="8"/>
        <item m="1" x="9"/>
        <item x="3"/>
        <item x="2"/>
        <item m="1" x="6"/>
      </items>
    </pivotField>
    <pivotField compact="0" outline="0" showAll="0" defaultSubtotal="0">
      <items count="121">
        <item m="1" x="93"/>
        <item x="31"/>
        <item x="10"/>
        <item m="1" x="95"/>
        <item x="0"/>
        <item m="1" x="68"/>
        <item m="1" x="99"/>
        <item m="1" x="118"/>
        <item m="1" x="74"/>
        <item m="1" x="70"/>
        <item m="1" x="83"/>
        <item m="1" x="61"/>
        <item m="1" x="69"/>
        <item m="1" x="94"/>
        <item m="1" x="101"/>
        <item x="7"/>
        <item x="43"/>
        <item x="52"/>
        <item x="28"/>
        <item x="50"/>
        <item m="1" x="71"/>
        <item m="1" x="109"/>
        <item x="46"/>
        <item x="38"/>
        <item x="27"/>
        <item x="12"/>
        <item x="18"/>
        <item x="29"/>
        <item m="1" x="117"/>
        <item x="21"/>
        <item m="1" x="97"/>
        <item x="17"/>
        <item m="1" x="56"/>
        <item x="23"/>
        <item x="20"/>
        <item m="1" x="66"/>
        <item m="1" x="108"/>
        <item m="1" x="57"/>
        <item m="1" x="111"/>
        <item m="1" x="100"/>
        <item x="35"/>
        <item x="48"/>
        <item x="26"/>
        <item m="1" x="119"/>
        <item m="1" x="92"/>
        <item x="53"/>
        <item m="1" x="85"/>
        <item m="1" x="73"/>
        <item m="1" x="107"/>
        <item x="33"/>
        <item m="1" x="86"/>
        <item x="45"/>
        <item x="54"/>
        <item x="13"/>
        <item m="1" x="75"/>
        <item m="1" x="60"/>
        <item m="1" x="106"/>
        <item x="19"/>
        <item m="1" x="76"/>
        <item m="1" x="77"/>
        <item x="14"/>
        <item m="1" x="72"/>
        <item x="51"/>
        <item x="16"/>
        <item m="1" x="84"/>
        <item m="1" x="78"/>
        <item m="1" x="98"/>
        <item m="1" x="65"/>
        <item m="1" x="62"/>
        <item m="1" x="59"/>
        <item m="1" x="110"/>
        <item m="1" x="87"/>
        <item x="2"/>
        <item x="15"/>
        <item x="39"/>
        <item m="1" x="88"/>
        <item m="1" x="82"/>
        <item x="5"/>
        <item x="6"/>
        <item x="40"/>
        <item x="42"/>
        <item m="1" x="114"/>
        <item m="1" x="115"/>
        <item m="1" x="64"/>
        <item x="41"/>
        <item x="37"/>
        <item m="1" x="67"/>
        <item x="36"/>
        <item x="11"/>
        <item x="1"/>
        <item m="1" x="90"/>
        <item m="1" x="79"/>
        <item x="4"/>
        <item x="8"/>
        <item m="1" x="80"/>
        <item m="1" x="105"/>
        <item m="1" x="55"/>
        <item x="30"/>
        <item m="1" x="103"/>
        <item m="1" x="96"/>
        <item m="1" x="91"/>
        <item m="1" x="120"/>
        <item x="3"/>
        <item m="1" x="104"/>
        <item m="1" x="112"/>
        <item x="25"/>
        <item x="9"/>
        <item m="1" x="113"/>
        <item m="1" x="116"/>
        <item m="1" x="102"/>
        <item m="1" x="81"/>
        <item m="1" x="63"/>
        <item x="49"/>
        <item m="1" x="89"/>
        <item x="24"/>
        <item x="44"/>
        <item x="34"/>
        <item x="32"/>
        <item x="22"/>
        <item x="47"/>
        <item m="1" x="58"/>
      </items>
    </pivotField>
    <pivotField compact="0" outline="0" showAll="0" defaultSubtotal="0"/>
    <pivotField axis="axisRow" compact="0" outline="0" showAll="0" defaultSubtotal="0">
      <items count="78">
        <item m="1" x="71"/>
        <item m="1" x="75"/>
        <item m="1" x="74"/>
        <item m="1" x="70"/>
        <item m="1" x="72"/>
        <item m="1" x="76"/>
        <item m="1" x="73"/>
        <item m="1" x="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s>
    </pivotField>
    <pivotField compact="0" numFmtId="2" outline="0" showAll="0" defaultSubtotal="0"/>
    <pivotField axis="axisRow" compact="0" numFmtId="14" outline="0" subtotalTop="0" showAll="0" defaultSubtotal="0">
      <items count="29">
        <item m="1" x="26"/>
        <item m="1" x="25"/>
        <item m="1" x="24"/>
        <item m="1" x="27"/>
        <item m="1" x="28"/>
        <item m="1" x="23"/>
        <item x="0"/>
        <item x="1"/>
        <item x="2"/>
        <item x="3"/>
        <item x="4"/>
        <item x="5"/>
        <item x="6"/>
        <item x="7"/>
        <item x="8"/>
        <item x="9"/>
        <item x="10"/>
        <item x="11"/>
        <item x="12"/>
        <item x="13"/>
        <item x="14"/>
        <item x="15"/>
        <item x="16"/>
        <item x="17"/>
        <item x="18"/>
        <item x="19"/>
        <item x="20"/>
        <item x="21"/>
        <item x="22"/>
      </items>
    </pivotField>
    <pivotField compact="0" outline="0" subtotalTop="0" showAll="0" defaultSubtotal="0">
      <items count="12">
        <item x="0"/>
        <item x="1"/>
        <item x="2"/>
        <item x="3"/>
        <item x="4"/>
        <item x="5"/>
        <item x="6"/>
        <item x="7"/>
        <item x="8"/>
        <item x="9"/>
        <item x="10"/>
        <item x="11"/>
      </items>
    </pivotField>
  </pivotFields>
  <rowFields count="2">
    <field x="6"/>
    <field x="8"/>
  </rowFields>
  <rowItems count="70">
    <i>
      <x v="8"/>
      <x v="6"/>
    </i>
    <i>
      <x v="9"/>
      <x v="6"/>
    </i>
    <i>
      <x v="10"/>
      <x v="6"/>
    </i>
    <i>
      <x v="11"/>
      <x v="7"/>
    </i>
    <i>
      <x v="12"/>
      <x v="7"/>
    </i>
    <i>
      <x v="13"/>
      <x v="8"/>
    </i>
    <i>
      <x v="14"/>
      <x v="8"/>
    </i>
    <i>
      <x v="15"/>
      <x v="8"/>
    </i>
    <i>
      <x v="16"/>
      <x v="9"/>
    </i>
    <i>
      <x v="17"/>
      <x v="9"/>
    </i>
    <i>
      <x v="18"/>
      <x v="10"/>
    </i>
    <i>
      <x v="19"/>
      <x v="10"/>
    </i>
    <i>
      <x v="20"/>
      <x v="11"/>
    </i>
    <i>
      <x v="21"/>
      <x v="11"/>
    </i>
    <i>
      <x v="22"/>
      <x v="12"/>
    </i>
    <i>
      <x v="23"/>
      <x v="13"/>
    </i>
    <i>
      <x v="24"/>
      <x v="13"/>
    </i>
    <i>
      <x v="25"/>
      <x v="14"/>
    </i>
    <i>
      <x v="26"/>
      <x v="14"/>
    </i>
    <i>
      <x v="27"/>
      <x v="14"/>
    </i>
    <i>
      <x v="28"/>
      <x v="15"/>
    </i>
    <i>
      <x v="29"/>
      <x v="16"/>
    </i>
    <i>
      <x v="30"/>
      <x v="17"/>
    </i>
    <i>
      <x v="31"/>
      <x v="18"/>
    </i>
    <i>
      <x v="32"/>
      <x v="18"/>
    </i>
    <i>
      <x v="33"/>
      <x v="18"/>
    </i>
    <i>
      <x v="34"/>
      <x v="19"/>
    </i>
    <i>
      <x v="35"/>
      <x v="19"/>
    </i>
    <i>
      <x v="36"/>
      <x v="20"/>
    </i>
    <i>
      <x v="37"/>
      <x v="20"/>
    </i>
    <i>
      <x v="38"/>
      <x v="21"/>
    </i>
    <i>
      <x v="39"/>
      <x v="16"/>
    </i>
    <i>
      <x v="40"/>
      <x v="18"/>
    </i>
    <i>
      <x v="41"/>
      <x v="16"/>
    </i>
    <i>
      <x v="42"/>
      <x v="18"/>
    </i>
    <i>
      <x v="43"/>
      <x v="22"/>
    </i>
    <i>
      <x v="44"/>
      <x v="16"/>
    </i>
    <i>
      <x v="45"/>
      <x v="18"/>
    </i>
    <i>
      <x v="46"/>
      <x v="22"/>
    </i>
    <i>
      <x v="47"/>
      <x v="16"/>
    </i>
    <i>
      <x v="48"/>
      <x v="22"/>
    </i>
    <i>
      <x v="49"/>
      <x v="16"/>
    </i>
    <i>
      <x v="50"/>
      <x v="23"/>
    </i>
    <i>
      <x v="51"/>
      <x v="22"/>
    </i>
    <i>
      <x v="52"/>
      <x v="23"/>
    </i>
    <i>
      <x v="53"/>
      <x v="22"/>
    </i>
    <i>
      <x v="54"/>
      <x v="24"/>
    </i>
    <i>
      <x v="55"/>
      <x v="23"/>
    </i>
    <i>
      <x v="56"/>
      <x v="22"/>
    </i>
    <i>
      <x v="57"/>
      <x v="24"/>
    </i>
    <i>
      <x v="58"/>
      <x v="23"/>
    </i>
    <i>
      <x v="59"/>
      <x v="24"/>
    </i>
    <i>
      <x v="60"/>
      <x v="23"/>
    </i>
    <i>
      <x v="61"/>
      <x v="25"/>
    </i>
    <i>
      <x v="62"/>
      <x v="24"/>
    </i>
    <i>
      <x v="63"/>
      <x v="23"/>
    </i>
    <i>
      <x v="64"/>
      <x v="25"/>
    </i>
    <i>
      <x v="65"/>
      <x v="24"/>
    </i>
    <i>
      <x v="66"/>
      <x v="24"/>
    </i>
    <i>
      <x v="67"/>
      <x v="26"/>
    </i>
    <i>
      <x v="68"/>
      <x v="27"/>
    </i>
    <i>
      <x v="69"/>
      <x v="26"/>
    </i>
    <i>
      <x v="70"/>
      <x v="27"/>
    </i>
    <i>
      <x v="71"/>
      <x v="26"/>
    </i>
    <i>
      <x v="72"/>
      <x v="27"/>
    </i>
    <i>
      <x v="73"/>
      <x v="26"/>
    </i>
    <i>
      <x v="74"/>
      <x v="27"/>
    </i>
    <i>
      <x v="75"/>
      <x v="26"/>
    </i>
    <i>
      <x v="76"/>
      <x v="27"/>
    </i>
    <i>
      <x v="77"/>
      <x v="28"/>
    </i>
  </rowItems>
  <colItems count="1">
    <i/>
  </colItems>
  <formats count="140">
    <format dxfId="593">
      <pivotArea type="all" dataOnly="0" outline="0" fieldPosition="0"/>
    </format>
    <format dxfId="592">
      <pivotArea field="0" type="button" dataOnly="0" labelOnly="1" outline="0"/>
    </format>
    <format dxfId="591">
      <pivotArea dataOnly="0" labelOnly="1" grandRow="1" outline="0" fieldPosition="0"/>
    </format>
    <format dxfId="590">
      <pivotArea type="all" dataOnly="0" outline="0" fieldPosition="0"/>
    </format>
    <format dxfId="589">
      <pivotArea outline="0" collapsedLevelsAreSubtotals="1" fieldPosition="0"/>
    </format>
    <format dxfId="588">
      <pivotArea field="6" type="button" dataOnly="0" labelOnly="1" outline="0" axis="axisRow" fieldPosition="0"/>
    </format>
    <format dxfId="587">
      <pivotArea dataOnly="0" labelOnly="1" grandRow="1" outline="0" fieldPosition="0"/>
    </format>
    <format dxfId="586">
      <pivotArea dataOnly="0" labelOnly="1" outline="0" axis="axisValues" fieldPosition="0"/>
    </format>
    <format dxfId="585">
      <pivotArea type="all" dataOnly="0" outline="0" fieldPosition="0"/>
    </format>
    <format dxfId="584">
      <pivotArea field="6" type="button" dataOnly="0" labelOnly="1" outline="0" axis="axisRow" fieldPosition="0"/>
    </format>
    <format dxfId="583">
      <pivotArea field="8" type="button" dataOnly="0" labelOnly="1" outline="0" axis="axisRow" fieldPosition="1"/>
    </format>
    <format dxfId="582">
      <pivotArea dataOnly="0" labelOnly="1" outline="0" fieldPosition="0">
        <references count="1">
          <reference field="6" count="0"/>
        </references>
      </pivotArea>
    </format>
    <format dxfId="581">
      <pivotArea dataOnly="0" labelOnly="1" outline="0" fieldPosition="0">
        <references count="2">
          <reference field="6" count="1" selected="0">
            <x v="0"/>
          </reference>
          <reference field="8" count="1">
            <x v="3"/>
          </reference>
        </references>
      </pivotArea>
    </format>
    <format dxfId="580">
      <pivotArea dataOnly="0" labelOnly="1" outline="0" fieldPosition="0">
        <references count="2">
          <reference field="6" count="1" selected="0">
            <x v="1"/>
          </reference>
          <reference field="8" count="1">
            <x v="3"/>
          </reference>
        </references>
      </pivotArea>
    </format>
    <format dxfId="579">
      <pivotArea dataOnly="0" labelOnly="1" outline="0" fieldPosition="0">
        <references count="2">
          <reference field="6" count="1" selected="0">
            <x v="2"/>
          </reference>
          <reference field="8" count="1">
            <x v="4"/>
          </reference>
        </references>
      </pivotArea>
    </format>
    <format dxfId="578">
      <pivotArea dataOnly="0" labelOnly="1" outline="0" fieldPosition="0">
        <references count="2">
          <reference field="6" count="1" selected="0">
            <x v="3"/>
          </reference>
          <reference field="8" count="1">
            <x v="4"/>
          </reference>
        </references>
      </pivotArea>
    </format>
    <format dxfId="577">
      <pivotArea dataOnly="0" labelOnly="1" outline="0" fieldPosition="0">
        <references count="2">
          <reference field="6" count="1" selected="0">
            <x v="4"/>
          </reference>
          <reference field="8" count="1">
            <x v="4"/>
          </reference>
        </references>
      </pivotArea>
    </format>
    <format dxfId="576">
      <pivotArea dataOnly="0" labelOnly="1" outline="0" fieldPosition="0">
        <references count="2">
          <reference field="6" count="1" selected="0">
            <x v="6"/>
          </reference>
          <reference field="8" count="1">
            <x v="3"/>
          </reference>
        </references>
      </pivotArea>
    </format>
    <format dxfId="575">
      <pivotArea dataOnly="0" labelOnly="1" outline="0" fieldPosition="0">
        <references count="2">
          <reference field="6" count="1" selected="0">
            <x v="7"/>
          </reference>
          <reference field="8" count="1">
            <x v="3"/>
          </reference>
        </references>
      </pivotArea>
    </format>
    <format dxfId="574">
      <pivotArea type="all" dataOnly="0" outline="0" fieldPosition="0"/>
    </format>
    <format dxfId="573">
      <pivotArea field="6" type="button" dataOnly="0" labelOnly="1" outline="0" axis="axisRow" fieldPosition="0"/>
    </format>
    <format dxfId="572">
      <pivotArea field="8" type="button" dataOnly="0" labelOnly="1" outline="0" axis="axisRow" fieldPosition="1"/>
    </format>
    <format dxfId="571">
      <pivotArea dataOnly="0" labelOnly="1" outline="0" fieldPosition="0">
        <references count="1">
          <reference field="6" count="0"/>
        </references>
      </pivotArea>
    </format>
    <format dxfId="570">
      <pivotArea dataOnly="0" labelOnly="1" outline="0" fieldPosition="0">
        <references count="2">
          <reference field="6" count="1" selected="0">
            <x v="0"/>
          </reference>
          <reference field="8" count="1">
            <x v="3"/>
          </reference>
        </references>
      </pivotArea>
    </format>
    <format dxfId="569">
      <pivotArea dataOnly="0" labelOnly="1" outline="0" fieldPosition="0">
        <references count="2">
          <reference field="6" count="1" selected="0">
            <x v="1"/>
          </reference>
          <reference field="8" count="1">
            <x v="3"/>
          </reference>
        </references>
      </pivotArea>
    </format>
    <format dxfId="568">
      <pivotArea dataOnly="0" labelOnly="1" outline="0" fieldPosition="0">
        <references count="2">
          <reference field="6" count="1" selected="0">
            <x v="2"/>
          </reference>
          <reference field="8" count="1">
            <x v="4"/>
          </reference>
        </references>
      </pivotArea>
    </format>
    <format dxfId="567">
      <pivotArea dataOnly="0" labelOnly="1" outline="0" fieldPosition="0">
        <references count="2">
          <reference field="6" count="1" selected="0">
            <x v="3"/>
          </reference>
          <reference field="8" count="1">
            <x v="4"/>
          </reference>
        </references>
      </pivotArea>
    </format>
    <format dxfId="566">
      <pivotArea dataOnly="0" labelOnly="1" outline="0" fieldPosition="0">
        <references count="2">
          <reference field="6" count="1" selected="0">
            <x v="4"/>
          </reference>
          <reference field="8" count="1">
            <x v="4"/>
          </reference>
        </references>
      </pivotArea>
    </format>
    <format dxfId="565">
      <pivotArea dataOnly="0" labelOnly="1" outline="0" fieldPosition="0">
        <references count="2">
          <reference field="6" count="1" selected="0">
            <x v="6"/>
          </reference>
          <reference field="8" count="1">
            <x v="3"/>
          </reference>
        </references>
      </pivotArea>
    </format>
    <format dxfId="564">
      <pivotArea dataOnly="0" labelOnly="1" outline="0" fieldPosition="0">
        <references count="2">
          <reference field="6" count="1" selected="0">
            <x v="7"/>
          </reference>
          <reference field="8" count="1">
            <x v="3"/>
          </reference>
        </references>
      </pivotArea>
    </format>
    <format dxfId="563">
      <pivotArea type="all" dataOnly="0" outline="0" fieldPosition="0"/>
    </format>
    <format dxfId="562">
      <pivotArea field="6" type="button" dataOnly="0" labelOnly="1" outline="0" axis="axisRow" fieldPosition="0"/>
    </format>
    <format dxfId="561">
      <pivotArea field="8" type="button" dataOnly="0" labelOnly="1" outline="0" axis="axisRow" fieldPosition="1"/>
    </format>
    <format dxfId="560">
      <pivotArea dataOnly="0" labelOnly="1" outline="0" fieldPosition="0">
        <references count="1">
          <reference field="6" count="0"/>
        </references>
      </pivotArea>
    </format>
    <format dxfId="559">
      <pivotArea dataOnly="0" labelOnly="1" outline="0" fieldPosition="0">
        <references count="2">
          <reference field="6" count="1" selected="0">
            <x v="0"/>
          </reference>
          <reference field="8" count="1">
            <x v="3"/>
          </reference>
        </references>
      </pivotArea>
    </format>
    <format dxfId="558">
      <pivotArea dataOnly="0" labelOnly="1" outline="0" fieldPosition="0">
        <references count="2">
          <reference field="6" count="1" selected="0">
            <x v="1"/>
          </reference>
          <reference field="8" count="1">
            <x v="3"/>
          </reference>
        </references>
      </pivotArea>
    </format>
    <format dxfId="557">
      <pivotArea dataOnly="0" labelOnly="1" outline="0" fieldPosition="0">
        <references count="2">
          <reference field="6" count="1" selected="0">
            <x v="2"/>
          </reference>
          <reference field="8" count="1">
            <x v="4"/>
          </reference>
        </references>
      </pivotArea>
    </format>
    <format dxfId="556">
      <pivotArea dataOnly="0" labelOnly="1" outline="0" fieldPosition="0">
        <references count="2">
          <reference field="6" count="1" selected="0">
            <x v="3"/>
          </reference>
          <reference field="8" count="1">
            <x v="4"/>
          </reference>
        </references>
      </pivotArea>
    </format>
    <format dxfId="555">
      <pivotArea dataOnly="0" labelOnly="1" outline="0" fieldPosition="0">
        <references count="2">
          <reference field="6" count="1" selected="0">
            <x v="4"/>
          </reference>
          <reference field="8" count="1">
            <x v="4"/>
          </reference>
        </references>
      </pivotArea>
    </format>
    <format dxfId="554">
      <pivotArea dataOnly="0" labelOnly="1" outline="0" fieldPosition="0">
        <references count="2">
          <reference field="6" count="1" selected="0">
            <x v="6"/>
          </reference>
          <reference field="8" count="1">
            <x v="3"/>
          </reference>
        </references>
      </pivotArea>
    </format>
    <format dxfId="553">
      <pivotArea dataOnly="0" labelOnly="1" outline="0" fieldPosition="0">
        <references count="2">
          <reference field="6" count="1" selected="0">
            <x v="7"/>
          </reference>
          <reference field="8" count="1">
            <x v="3"/>
          </reference>
        </references>
      </pivotArea>
    </format>
    <format dxfId="552">
      <pivotArea type="all" dataOnly="0" outline="0" fieldPosition="0"/>
    </format>
    <format dxfId="551">
      <pivotArea field="6" type="button" dataOnly="0" labelOnly="1" outline="0" axis="axisRow" fieldPosition="0"/>
    </format>
    <format dxfId="550">
      <pivotArea field="8" type="button" dataOnly="0" labelOnly="1" outline="0" axis="axisRow" fieldPosition="1"/>
    </format>
    <format dxfId="549">
      <pivotArea dataOnly="0" labelOnly="1" outline="0" fieldPosition="0">
        <references count="1">
          <reference field="6" count="0"/>
        </references>
      </pivotArea>
    </format>
    <format dxfId="548">
      <pivotArea dataOnly="0" labelOnly="1" outline="0" fieldPosition="0">
        <references count="2">
          <reference field="6" count="1" selected="0">
            <x v="0"/>
          </reference>
          <reference field="8" count="1">
            <x v="3"/>
          </reference>
        </references>
      </pivotArea>
    </format>
    <format dxfId="547">
      <pivotArea dataOnly="0" labelOnly="1" outline="0" fieldPosition="0">
        <references count="2">
          <reference field="6" count="1" selected="0">
            <x v="1"/>
          </reference>
          <reference field="8" count="1">
            <x v="3"/>
          </reference>
        </references>
      </pivotArea>
    </format>
    <format dxfId="546">
      <pivotArea dataOnly="0" labelOnly="1" outline="0" fieldPosition="0">
        <references count="2">
          <reference field="6" count="1" selected="0">
            <x v="2"/>
          </reference>
          <reference field="8" count="1">
            <x v="4"/>
          </reference>
        </references>
      </pivotArea>
    </format>
    <format dxfId="545">
      <pivotArea dataOnly="0" labelOnly="1" outline="0" fieldPosition="0">
        <references count="2">
          <reference field="6" count="1" selected="0">
            <x v="3"/>
          </reference>
          <reference field="8" count="1">
            <x v="4"/>
          </reference>
        </references>
      </pivotArea>
    </format>
    <format dxfId="544">
      <pivotArea dataOnly="0" labelOnly="1" outline="0" fieldPosition="0">
        <references count="2">
          <reference field="6" count="1" selected="0">
            <x v="4"/>
          </reference>
          <reference field="8" count="1">
            <x v="4"/>
          </reference>
        </references>
      </pivotArea>
    </format>
    <format dxfId="543">
      <pivotArea dataOnly="0" labelOnly="1" outline="0" fieldPosition="0">
        <references count="2">
          <reference field="6" count="1" selected="0">
            <x v="6"/>
          </reference>
          <reference field="8" count="1">
            <x v="3"/>
          </reference>
        </references>
      </pivotArea>
    </format>
    <format dxfId="542">
      <pivotArea dataOnly="0" labelOnly="1" outline="0" fieldPosition="0">
        <references count="2">
          <reference field="6" count="1" selected="0">
            <x v="7"/>
          </reference>
          <reference field="8" count="1">
            <x v="3"/>
          </reference>
        </references>
      </pivotArea>
    </format>
    <format dxfId="541">
      <pivotArea type="all" dataOnly="0" outline="0" fieldPosition="0"/>
    </format>
    <format dxfId="540">
      <pivotArea field="6" type="button" dataOnly="0" labelOnly="1" outline="0" axis="axisRow" fieldPosition="0"/>
    </format>
    <format dxfId="539">
      <pivotArea field="8" type="button" dataOnly="0" labelOnly="1" outline="0" axis="axisRow" fieldPosition="1"/>
    </format>
    <format dxfId="538">
      <pivotArea dataOnly="0" labelOnly="1" outline="0" fieldPosition="0">
        <references count="1">
          <reference field="6" count="0"/>
        </references>
      </pivotArea>
    </format>
    <format dxfId="537">
      <pivotArea dataOnly="0" labelOnly="1" outline="0" fieldPosition="0">
        <references count="2">
          <reference field="6" count="1" selected="0">
            <x v="0"/>
          </reference>
          <reference field="8" count="1">
            <x v="3"/>
          </reference>
        </references>
      </pivotArea>
    </format>
    <format dxfId="536">
      <pivotArea dataOnly="0" labelOnly="1" outline="0" fieldPosition="0">
        <references count="2">
          <reference field="6" count="1" selected="0">
            <x v="1"/>
          </reference>
          <reference field="8" count="1">
            <x v="3"/>
          </reference>
        </references>
      </pivotArea>
    </format>
    <format dxfId="535">
      <pivotArea dataOnly="0" labelOnly="1" outline="0" fieldPosition="0">
        <references count="2">
          <reference field="6" count="1" selected="0">
            <x v="2"/>
          </reference>
          <reference field="8" count="1">
            <x v="4"/>
          </reference>
        </references>
      </pivotArea>
    </format>
    <format dxfId="534">
      <pivotArea dataOnly="0" labelOnly="1" outline="0" fieldPosition="0">
        <references count="2">
          <reference field="6" count="1" selected="0">
            <x v="3"/>
          </reference>
          <reference field="8" count="1">
            <x v="4"/>
          </reference>
        </references>
      </pivotArea>
    </format>
    <format dxfId="533">
      <pivotArea dataOnly="0" labelOnly="1" outline="0" fieldPosition="0">
        <references count="2">
          <reference field="6" count="1" selected="0">
            <x v="4"/>
          </reference>
          <reference field="8" count="1">
            <x v="4"/>
          </reference>
        </references>
      </pivotArea>
    </format>
    <format dxfId="532">
      <pivotArea dataOnly="0" labelOnly="1" outline="0" fieldPosition="0">
        <references count="2">
          <reference field="6" count="1" selected="0">
            <x v="6"/>
          </reference>
          <reference field="8" count="1">
            <x v="3"/>
          </reference>
        </references>
      </pivotArea>
    </format>
    <format dxfId="531">
      <pivotArea dataOnly="0" labelOnly="1" outline="0" fieldPosition="0">
        <references count="2">
          <reference field="6" count="1" selected="0">
            <x v="7"/>
          </reference>
          <reference field="8" count="1">
            <x v="3"/>
          </reference>
        </references>
      </pivotArea>
    </format>
    <format dxfId="530">
      <pivotArea type="all" dataOnly="0" outline="0" fieldPosition="0"/>
    </format>
    <format dxfId="529">
      <pivotArea field="6" type="button" dataOnly="0" labelOnly="1" outline="0" axis="axisRow" fieldPosition="0"/>
    </format>
    <format dxfId="528">
      <pivotArea field="8" type="button" dataOnly="0" labelOnly="1" outline="0" axis="axisRow" fieldPosition="1"/>
    </format>
    <format dxfId="527">
      <pivotArea dataOnly="0" labelOnly="1" outline="0" fieldPosition="0">
        <references count="1">
          <reference field="6" count="50">
            <x v="8"/>
            <x v="9"/>
            <x v="10"/>
            <x v="11"/>
            <x v="12"/>
            <x v="13"/>
            <x v="14"/>
            <x v="15"/>
            <x v="16"/>
            <x v="17"/>
            <x v="18"/>
            <x v="19"/>
            <x v="20"/>
            <x v="21"/>
            <x v="22"/>
            <x v="23"/>
            <x v="24"/>
            <x v="25"/>
            <x v="26"/>
            <x v="27"/>
            <x v="28"/>
            <x v="29"/>
            <x v="30"/>
            <x v="31"/>
            <x v="32"/>
            <x v="33"/>
            <x v="34"/>
            <x v="35"/>
            <x v="36"/>
            <x v="37"/>
            <x v="38"/>
            <x v="39"/>
            <x v="40"/>
            <x v="41"/>
            <x v="42"/>
            <x v="43"/>
            <x v="44"/>
            <x v="45"/>
            <x v="46"/>
            <x v="47"/>
            <x v="48"/>
            <x v="49"/>
            <x v="50"/>
            <x v="51"/>
            <x v="52"/>
            <x v="53"/>
            <x v="54"/>
            <x v="55"/>
            <x v="56"/>
            <x v="57"/>
          </reference>
        </references>
      </pivotArea>
    </format>
    <format dxfId="526">
      <pivotArea dataOnly="0" labelOnly="1" outline="0" fieldPosition="0">
        <references count="1">
          <reference field="6" count="20">
            <x v="58"/>
            <x v="59"/>
            <x v="60"/>
            <x v="61"/>
            <x v="62"/>
            <x v="63"/>
            <x v="64"/>
            <x v="65"/>
            <x v="66"/>
            <x v="67"/>
            <x v="68"/>
            <x v="69"/>
            <x v="70"/>
            <x v="71"/>
            <x v="72"/>
            <x v="73"/>
            <x v="74"/>
            <x v="75"/>
            <x v="76"/>
            <x v="77"/>
          </reference>
        </references>
      </pivotArea>
    </format>
    <format dxfId="525">
      <pivotArea dataOnly="0" labelOnly="1" outline="0" fieldPosition="0">
        <references count="2">
          <reference field="6" count="1" selected="0">
            <x v="8"/>
          </reference>
          <reference field="8" count="1">
            <x v="6"/>
          </reference>
        </references>
      </pivotArea>
    </format>
    <format dxfId="524">
      <pivotArea dataOnly="0" labelOnly="1" outline="0" fieldPosition="0">
        <references count="2">
          <reference field="6" count="1" selected="0">
            <x v="9"/>
          </reference>
          <reference field="8" count="1">
            <x v="6"/>
          </reference>
        </references>
      </pivotArea>
    </format>
    <format dxfId="523">
      <pivotArea dataOnly="0" labelOnly="1" outline="0" fieldPosition="0">
        <references count="2">
          <reference field="6" count="1" selected="0">
            <x v="10"/>
          </reference>
          <reference field="8" count="1">
            <x v="6"/>
          </reference>
        </references>
      </pivotArea>
    </format>
    <format dxfId="522">
      <pivotArea dataOnly="0" labelOnly="1" outline="0" fieldPosition="0">
        <references count="2">
          <reference field="6" count="1" selected="0">
            <x v="11"/>
          </reference>
          <reference field="8" count="1">
            <x v="7"/>
          </reference>
        </references>
      </pivotArea>
    </format>
    <format dxfId="521">
      <pivotArea dataOnly="0" labelOnly="1" outline="0" fieldPosition="0">
        <references count="2">
          <reference field="6" count="1" selected="0">
            <x v="12"/>
          </reference>
          <reference field="8" count="1">
            <x v="7"/>
          </reference>
        </references>
      </pivotArea>
    </format>
    <format dxfId="520">
      <pivotArea dataOnly="0" labelOnly="1" outline="0" fieldPosition="0">
        <references count="2">
          <reference field="6" count="1" selected="0">
            <x v="13"/>
          </reference>
          <reference field="8" count="1">
            <x v="8"/>
          </reference>
        </references>
      </pivotArea>
    </format>
    <format dxfId="519">
      <pivotArea dataOnly="0" labelOnly="1" outline="0" fieldPosition="0">
        <references count="2">
          <reference field="6" count="1" selected="0">
            <x v="14"/>
          </reference>
          <reference field="8" count="1">
            <x v="8"/>
          </reference>
        </references>
      </pivotArea>
    </format>
    <format dxfId="518">
      <pivotArea dataOnly="0" labelOnly="1" outline="0" fieldPosition="0">
        <references count="2">
          <reference field="6" count="1" selected="0">
            <x v="15"/>
          </reference>
          <reference field="8" count="1">
            <x v="8"/>
          </reference>
        </references>
      </pivotArea>
    </format>
    <format dxfId="517">
      <pivotArea dataOnly="0" labelOnly="1" outline="0" fieldPosition="0">
        <references count="2">
          <reference field="6" count="1" selected="0">
            <x v="16"/>
          </reference>
          <reference field="8" count="1">
            <x v="9"/>
          </reference>
        </references>
      </pivotArea>
    </format>
    <format dxfId="516">
      <pivotArea dataOnly="0" labelOnly="1" outline="0" fieldPosition="0">
        <references count="2">
          <reference field="6" count="1" selected="0">
            <x v="17"/>
          </reference>
          <reference field="8" count="1">
            <x v="9"/>
          </reference>
        </references>
      </pivotArea>
    </format>
    <format dxfId="515">
      <pivotArea dataOnly="0" labelOnly="1" outline="0" fieldPosition="0">
        <references count="2">
          <reference field="6" count="1" selected="0">
            <x v="18"/>
          </reference>
          <reference field="8" count="1">
            <x v="10"/>
          </reference>
        </references>
      </pivotArea>
    </format>
    <format dxfId="514">
      <pivotArea dataOnly="0" labelOnly="1" outline="0" fieldPosition="0">
        <references count="2">
          <reference field="6" count="1" selected="0">
            <x v="19"/>
          </reference>
          <reference field="8" count="1">
            <x v="10"/>
          </reference>
        </references>
      </pivotArea>
    </format>
    <format dxfId="513">
      <pivotArea dataOnly="0" labelOnly="1" outline="0" fieldPosition="0">
        <references count="2">
          <reference field="6" count="1" selected="0">
            <x v="20"/>
          </reference>
          <reference field="8" count="1">
            <x v="11"/>
          </reference>
        </references>
      </pivotArea>
    </format>
    <format dxfId="512">
      <pivotArea dataOnly="0" labelOnly="1" outline="0" fieldPosition="0">
        <references count="2">
          <reference field="6" count="1" selected="0">
            <x v="21"/>
          </reference>
          <reference field="8" count="1">
            <x v="11"/>
          </reference>
        </references>
      </pivotArea>
    </format>
    <format dxfId="511">
      <pivotArea dataOnly="0" labelOnly="1" outline="0" fieldPosition="0">
        <references count="2">
          <reference field="6" count="1" selected="0">
            <x v="22"/>
          </reference>
          <reference field="8" count="1">
            <x v="12"/>
          </reference>
        </references>
      </pivotArea>
    </format>
    <format dxfId="510">
      <pivotArea dataOnly="0" labelOnly="1" outline="0" fieldPosition="0">
        <references count="2">
          <reference field="6" count="1" selected="0">
            <x v="23"/>
          </reference>
          <reference field="8" count="1">
            <x v="13"/>
          </reference>
        </references>
      </pivotArea>
    </format>
    <format dxfId="509">
      <pivotArea dataOnly="0" labelOnly="1" outline="0" fieldPosition="0">
        <references count="2">
          <reference field="6" count="1" selected="0">
            <x v="24"/>
          </reference>
          <reference field="8" count="1">
            <x v="13"/>
          </reference>
        </references>
      </pivotArea>
    </format>
    <format dxfId="508">
      <pivotArea dataOnly="0" labelOnly="1" outline="0" fieldPosition="0">
        <references count="2">
          <reference field="6" count="1" selected="0">
            <x v="25"/>
          </reference>
          <reference field="8" count="1">
            <x v="14"/>
          </reference>
        </references>
      </pivotArea>
    </format>
    <format dxfId="507">
      <pivotArea dataOnly="0" labelOnly="1" outline="0" fieldPosition="0">
        <references count="2">
          <reference field="6" count="1" selected="0">
            <x v="26"/>
          </reference>
          <reference field="8" count="1">
            <x v="14"/>
          </reference>
        </references>
      </pivotArea>
    </format>
    <format dxfId="506">
      <pivotArea dataOnly="0" labelOnly="1" outline="0" fieldPosition="0">
        <references count="2">
          <reference field="6" count="1" selected="0">
            <x v="27"/>
          </reference>
          <reference field="8" count="1">
            <x v="14"/>
          </reference>
        </references>
      </pivotArea>
    </format>
    <format dxfId="505">
      <pivotArea dataOnly="0" labelOnly="1" outline="0" fieldPosition="0">
        <references count="2">
          <reference field="6" count="1" selected="0">
            <x v="28"/>
          </reference>
          <reference field="8" count="1">
            <x v="15"/>
          </reference>
        </references>
      </pivotArea>
    </format>
    <format dxfId="504">
      <pivotArea dataOnly="0" labelOnly="1" outline="0" fieldPosition="0">
        <references count="2">
          <reference field="6" count="1" selected="0">
            <x v="29"/>
          </reference>
          <reference field="8" count="1">
            <x v="16"/>
          </reference>
        </references>
      </pivotArea>
    </format>
    <format dxfId="503">
      <pivotArea dataOnly="0" labelOnly="1" outline="0" fieldPosition="0">
        <references count="2">
          <reference field="6" count="1" selected="0">
            <x v="30"/>
          </reference>
          <reference field="8" count="1">
            <x v="17"/>
          </reference>
        </references>
      </pivotArea>
    </format>
    <format dxfId="502">
      <pivotArea dataOnly="0" labelOnly="1" outline="0" fieldPosition="0">
        <references count="2">
          <reference field="6" count="1" selected="0">
            <x v="31"/>
          </reference>
          <reference field="8" count="1">
            <x v="18"/>
          </reference>
        </references>
      </pivotArea>
    </format>
    <format dxfId="501">
      <pivotArea dataOnly="0" labelOnly="1" outline="0" fieldPosition="0">
        <references count="2">
          <reference field="6" count="1" selected="0">
            <x v="32"/>
          </reference>
          <reference field="8" count="1">
            <x v="18"/>
          </reference>
        </references>
      </pivotArea>
    </format>
    <format dxfId="500">
      <pivotArea dataOnly="0" labelOnly="1" outline="0" fieldPosition="0">
        <references count="2">
          <reference field="6" count="1" selected="0">
            <x v="33"/>
          </reference>
          <reference field="8" count="1">
            <x v="18"/>
          </reference>
        </references>
      </pivotArea>
    </format>
    <format dxfId="499">
      <pivotArea dataOnly="0" labelOnly="1" outline="0" fieldPosition="0">
        <references count="2">
          <reference field="6" count="1" selected="0">
            <x v="34"/>
          </reference>
          <reference field="8" count="1">
            <x v="19"/>
          </reference>
        </references>
      </pivotArea>
    </format>
    <format dxfId="498">
      <pivotArea dataOnly="0" labelOnly="1" outline="0" fieldPosition="0">
        <references count="2">
          <reference field="6" count="1" selected="0">
            <x v="35"/>
          </reference>
          <reference field="8" count="1">
            <x v="19"/>
          </reference>
        </references>
      </pivotArea>
    </format>
    <format dxfId="497">
      <pivotArea dataOnly="0" labelOnly="1" outline="0" fieldPosition="0">
        <references count="2">
          <reference field="6" count="1" selected="0">
            <x v="36"/>
          </reference>
          <reference field="8" count="1">
            <x v="20"/>
          </reference>
        </references>
      </pivotArea>
    </format>
    <format dxfId="496">
      <pivotArea dataOnly="0" labelOnly="1" outline="0" fieldPosition="0">
        <references count="2">
          <reference field="6" count="1" selected="0">
            <x v="37"/>
          </reference>
          <reference field="8" count="1">
            <x v="20"/>
          </reference>
        </references>
      </pivotArea>
    </format>
    <format dxfId="495">
      <pivotArea dataOnly="0" labelOnly="1" outline="0" fieldPosition="0">
        <references count="2">
          <reference field="6" count="1" selected="0">
            <x v="38"/>
          </reference>
          <reference field="8" count="1">
            <x v="21"/>
          </reference>
        </references>
      </pivotArea>
    </format>
    <format dxfId="494">
      <pivotArea dataOnly="0" labelOnly="1" outline="0" fieldPosition="0">
        <references count="2">
          <reference field="6" count="1" selected="0">
            <x v="39"/>
          </reference>
          <reference field="8" count="1">
            <x v="16"/>
          </reference>
        </references>
      </pivotArea>
    </format>
    <format dxfId="493">
      <pivotArea dataOnly="0" labelOnly="1" outline="0" fieldPosition="0">
        <references count="2">
          <reference field="6" count="1" selected="0">
            <x v="40"/>
          </reference>
          <reference field="8" count="1">
            <x v="18"/>
          </reference>
        </references>
      </pivotArea>
    </format>
    <format dxfId="492">
      <pivotArea dataOnly="0" labelOnly="1" outline="0" fieldPosition="0">
        <references count="2">
          <reference field="6" count="1" selected="0">
            <x v="41"/>
          </reference>
          <reference field="8" count="1">
            <x v="16"/>
          </reference>
        </references>
      </pivotArea>
    </format>
    <format dxfId="491">
      <pivotArea dataOnly="0" labelOnly="1" outline="0" fieldPosition="0">
        <references count="2">
          <reference field="6" count="1" selected="0">
            <x v="42"/>
          </reference>
          <reference field="8" count="1">
            <x v="18"/>
          </reference>
        </references>
      </pivotArea>
    </format>
    <format dxfId="490">
      <pivotArea dataOnly="0" labelOnly="1" outline="0" fieldPosition="0">
        <references count="2">
          <reference field="6" count="1" selected="0">
            <x v="43"/>
          </reference>
          <reference field="8" count="1">
            <x v="22"/>
          </reference>
        </references>
      </pivotArea>
    </format>
    <format dxfId="489">
      <pivotArea dataOnly="0" labelOnly="1" outline="0" fieldPosition="0">
        <references count="2">
          <reference field="6" count="1" selected="0">
            <x v="44"/>
          </reference>
          <reference field="8" count="1">
            <x v="16"/>
          </reference>
        </references>
      </pivotArea>
    </format>
    <format dxfId="488">
      <pivotArea dataOnly="0" labelOnly="1" outline="0" fieldPosition="0">
        <references count="2">
          <reference field="6" count="1" selected="0">
            <x v="45"/>
          </reference>
          <reference field="8" count="1">
            <x v="18"/>
          </reference>
        </references>
      </pivotArea>
    </format>
    <format dxfId="487">
      <pivotArea dataOnly="0" labelOnly="1" outline="0" fieldPosition="0">
        <references count="2">
          <reference field="6" count="1" selected="0">
            <x v="46"/>
          </reference>
          <reference field="8" count="1">
            <x v="22"/>
          </reference>
        </references>
      </pivotArea>
    </format>
    <format dxfId="486">
      <pivotArea dataOnly="0" labelOnly="1" outline="0" fieldPosition="0">
        <references count="2">
          <reference field="6" count="1" selected="0">
            <x v="47"/>
          </reference>
          <reference field="8" count="1">
            <x v="16"/>
          </reference>
        </references>
      </pivotArea>
    </format>
    <format dxfId="485">
      <pivotArea dataOnly="0" labelOnly="1" outline="0" fieldPosition="0">
        <references count="2">
          <reference field="6" count="1" selected="0">
            <x v="48"/>
          </reference>
          <reference field="8" count="1">
            <x v="22"/>
          </reference>
        </references>
      </pivotArea>
    </format>
    <format dxfId="484">
      <pivotArea dataOnly="0" labelOnly="1" outline="0" fieldPosition="0">
        <references count="2">
          <reference field="6" count="1" selected="0">
            <x v="49"/>
          </reference>
          <reference field="8" count="1">
            <x v="16"/>
          </reference>
        </references>
      </pivotArea>
    </format>
    <format dxfId="483">
      <pivotArea dataOnly="0" labelOnly="1" outline="0" fieldPosition="0">
        <references count="2">
          <reference field="6" count="1" selected="0">
            <x v="50"/>
          </reference>
          <reference field="8" count="1">
            <x v="23"/>
          </reference>
        </references>
      </pivotArea>
    </format>
    <format dxfId="482">
      <pivotArea dataOnly="0" labelOnly="1" outline="0" fieldPosition="0">
        <references count="2">
          <reference field="6" count="1" selected="0">
            <x v="51"/>
          </reference>
          <reference field="8" count="1">
            <x v="22"/>
          </reference>
        </references>
      </pivotArea>
    </format>
    <format dxfId="481">
      <pivotArea dataOnly="0" labelOnly="1" outline="0" fieldPosition="0">
        <references count="2">
          <reference field="6" count="1" selected="0">
            <x v="52"/>
          </reference>
          <reference field="8" count="1">
            <x v="23"/>
          </reference>
        </references>
      </pivotArea>
    </format>
    <format dxfId="480">
      <pivotArea dataOnly="0" labelOnly="1" outline="0" fieldPosition="0">
        <references count="2">
          <reference field="6" count="1" selected="0">
            <x v="53"/>
          </reference>
          <reference field="8" count="1">
            <x v="22"/>
          </reference>
        </references>
      </pivotArea>
    </format>
    <format dxfId="479">
      <pivotArea dataOnly="0" labelOnly="1" outline="0" fieldPosition="0">
        <references count="2">
          <reference field="6" count="1" selected="0">
            <x v="54"/>
          </reference>
          <reference field="8" count="1">
            <x v="24"/>
          </reference>
        </references>
      </pivotArea>
    </format>
    <format dxfId="478">
      <pivotArea dataOnly="0" labelOnly="1" outline="0" fieldPosition="0">
        <references count="2">
          <reference field="6" count="1" selected="0">
            <x v="55"/>
          </reference>
          <reference field="8" count="1">
            <x v="23"/>
          </reference>
        </references>
      </pivotArea>
    </format>
    <format dxfId="477">
      <pivotArea dataOnly="0" labelOnly="1" outline="0" fieldPosition="0">
        <references count="2">
          <reference field="6" count="1" selected="0">
            <x v="56"/>
          </reference>
          <reference field="8" count="1">
            <x v="22"/>
          </reference>
        </references>
      </pivotArea>
    </format>
    <format dxfId="476">
      <pivotArea dataOnly="0" labelOnly="1" outline="0" fieldPosition="0">
        <references count="2">
          <reference field="6" count="1" selected="0">
            <x v="57"/>
          </reference>
          <reference field="8" count="1">
            <x v="24"/>
          </reference>
        </references>
      </pivotArea>
    </format>
    <format dxfId="475">
      <pivotArea dataOnly="0" labelOnly="1" outline="0" fieldPosition="0">
        <references count="2">
          <reference field="6" count="1" selected="0">
            <x v="58"/>
          </reference>
          <reference field="8" count="1">
            <x v="23"/>
          </reference>
        </references>
      </pivotArea>
    </format>
    <format dxfId="474">
      <pivotArea dataOnly="0" labelOnly="1" outline="0" fieldPosition="0">
        <references count="2">
          <reference field="6" count="1" selected="0">
            <x v="59"/>
          </reference>
          <reference field="8" count="1">
            <x v="24"/>
          </reference>
        </references>
      </pivotArea>
    </format>
    <format dxfId="473">
      <pivotArea dataOnly="0" labelOnly="1" outline="0" fieldPosition="0">
        <references count="2">
          <reference field="6" count="1" selected="0">
            <x v="60"/>
          </reference>
          <reference field="8" count="1">
            <x v="23"/>
          </reference>
        </references>
      </pivotArea>
    </format>
    <format dxfId="472">
      <pivotArea dataOnly="0" labelOnly="1" outline="0" fieldPosition="0">
        <references count="2">
          <reference field="6" count="1" selected="0">
            <x v="61"/>
          </reference>
          <reference field="8" count="1">
            <x v="25"/>
          </reference>
        </references>
      </pivotArea>
    </format>
    <format dxfId="471">
      <pivotArea dataOnly="0" labelOnly="1" outline="0" fieldPosition="0">
        <references count="2">
          <reference field="6" count="1" selected="0">
            <x v="62"/>
          </reference>
          <reference field="8" count="1">
            <x v="24"/>
          </reference>
        </references>
      </pivotArea>
    </format>
    <format dxfId="470">
      <pivotArea dataOnly="0" labelOnly="1" outline="0" fieldPosition="0">
        <references count="2">
          <reference field="6" count="1" selected="0">
            <x v="63"/>
          </reference>
          <reference field="8" count="1">
            <x v="23"/>
          </reference>
        </references>
      </pivotArea>
    </format>
    <format dxfId="469">
      <pivotArea dataOnly="0" labelOnly="1" outline="0" fieldPosition="0">
        <references count="2">
          <reference field="6" count="1" selected="0">
            <x v="64"/>
          </reference>
          <reference field="8" count="1">
            <x v="25"/>
          </reference>
        </references>
      </pivotArea>
    </format>
    <format dxfId="468">
      <pivotArea dataOnly="0" labelOnly="1" outline="0" fieldPosition="0">
        <references count="2">
          <reference field="6" count="1" selected="0">
            <x v="65"/>
          </reference>
          <reference field="8" count="1">
            <x v="24"/>
          </reference>
        </references>
      </pivotArea>
    </format>
    <format dxfId="467">
      <pivotArea dataOnly="0" labelOnly="1" outline="0" fieldPosition="0">
        <references count="2">
          <reference field="6" count="1" selected="0">
            <x v="66"/>
          </reference>
          <reference field="8" count="1">
            <x v="24"/>
          </reference>
        </references>
      </pivotArea>
    </format>
    <format dxfId="466">
      <pivotArea dataOnly="0" labelOnly="1" outline="0" fieldPosition="0">
        <references count="2">
          <reference field="6" count="1" selected="0">
            <x v="67"/>
          </reference>
          <reference field="8" count="1">
            <x v="26"/>
          </reference>
        </references>
      </pivotArea>
    </format>
    <format dxfId="465">
      <pivotArea dataOnly="0" labelOnly="1" outline="0" fieldPosition="0">
        <references count="2">
          <reference field="6" count="1" selected="0">
            <x v="68"/>
          </reference>
          <reference field="8" count="1">
            <x v="27"/>
          </reference>
        </references>
      </pivotArea>
    </format>
    <format dxfId="464">
      <pivotArea dataOnly="0" labelOnly="1" outline="0" fieldPosition="0">
        <references count="2">
          <reference field="6" count="1" selected="0">
            <x v="69"/>
          </reference>
          <reference field="8" count="1">
            <x v="26"/>
          </reference>
        </references>
      </pivotArea>
    </format>
    <format dxfId="463">
      <pivotArea dataOnly="0" labelOnly="1" outline="0" fieldPosition="0">
        <references count="2">
          <reference field="6" count="1" selected="0">
            <x v="70"/>
          </reference>
          <reference field="8" count="1">
            <x v="27"/>
          </reference>
        </references>
      </pivotArea>
    </format>
    <format dxfId="462">
      <pivotArea dataOnly="0" labelOnly="1" outline="0" fieldPosition="0">
        <references count="2">
          <reference field="6" count="1" selected="0">
            <x v="71"/>
          </reference>
          <reference field="8" count="1">
            <x v="26"/>
          </reference>
        </references>
      </pivotArea>
    </format>
    <format dxfId="461">
      <pivotArea dataOnly="0" labelOnly="1" outline="0" fieldPosition="0">
        <references count="2">
          <reference field="6" count="1" selected="0">
            <x v="72"/>
          </reference>
          <reference field="8" count="1">
            <x v="27"/>
          </reference>
        </references>
      </pivotArea>
    </format>
    <format dxfId="460">
      <pivotArea dataOnly="0" labelOnly="1" outline="0" fieldPosition="0">
        <references count="2">
          <reference field="6" count="1" selected="0">
            <x v="73"/>
          </reference>
          <reference field="8" count="1">
            <x v="26"/>
          </reference>
        </references>
      </pivotArea>
    </format>
    <format dxfId="459">
      <pivotArea dataOnly="0" labelOnly="1" outline="0" fieldPosition="0">
        <references count="2">
          <reference field="6" count="1" selected="0">
            <x v="74"/>
          </reference>
          <reference field="8" count="1">
            <x v="27"/>
          </reference>
        </references>
      </pivotArea>
    </format>
    <format dxfId="458">
      <pivotArea dataOnly="0" labelOnly="1" outline="0" fieldPosition="0">
        <references count="2">
          <reference field="6" count="1" selected="0">
            <x v="75"/>
          </reference>
          <reference field="8" count="1">
            <x v="26"/>
          </reference>
        </references>
      </pivotArea>
    </format>
    <format dxfId="457">
      <pivotArea dataOnly="0" labelOnly="1" outline="0" fieldPosition="0">
        <references count="2">
          <reference field="6" count="1" selected="0">
            <x v="76"/>
          </reference>
          <reference field="8" count="1">
            <x v="27"/>
          </reference>
        </references>
      </pivotArea>
    </format>
    <format dxfId="456">
      <pivotArea dataOnly="0" labelOnly="1" outline="0" fieldPosition="0">
        <references count="2">
          <reference field="6" count="1" selected="0">
            <x v="77"/>
          </reference>
          <reference field="8" count="1">
            <x v="28"/>
          </reference>
        </references>
      </pivotArea>
    </format>
    <format dxfId="455">
      <pivotArea dataOnly="0" labelOnly="1" outline="0" fieldPosition="0">
        <references count="1">
          <reference field="6" count="50">
            <x v="8"/>
            <x v="9"/>
            <x v="10"/>
            <x v="11"/>
            <x v="12"/>
            <x v="13"/>
            <x v="14"/>
            <x v="15"/>
            <x v="16"/>
            <x v="17"/>
            <x v="18"/>
            <x v="19"/>
            <x v="20"/>
            <x v="21"/>
            <x v="22"/>
            <x v="23"/>
            <x v="24"/>
            <x v="25"/>
            <x v="26"/>
            <x v="27"/>
            <x v="28"/>
            <x v="29"/>
            <x v="30"/>
            <x v="31"/>
            <x v="32"/>
            <x v="33"/>
            <x v="34"/>
            <x v="35"/>
            <x v="36"/>
            <x v="37"/>
            <x v="38"/>
            <x v="39"/>
            <x v="40"/>
            <x v="41"/>
            <x v="42"/>
            <x v="43"/>
            <x v="44"/>
            <x v="45"/>
            <x v="46"/>
            <x v="47"/>
            <x v="48"/>
            <x v="49"/>
            <x v="50"/>
            <x v="51"/>
            <x v="52"/>
            <x v="53"/>
            <x v="54"/>
            <x v="55"/>
            <x v="56"/>
            <x v="57"/>
          </reference>
        </references>
      </pivotArea>
    </format>
    <format dxfId="454">
      <pivotArea dataOnly="0" labelOnly="1" outline="0" fieldPosition="0">
        <references count="1">
          <reference field="6" count="20">
            <x v="58"/>
            <x v="59"/>
            <x v="60"/>
            <x v="61"/>
            <x v="62"/>
            <x v="63"/>
            <x v="64"/>
            <x v="65"/>
            <x v="66"/>
            <x v="67"/>
            <x v="68"/>
            <x v="69"/>
            <x v="70"/>
            <x v="71"/>
            <x v="72"/>
            <x v="73"/>
            <x v="74"/>
            <x v="75"/>
            <x v="76"/>
            <x v="7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erson" xr10:uid="{7D4C3E64-A8C6-49E8-A5CD-0B794EF90BE0}" sourceName="Person">
  <pivotTables>
    <pivotTable tabId="2" name="PivotTable2"/>
    <pivotTable tabId="2" name="PivotTable3"/>
    <pivotTable tabId="2" name="PivotTable1"/>
    <pivotTable tabId="2" name="PivotTable6"/>
    <pivotTable tabId="2" name="PivotTable7"/>
    <pivotTable tabId="2" name="PivotTable23"/>
    <pivotTable tabId="2" name="PivotTable24"/>
    <pivotTable tabId="2" name="PivotTable26"/>
    <pivotTable tabId="2" name="PivotTable4"/>
    <pivotTable tabId="2" name="PivotTable27"/>
    <pivotTable tabId="2" name="PivotTable5"/>
    <pivotTable tabId="2" name="PivotTable8"/>
  </pivotTables>
  <data>
    <tabular pivotCacheId="1522458427">
      <items count="7">
        <i x="0" s="1"/>
        <i x="1" s="1"/>
        <i x="4" s="1" nd="1"/>
        <i x="5" s="1" nd="1"/>
        <i x="3" s="1" nd="1"/>
        <i x="6" s="1" nd="1"/>
        <i x="2"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ketplace" xr10:uid="{DB615AD3-0AC8-4078-9CAF-66FE7DE46B4B}" sourceName="Marketplace">
  <pivotTables>
    <pivotTable tabId="2" name="PivotTable2"/>
    <pivotTable tabId="2" name="PivotTable6"/>
    <pivotTable tabId="2" name="PivotTable7"/>
    <pivotTable tabId="2" name="PivotTable23"/>
    <pivotTable tabId="2" name="PivotTable24"/>
    <pivotTable tabId="2" name="PivotTable26"/>
    <pivotTable tabId="2" name="PivotTable1"/>
    <pivotTable tabId="2" name="PivotTable4"/>
    <pivotTable tabId="2" name="PivotTable27"/>
    <pivotTable tabId="2" name="PivotTable5"/>
    <pivotTable tabId="2" name="PivotTable8"/>
  </pivotTables>
  <data>
    <tabular pivotCacheId="1522458427">
      <items count="46">
        <i x="12" s="1"/>
        <i x="6" s="1"/>
        <i x="4" s="1"/>
        <i x="2" s="1"/>
        <i x="21" s="1"/>
        <i x="20" s="1"/>
        <i x="3" s="1"/>
        <i x="11" s="1"/>
        <i x="0" s="1"/>
        <i x="10" s="1"/>
        <i x="19" s="1"/>
        <i x="23" s="1"/>
        <i x="9" s="1"/>
        <i x="5" s="1"/>
        <i x="14" s="1"/>
        <i x="8" s="1"/>
        <i x="16" s="1"/>
        <i x="1" s="1"/>
        <i x="13" s="1"/>
        <i x="18" s="1"/>
        <i x="15" s="1"/>
        <i x="24" s="1"/>
        <i x="7" s="1"/>
        <i x="22" s="1"/>
        <i x="17" s="1"/>
        <i x="36" s="1" nd="1"/>
        <i x="34" s="1" nd="1"/>
        <i x="29" s="1" nd="1"/>
        <i x="31" s="1" nd="1"/>
        <i x="32" s="1" nd="1"/>
        <i x="44" s="1" nd="1"/>
        <i x="37" s="1" nd="1"/>
        <i x="28" s="1" nd="1"/>
        <i x="27" s="1" nd="1"/>
        <i x="43" s="1" nd="1"/>
        <i x="38" s="1" nd="1"/>
        <i x="33" s="1" nd="1"/>
        <i x="39" s="1" nd="1"/>
        <i x="35" s="1" nd="1"/>
        <i x="41" s="1" nd="1"/>
        <i x="40" s="1" nd="1"/>
        <i x="30" s="1" nd="1"/>
        <i x="25" s="1" nd="1"/>
        <i x="42" s="1" nd="1"/>
        <i x="45" s="1" nd="1"/>
        <i x="26"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sks_Frequency" xr10:uid="{89FFC075-559A-44B0-A3DB-889F2B047A70}" sourceName="Tasks Frequency">
  <pivotTables>
    <pivotTable tabId="2" name="PivotTable2"/>
    <pivotTable tabId="2" name="PivotTable6"/>
    <pivotTable tabId="2" name="PivotTable7"/>
    <pivotTable tabId="2" name="PivotTable23"/>
    <pivotTable tabId="2" name="PivotTable24"/>
    <pivotTable tabId="2" name="PivotTable26"/>
    <pivotTable tabId="2" name="PivotTable1"/>
    <pivotTable tabId="2" name="PivotTable4"/>
    <pivotTable tabId="2" name="PivotTable27"/>
    <pivotTable tabId="2" name="PivotTable5"/>
    <pivotTable tabId="2" name="PivotTable8"/>
  </pivotTables>
  <data>
    <tabular pivotCacheId="1522458427">
      <items count="17">
        <i x="4" s="1"/>
        <i x="0" s="1"/>
        <i x="5" s="1"/>
        <i x="1" s="1"/>
        <i x="3" s="1"/>
        <i x="2" s="1"/>
        <i x="15" s="1" nd="1"/>
        <i x="11" s="1" nd="1"/>
        <i x="12" s="1" nd="1"/>
        <i x="7" s="1" nd="1"/>
        <i x="10" s="1" nd="1"/>
        <i x="13" s="1" nd="1"/>
        <i x="16" s="1" nd="1"/>
        <i x="14" s="1" nd="1"/>
        <i x="8" s="1" nd="1"/>
        <i x="9" s="1" nd="1"/>
        <i x="6"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A8901CCA-DB09-4ADB-AAFD-A00812614F10}" sourceName="Date">
  <pivotTables>
    <pivotTable tabId="2" name="PivotTable2"/>
    <pivotTable tabId="2" name="PivotTable6"/>
    <pivotTable tabId="2" name="PivotTable7"/>
    <pivotTable tabId="2" name="PivotTable23"/>
    <pivotTable tabId="2" name="PivotTable24"/>
    <pivotTable tabId="2" name="PivotTable26"/>
    <pivotTable tabId="2" name="PivotTable1"/>
    <pivotTable tabId="2" name="PivotTable4"/>
    <pivotTable tabId="2" name="PivotTable27"/>
    <pivotTable tabId="2" name="PivotTable5"/>
    <pivotTable tabId="2" name="PivotTable8"/>
  </pivotTables>
  <data>
    <tabular pivotCacheId="1522458427">
      <items count="78">
        <i x="0" s="1"/>
        <i x="1" s="1"/>
        <i x="2" s="1"/>
        <i x="3" s="1"/>
        <i x="4" s="1"/>
        <i x="5" s="1"/>
        <i x="6" s="1"/>
        <i x="7" s="1"/>
        <i x="8" s="1"/>
        <i x="9" s="1"/>
        <i x="10" s="1"/>
        <i x="11" s="1"/>
        <i x="12" s="1"/>
        <i x="13" s="1"/>
        <i x="14" s="1"/>
        <i x="15" s="1"/>
        <i x="16" s="1"/>
        <i x="17" s="1"/>
        <i x="18" s="1"/>
        <i x="19" s="1"/>
        <i x="20" s="1"/>
        <i x="21" s="1"/>
        <i x="31" s="1"/>
        <i x="33" s="1"/>
        <i x="36" s="1"/>
        <i x="39" s="1"/>
        <i x="41" s="1"/>
        <i x="46" s="1"/>
        <i x="49" s="1"/>
        <i x="51" s="1"/>
        <i x="54" s="1"/>
        <i x="57" s="1"/>
        <i x="58" s="1"/>
        <i x="60" s="1"/>
        <i x="62" s="1"/>
        <i x="64" s="1"/>
        <i x="66" s="1"/>
        <i x="68" s="1"/>
        <i x="22" s="1"/>
        <i x="23" s="1"/>
        <i x="24" s="1"/>
        <i x="25" s="1"/>
        <i x="32" s="1"/>
        <i x="34" s="1"/>
        <i x="37" s="1"/>
        <i x="42" s="1"/>
        <i x="44" s="1"/>
        <i x="47" s="1"/>
        <i x="50" s="1"/>
        <i x="52" s="1"/>
        <i x="55" s="1"/>
        <i x="59" s="1"/>
        <i x="61" s="1"/>
        <i x="63" s="1"/>
        <i x="65" s="1"/>
        <i x="67" s="1"/>
        <i x="69" s="1"/>
        <i x="26" s="1"/>
        <i x="27" s="1"/>
        <i x="35" s="1"/>
        <i x="38" s="1"/>
        <i x="40" s="1"/>
        <i x="43" s="1"/>
        <i x="45" s="1"/>
        <i x="48" s="1"/>
        <i x="53" s="1"/>
        <i x="56" s="1"/>
        <i x="28" s="1"/>
        <i x="29" s="1"/>
        <i x="30" s="1"/>
        <i x="73" s="1" nd="1"/>
        <i x="77" s="1" nd="1"/>
        <i x="71" s="1" nd="1"/>
        <i x="75" s="1" nd="1"/>
        <i x="74" s="1" nd="1"/>
        <i x="70" s="1" nd="1"/>
        <i x="72" s="1" nd="1"/>
        <i x="76"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k_Start_Date" xr10:uid="{D2E4459C-E558-4B5A-A5AB-A0C0712BC9B8}" sourceName="Wk Start Date">
  <pivotTables>
    <pivotTable tabId="2" name="PivotTable26"/>
    <pivotTable tabId="2" name="PivotTable6"/>
    <pivotTable tabId="2" name="PivotTable7"/>
    <pivotTable tabId="2" name="PivotTable1"/>
    <pivotTable tabId="2" name="PivotTable4"/>
    <pivotTable tabId="2" name="PivotTable23"/>
    <pivotTable tabId="2" name="PivotTable24"/>
    <pivotTable tabId="2" name="PivotTable2"/>
    <pivotTable tabId="2" name="PivotTable27"/>
    <pivotTable tabId="2" name="PivotTable5"/>
    <pivotTable tabId="2" name="PivotTable8"/>
  </pivotTables>
  <data>
    <tabular pivotCacheId="1522458427">
      <items count="29">
        <i x="0" s="1"/>
        <i x="1" s="1"/>
        <i x="2" s="1"/>
        <i x="3" s="1"/>
        <i x="4" s="1"/>
        <i x="5" s="1"/>
        <i x="6" s="1"/>
        <i x="7" s="1"/>
        <i x="8" s="1"/>
        <i x="9" s="1"/>
        <i x="10" s="1"/>
        <i x="11" s="1"/>
        <i x="12" s="1"/>
        <i x="13" s="1"/>
        <i x="14" s="1"/>
        <i x="15" s="1"/>
        <i x="16" s="1"/>
        <i x="17" s="1"/>
        <i x="18" s="1"/>
        <i x="19" s="1"/>
        <i x="20" s="1"/>
        <i x="21" s="1"/>
        <i x="22" s="1"/>
        <i x="24" s="1" nd="1"/>
        <i x="27" s="1" nd="1"/>
        <i x="28" s="1" nd="1"/>
        <i x="26" s="1" nd="1"/>
        <i x="25" s="1" nd="1"/>
        <i x="23"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sk_Type" xr10:uid="{89250F47-A2E8-4CD8-A6AE-CAAE2DDE7CA5}" sourceName="Task Type">
  <pivotTables>
    <pivotTable tabId="2" name="PivotTable5"/>
    <pivotTable tabId="2" name="PivotTable8"/>
    <pivotTable tabId="2" name="PivotTable1"/>
    <pivotTable tabId="2" name="PivotTable2"/>
    <pivotTable tabId="2" name="PivotTable23"/>
    <pivotTable tabId="2" name="PivotTable24"/>
    <pivotTable tabId="2" name="PivotTable6"/>
    <pivotTable tabId="2" name="PivotTable7"/>
    <pivotTable tabId="2" name="PivotTable26"/>
    <pivotTable tabId="2" name="PivotTable27"/>
    <pivotTable tabId="2" name="PivotTable3"/>
    <pivotTable tabId="2" name="PivotTable4"/>
  </pivotTables>
  <data>
    <tabular pivotCacheId="1522458427">
      <items count="121">
        <i x="31" s="1"/>
        <i x="10" s="1"/>
        <i x="0" s="1"/>
        <i x="7" s="1"/>
        <i x="43" s="1"/>
        <i x="52" s="1"/>
        <i x="28" s="1"/>
        <i x="50" s="1"/>
        <i x="46" s="1"/>
        <i x="38" s="1"/>
        <i x="27" s="1"/>
        <i x="12" s="1"/>
        <i x="18" s="1"/>
        <i x="29" s="1"/>
        <i x="21" s="1"/>
        <i x="17" s="1"/>
        <i x="23" s="1"/>
        <i x="20" s="1"/>
        <i x="35" s="1"/>
        <i x="48" s="1"/>
        <i x="26" s="1"/>
        <i x="53" s="1"/>
        <i x="33" s="1"/>
        <i x="45" s="1"/>
        <i x="54" s="1"/>
        <i x="13" s="1"/>
        <i x="19" s="1"/>
        <i x="14" s="1"/>
        <i x="51" s="1"/>
        <i x="16" s="1"/>
        <i x="2" s="1"/>
        <i x="15" s="1"/>
        <i x="39" s="1"/>
        <i x="5" s="1"/>
        <i x="6" s="1"/>
        <i x="40" s="1"/>
        <i x="42" s="1"/>
        <i x="41" s="1"/>
        <i x="37" s="1"/>
        <i x="36" s="1"/>
        <i x="11" s="1"/>
        <i x="1" s="1"/>
        <i x="4" s="1"/>
        <i x="8" s="1"/>
        <i x="30" s="1"/>
        <i x="3" s="1"/>
        <i x="25" s="1"/>
        <i x="9" s="1"/>
        <i x="49" s="1"/>
        <i x="24" s="1"/>
        <i x="44" s="1"/>
        <i x="34" s="1"/>
        <i x="32" s="1"/>
        <i x="22" s="1"/>
        <i x="47" s="1"/>
        <i x="93" s="1" nd="1"/>
        <i x="95" s="1" nd="1"/>
        <i x="68" s="1" nd="1"/>
        <i x="99" s="1" nd="1"/>
        <i x="118" s="1" nd="1"/>
        <i x="74" s="1" nd="1"/>
        <i x="70" s="1" nd="1"/>
        <i x="83" s="1" nd="1"/>
        <i x="61" s="1" nd="1"/>
        <i x="69" s="1" nd="1"/>
        <i x="94" s="1" nd="1"/>
        <i x="101" s="1" nd="1"/>
        <i x="71" s="1" nd="1"/>
        <i x="109" s="1" nd="1"/>
        <i x="117" s="1" nd="1"/>
        <i x="97" s="1" nd="1"/>
        <i x="56" s="1" nd="1"/>
        <i x="66" s="1" nd="1"/>
        <i x="108" s="1" nd="1"/>
        <i x="57" s="1" nd="1"/>
        <i x="111" s="1" nd="1"/>
        <i x="100" s="1" nd="1"/>
        <i x="119" s="1" nd="1"/>
        <i x="92" s="1" nd="1"/>
        <i x="85" s="1" nd="1"/>
        <i x="73" s="1" nd="1"/>
        <i x="107" s="1" nd="1"/>
        <i x="86" s="1" nd="1"/>
        <i x="75" s="1" nd="1"/>
        <i x="60" s="1" nd="1"/>
        <i x="106" s="1" nd="1"/>
        <i x="76" s="1" nd="1"/>
        <i x="77" s="1" nd="1"/>
        <i x="72" s="1" nd="1"/>
        <i x="84" s="1" nd="1"/>
        <i x="78" s="1" nd="1"/>
        <i x="98" s="1" nd="1"/>
        <i x="65" s="1" nd="1"/>
        <i x="62" s="1" nd="1"/>
        <i x="59" s="1" nd="1"/>
        <i x="110" s="1" nd="1"/>
        <i x="87" s="1" nd="1"/>
        <i x="88" s="1" nd="1"/>
        <i x="82" s="1" nd="1"/>
        <i x="114" s="1" nd="1"/>
        <i x="115" s="1" nd="1"/>
        <i x="64" s="1" nd="1"/>
        <i x="67" s="1" nd="1"/>
        <i x="90" s="1" nd="1"/>
        <i x="79" s="1" nd="1"/>
        <i x="80" s="1" nd="1"/>
        <i x="105" s="1" nd="1"/>
        <i x="55" s="1" nd="1"/>
        <i x="103" s="1" nd="1"/>
        <i x="96" s="1" nd="1"/>
        <i x="91" s="1" nd="1"/>
        <i x="120" s="1" nd="1"/>
        <i x="104" s="1" nd="1"/>
        <i x="112" s="1" nd="1"/>
        <i x="113" s="1" nd="1"/>
        <i x="116" s="1" nd="1"/>
        <i x="102" s="1" nd="1"/>
        <i x="81" s="1" nd="1"/>
        <i x="63" s="1" nd="1"/>
        <i x="89" s="1" nd="1"/>
        <i x="58"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2B9FB223-8019-4250-93E6-98B902E6DE5D}" sourceName="Month ">
  <pivotTables>
    <pivotTable tabId="2" name="PivotTable8"/>
    <pivotTable tabId="2" name="PivotTable1"/>
    <pivotTable tabId="2" name="PivotTable2"/>
    <pivotTable tabId="2" name="PivotTable23"/>
    <pivotTable tabId="2" name="PivotTable24"/>
    <pivotTable tabId="2" name="PivotTable26"/>
    <pivotTable tabId="2" name="PivotTable27"/>
    <pivotTable tabId="2" name="PivotTable3"/>
    <pivotTable tabId="2" name="PivotTable4"/>
    <pivotTable tabId="2" name="PivotTable5"/>
    <pivotTable tabId="2" name="PivotTable6"/>
    <pivotTable tabId="2" name="PivotTable7"/>
  </pivotTables>
  <data>
    <tabular pivotCacheId="1522458427">
      <items count="12">
        <i x="0" s="1"/>
        <i x="1" s="1"/>
        <i x="2" s="1"/>
        <i x="3" s="1"/>
        <i x="4" s="1"/>
        <i x="5" s="1"/>
        <i x="6" s="1"/>
        <i x="7" s="1"/>
        <i x="8" s="1"/>
        <i x="9" s="1"/>
        <i x="10" s="1"/>
        <i x="1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erson" xr10:uid="{658D2B96-1263-479A-9FF4-F6CA9FC97B11}" cache="Slicer_Person" caption="Person" columnCount="2" showCaption="0" rowHeight="209550"/>
  <slicer name="Marketplace" xr10:uid="{66C51059-3728-40C4-9F03-64BF426F3B2C}" cache="Slicer_Marketplace" caption="Marketplace" showCaption="0" rowHeight="209550"/>
  <slicer name="Tasks Frequency" xr10:uid="{0CF22F69-1736-4681-814B-5F31D87D8BA5}" cache="Slicer_Tasks_Frequency" caption="Tasks Frequency" columnCount="5" showCaption="0" rowHeight="209550"/>
  <slicer name="Date" xr10:uid="{8E9E3F70-BAE6-47CA-93F1-841E3BD42100}" cache="Slicer_Date" caption="Date" rowHeight="209550"/>
  <slicer name="Wk Start Date" xr10:uid="{ABD1DE79-3CED-4B50-AEA5-A34765D90E11}" cache="Slicer_Wk_Start_Date" caption="Week Days" showCaption="0" rowHeight="209550"/>
  <slicer name="Task Type" xr10:uid="{5A0824CD-9606-4FE0-A719-61D31AD14E4B}" cache="Slicer_Task_Type" caption="Task" rowHeight="209550"/>
  <slicer name="Month  1" xr10:uid="{B75D545B-B183-4413-89CB-25FA5FF7966A}" cache="Slicer_Month" caption="Month " rowHeight="2095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97ECAE5-6BA2-4A98-8493-8A063AFB58E8}" name="Table1" displayName="Table1" ref="A1:J1287" totalsRowShown="0" headerRowDxfId="12" headerRowBorderDxfId="11" tableBorderDxfId="10">
  <autoFilter ref="A1:J1287" xr:uid="{397ECAE5-6BA2-4A98-8493-8A063AFB58E8}"/>
  <tableColumns count="10">
    <tableColumn id="1" xr3:uid="{1FE33E35-FD44-4175-83B7-48D1163CE0D9}" name="Person" dataDxfId="9"/>
    <tableColumn id="2" xr3:uid="{316AA72B-3191-4960-A1A9-C75B39D0132E}" name="Marketplace" dataDxfId="8"/>
    <tableColumn id="3" xr3:uid="{DCD1A72D-E37A-48CC-97B5-259DAA19E5E6}" name=" Flow Task Name" dataDxfId="7"/>
    <tableColumn id="4" xr3:uid="{85F0683F-3AC7-46FA-9E4B-BF6F61733BA7}" name="Tasks Frequency" dataDxfId="6"/>
    <tableColumn id="5" xr3:uid="{980E1883-4852-44ED-A541-3F3CA3161E35}" name="Task Type" dataDxfId="5"/>
    <tableColumn id="7" xr3:uid="{5C4FBDF4-0ED1-4AF0-92C6-E69E6B24EC42}" name="Time in Min" dataDxfId="4"/>
    <tableColumn id="8" xr3:uid="{D37E0B4C-5F62-4F25-B443-8537191AA35B}" name="Date" dataDxfId="3"/>
    <tableColumn id="9" xr3:uid="{14FD77AC-92E9-4407-90AE-B70DDD75544D}" name="Hours_x000a_" dataDxfId="2">
      <calculatedColumnFormula>IFERROR(IF(ISBLANK(F2)=TRUE(),"",F2/60),"")</calculatedColumnFormula>
    </tableColumn>
    <tableColumn id="16" xr3:uid="{A057D8A5-443B-44DA-ACF5-00F8ECC79ADC}" name="Wk Start Date" dataDxfId="1">
      <calculatedColumnFormula>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calculatedColumnFormula>
    </tableColumn>
    <tableColumn id="6" xr3:uid="{6A87AE3C-BB56-4E69-9887-4DB8D316E932}" name="Month " dataDxfId="0">
      <calculatedColumnFormula>TEXT(Table1[[#This Row],[Date]],"mmm")</calculatedColumnFormula>
    </tableColumn>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rinterSettings" Target="../printerSettings/printerSettings2.bin"/><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5988FA-5CF9-4A10-A180-257154FBA734}">
  <sheetPr codeName="Sheet1"/>
  <dimension ref="A1:XFC47"/>
  <sheetViews>
    <sheetView tabSelected="1" zoomScaleNormal="100" workbookViewId="0">
      <selection activeCell="B18" sqref="B18"/>
    </sheetView>
  </sheetViews>
  <sheetFormatPr defaultColWidth="0" defaultRowHeight="12.75" zeroHeight="1"/>
  <cols>
    <col min="1" max="23" width="9.140625" style="12" customWidth="1"/>
    <col min="24" max="24" width="10.5703125" style="12" customWidth="1"/>
    <col min="25" max="25" width="17.140625" style="12" customWidth="1"/>
    <col min="26" max="16383" width="9.140625" style="12" hidden="1"/>
    <col min="16384" max="16384" width="11.5703125" style="12" hidden="1"/>
  </cols>
  <sheetData>
    <row r="1" spans="3:3"/>
    <row r="2" spans="3:3"/>
    <row r="3" spans="3:3"/>
    <row r="4" spans="3:3"/>
    <row r="5" spans="3:3"/>
    <row r="6" spans="3:3">
      <c r="C6" s="13"/>
    </row>
    <row r="7" spans="3:3"/>
    <row r="8" spans="3:3"/>
    <row r="9" spans="3:3"/>
    <row r="10" spans="3:3"/>
    <row r="11" spans="3:3"/>
    <row r="12" spans="3:3"/>
    <row r="13" spans="3:3"/>
    <row r="14" spans="3:3"/>
    <row r="15" spans="3:3"/>
    <row r="16" spans="3:3"/>
    <row r="17" s="12" customFormat="1"/>
    <row r="18" s="12" customFormat="1"/>
    <row r="19" s="12" customFormat="1"/>
    <row r="20" s="12" customFormat="1"/>
    <row r="21" s="12" customFormat="1"/>
    <row r="22" s="12" customFormat="1"/>
    <row r="23" s="12" customFormat="1"/>
    <row r="24" s="12" customFormat="1"/>
    <row r="25" s="12" customFormat="1"/>
    <row r="26" s="12" customFormat="1"/>
    <row r="27" s="12" customFormat="1"/>
    <row r="28" s="12" customFormat="1"/>
    <row r="29" s="12" customFormat="1"/>
    <row r="30" s="12" customFormat="1"/>
    <row r="31" s="12" customFormat="1"/>
    <row r="32" s="12" customFormat="1"/>
    <row r="33" s="12" customFormat="1"/>
    <row r="34" s="12" customFormat="1"/>
    <row r="35" s="12" customFormat="1"/>
    <row r="36" s="12" customFormat="1"/>
    <row r="37" s="12" customFormat="1"/>
    <row r="38" s="12" customFormat="1"/>
    <row r="39" s="12" customFormat="1"/>
    <row r="40" s="12" customFormat="1"/>
    <row r="41" s="12" customFormat="1" ht="23.25" customHeight="1"/>
    <row r="42" s="12" customFormat="1" hidden="1"/>
    <row r="43" s="12" customFormat="1" hidden="1"/>
    <row r="44" s="12" customFormat="1" hidden="1"/>
    <row r="45" s="12" customFormat="1" hidden="1"/>
    <row r="46" s="12" customFormat="1" hidden="1"/>
    <row r="47" s="12" customFormat="1" hidden="1"/>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Reset.Reset">
                <anchor moveWithCells="1" sizeWithCells="1">
                  <from>
                    <xdr:col>0</xdr:col>
                    <xdr:colOff>152400</xdr:colOff>
                    <xdr:row>2</xdr:row>
                    <xdr:rowOff>123825</xdr:rowOff>
                  </from>
                  <to>
                    <xdr:col>2</xdr:col>
                    <xdr:colOff>19050</xdr:colOff>
                    <xdr:row>5</xdr:row>
                    <xdr:rowOff>85725</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1EFDF3-C40A-4108-B82D-BE7EA2F7D892}">
  <sheetPr codeName="Sheet2"/>
  <dimension ref="A4:BT379"/>
  <sheetViews>
    <sheetView zoomScale="10" zoomScaleNormal="10" workbookViewId="0">
      <selection activeCell="R295" sqref="R295"/>
    </sheetView>
  </sheetViews>
  <sheetFormatPr defaultRowHeight="12.75"/>
  <cols>
    <col min="1" max="1" width="48.7109375" style="19" bestFit="1" customWidth="1"/>
    <col min="2" max="2" width="81.5703125" style="19" bestFit="1" customWidth="1"/>
    <col min="3" max="3" width="75.85546875" style="19" bestFit="1" customWidth="1"/>
    <col min="4" max="5" width="37.28515625" style="19" bestFit="1" customWidth="1"/>
    <col min="6" max="7" width="35.85546875" style="19" bestFit="1" customWidth="1"/>
    <col min="8" max="8" width="37.28515625" style="19" bestFit="1" customWidth="1"/>
    <col min="9" max="9" width="35.85546875" style="19" bestFit="1" customWidth="1"/>
    <col min="10" max="11" width="37.28515625" style="19" bestFit="1" customWidth="1"/>
    <col min="12" max="12" width="37.28515625" style="17" bestFit="1" customWidth="1"/>
    <col min="13" max="13" width="81.5703125" style="17" bestFit="1" customWidth="1"/>
    <col min="14" max="30" width="37.28515625" style="17" bestFit="1" customWidth="1"/>
    <col min="31" max="33" width="35.85546875" style="17" bestFit="1" customWidth="1"/>
    <col min="34" max="40" width="37.28515625" style="17" bestFit="1" customWidth="1"/>
    <col min="41" max="42" width="35.85546875" style="17" bestFit="1" customWidth="1"/>
    <col min="43" max="62" width="37.28515625" style="17" bestFit="1" customWidth="1"/>
    <col min="63" max="64" width="35.85546875" style="17" bestFit="1" customWidth="1"/>
    <col min="65" max="72" width="37.28515625" style="17" bestFit="1" customWidth="1"/>
    <col min="73" max="73" width="14.42578125" style="17" bestFit="1" customWidth="1"/>
    <col min="74" max="80" width="37.28515625" style="17" bestFit="1" customWidth="1"/>
    <col min="81" max="82" width="35.85546875" style="17" bestFit="1" customWidth="1"/>
    <col min="83" max="90" width="37.28515625" style="17" bestFit="1" customWidth="1"/>
    <col min="91" max="16384" width="9.140625" style="17"/>
  </cols>
  <sheetData>
    <row r="4" spans="2:72">
      <c r="B4" s="20" t="s">
        <v>27</v>
      </c>
      <c r="C4" s="20" t="s">
        <v>28</v>
      </c>
      <c r="D4" s="20"/>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20"/>
      <c r="AT4" s="20"/>
      <c r="AU4" s="20"/>
      <c r="AV4" s="20"/>
      <c r="AW4" s="20"/>
      <c r="AX4" s="20"/>
      <c r="AY4" s="20"/>
      <c r="AZ4" s="20"/>
      <c r="BA4" s="20"/>
      <c r="BB4" s="20"/>
      <c r="BC4" s="20"/>
      <c r="BD4" s="20"/>
      <c r="BE4" s="20"/>
      <c r="BF4" s="20"/>
      <c r="BG4" s="20"/>
      <c r="BH4" s="20"/>
      <c r="BI4" s="20"/>
      <c r="BJ4" s="20"/>
      <c r="BK4" s="20"/>
      <c r="BL4" s="20"/>
      <c r="BM4" s="20"/>
      <c r="BN4" s="20"/>
      <c r="BO4" s="20"/>
      <c r="BP4" s="20"/>
      <c r="BQ4" s="20"/>
      <c r="BR4" s="20"/>
      <c r="BS4" s="20"/>
      <c r="BT4" s="20"/>
    </row>
    <row r="5" spans="2:72">
      <c r="B5" s="20" t="s">
        <v>24</v>
      </c>
      <c r="C5" s="20">
        <v>44570</v>
      </c>
      <c r="D5" s="20">
        <v>44571</v>
      </c>
      <c r="E5" s="20">
        <v>44572</v>
      </c>
      <c r="F5" s="20">
        <v>44601</v>
      </c>
      <c r="G5" s="20">
        <v>44603</v>
      </c>
      <c r="H5" s="20">
        <v>44629</v>
      </c>
      <c r="I5" s="20">
        <v>44630</v>
      </c>
      <c r="J5" s="20">
        <v>44631</v>
      </c>
      <c r="K5" s="20">
        <v>44661</v>
      </c>
      <c r="L5" s="20">
        <v>44662</v>
      </c>
      <c r="M5" s="20">
        <v>44690</v>
      </c>
      <c r="N5" s="20">
        <v>44692</v>
      </c>
      <c r="O5" s="20">
        <v>44721</v>
      </c>
      <c r="P5" s="20">
        <v>44722</v>
      </c>
      <c r="Q5" s="20">
        <v>44751</v>
      </c>
      <c r="R5" s="20">
        <v>44752</v>
      </c>
      <c r="S5" s="20">
        <v>44753</v>
      </c>
      <c r="T5" s="20">
        <v>44782</v>
      </c>
      <c r="U5" s="20">
        <v>44783</v>
      </c>
      <c r="V5" s="20">
        <v>44784</v>
      </c>
      <c r="W5" s="20">
        <v>44813</v>
      </c>
      <c r="X5" s="20">
        <v>44815</v>
      </c>
      <c r="Y5" s="20">
        <v>44842</v>
      </c>
      <c r="Z5" s="20">
        <v>44843</v>
      </c>
      <c r="AA5" s="20">
        <v>44844</v>
      </c>
      <c r="AB5" s="20">
        <v>44845</v>
      </c>
      <c r="AC5" s="20">
        <v>44875</v>
      </c>
      <c r="AD5" s="20">
        <v>44876</v>
      </c>
      <c r="AE5" s="20">
        <v>44904</v>
      </c>
      <c r="AF5" s="20">
        <v>44905</v>
      </c>
      <c r="AG5" s="20">
        <v>44906</v>
      </c>
      <c r="AH5" s="20">
        <v>44817</v>
      </c>
      <c r="AI5" s="20">
        <v>44847</v>
      </c>
      <c r="AJ5" s="20">
        <v>44818</v>
      </c>
      <c r="AK5" s="20">
        <v>44848</v>
      </c>
      <c r="AL5" s="20">
        <v>44879</v>
      </c>
      <c r="AM5" s="20">
        <v>44819</v>
      </c>
      <c r="AN5" s="20">
        <v>44849</v>
      </c>
      <c r="AO5" s="20">
        <v>44880</v>
      </c>
      <c r="AP5" s="20">
        <v>44820</v>
      </c>
      <c r="AQ5" s="20">
        <v>44881</v>
      </c>
      <c r="AR5" s="20">
        <v>44821</v>
      </c>
      <c r="AS5" s="20">
        <v>44851</v>
      </c>
      <c r="AT5" s="20">
        <v>44882</v>
      </c>
      <c r="AU5" s="20">
        <v>44852</v>
      </c>
      <c r="AV5" s="20">
        <v>44883</v>
      </c>
      <c r="AW5" s="20">
        <v>44823</v>
      </c>
      <c r="AX5" s="20">
        <v>44853</v>
      </c>
      <c r="AY5" s="20">
        <v>44884</v>
      </c>
      <c r="AZ5" s="20">
        <v>44824</v>
      </c>
      <c r="BA5" s="20">
        <v>44854</v>
      </c>
      <c r="BB5" s="20">
        <v>44825</v>
      </c>
      <c r="BC5" s="20">
        <v>44855</v>
      </c>
      <c r="BD5" s="20">
        <v>44886</v>
      </c>
      <c r="BE5" s="20">
        <v>44826</v>
      </c>
      <c r="BF5" s="20">
        <v>44856</v>
      </c>
      <c r="BG5" s="20">
        <v>44887</v>
      </c>
      <c r="BH5" s="20">
        <v>44827</v>
      </c>
      <c r="BI5" s="20">
        <v>44828</v>
      </c>
      <c r="BJ5" s="20">
        <v>44859</v>
      </c>
      <c r="BK5" s="20">
        <v>44830</v>
      </c>
      <c r="BL5" s="20">
        <v>44860</v>
      </c>
      <c r="BM5" s="20">
        <v>44831</v>
      </c>
      <c r="BN5" s="20">
        <v>44861</v>
      </c>
      <c r="BO5" s="20">
        <v>44832</v>
      </c>
      <c r="BP5" s="20">
        <v>44862</v>
      </c>
      <c r="BQ5" s="20">
        <v>44833</v>
      </c>
      <c r="BR5" s="20">
        <v>44863</v>
      </c>
      <c r="BS5" s="20">
        <v>44834</v>
      </c>
      <c r="BT5" s="20">
        <v>44865</v>
      </c>
    </row>
    <row r="6" spans="2:72">
      <c r="B6" s="21" t="s">
        <v>6</v>
      </c>
      <c r="C6" s="20"/>
      <c r="D6" s="20"/>
      <c r="E6" s="20">
        <v>0.33333333333333331</v>
      </c>
      <c r="F6" s="20"/>
      <c r="G6" s="20">
        <v>0.66666666666666663</v>
      </c>
      <c r="H6" s="20"/>
      <c r="I6" s="20"/>
      <c r="J6" s="20">
        <v>0.33333333333333331</v>
      </c>
      <c r="K6" s="20"/>
      <c r="L6" s="20">
        <v>0.33333333333333331</v>
      </c>
      <c r="M6" s="20"/>
      <c r="N6" s="20">
        <v>0.75</v>
      </c>
      <c r="O6" s="20"/>
      <c r="P6" s="20"/>
      <c r="Q6" s="20"/>
      <c r="R6" s="20"/>
      <c r="S6" s="20">
        <v>0.33333333333333331</v>
      </c>
      <c r="T6" s="20"/>
      <c r="U6" s="20"/>
      <c r="V6" s="20">
        <v>0.33333333333333331</v>
      </c>
      <c r="W6" s="20"/>
      <c r="X6" s="20">
        <v>2.25</v>
      </c>
      <c r="Y6" s="20"/>
      <c r="Z6" s="20"/>
      <c r="AA6" s="20"/>
      <c r="AB6" s="20">
        <v>2.25</v>
      </c>
      <c r="AC6" s="20"/>
      <c r="AD6" s="20">
        <v>0.33333333333333331</v>
      </c>
      <c r="AE6" s="20"/>
      <c r="AF6" s="20"/>
      <c r="AG6" s="20">
        <v>1.3333333333333333</v>
      </c>
      <c r="AH6" s="20"/>
      <c r="AI6" s="20"/>
      <c r="AJ6" s="20"/>
      <c r="AK6" s="20"/>
      <c r="AL6" s="20">
        <v>1.4166666666666665</v>
      </c>
      <c r="AM6" s="20"/>
      <c r="AN6" s="20"/>
      <c r="AO6" s="20">
        <v>1.5833333333333333</v>
      </c>
      <c r="AP6" s="20"/>
      <c r="AQ6" s="20">
        <v>1.0833333333333333</v>
      </c>
      <c r="AR6" s="20"/>
      <c r="AS6" s="20"/>
      <c r="AT6" s="20">
        <v>0.75</v>
      </c>
      <c r="AU6" s="20"/>
      <c r="AV6" s="20">
        <v>0.33333333333333331</v>
      </c>
      <c r="AW6" s="20">
        <v>0.5</v>
      </c>
      <c r="AX6" s="20"/>
      <c r="AY6" s="20"/>
      <c r="AZ6" s="20"/>
      <c r="BA6" s="20">
        <v>1.1666666666666665</v>
      </c>
      <c r="BB6" s="20"/>
      <c r="BC6" s="20">
        <v>2.3333333333333335</v>
      </c>
      <c r="BD6" s="20">
        <v>0.33333333333333331</v>
      </c>
      <c r="BE6" s="20"/>
      <c r="BF6" s="20">
        <v>1.8333333333333335</v>
      </c>
      <c r="BG6" s="20">
        <v>0.33333333333333331</v>
      </c>
      <c r="BH6" s="20"/>
      <c r="BI6" s="20"/>
      <c r="BJ6" s="20">
        <v>1.0833333333333335</v>
      </c>
      <c r="BK6" s="20"/>
      <c r="BL6" s="20">
        <v>2.1666666666666665</v>
      </c>
      <c r="BM6" s="20"/>
      <c r="BN6" s="20">
        <v>1.75</v>
      </c>
      <c r="BO6" s="20"/>
      <c r="BP6" s="20">
        <v>1.75</v>
      </c>
      <c r="BQ6" s="20"/>
      <c r="BR6" s="20">
        <v>1.3333333333333333</v>
      </c>
      <c r="BS6" s="20"/>
      <c r="BT6" s="20">
        <v>0.5</v>
      </c>
    </row>
    <row r="7" spans="2:72">
      <c r="B7" s="21" t="s">
        <v>20</v>
      </c>
      <c r="C7" s="20"/>
      <c r="D7" s="20"/>
      <c r="E7" s="20"/>
      <c r="F7" s="20"/>
      <c r="G7" s="20"/>
      <c r="H7" s="20"/>
      <c r="I7" s="20"/>
      <c r="J7" s="20"/>
      <c r="K7" s="20"/>
      <c r="L7" s="20"/>
      <c r="M7" s="20"/>
      <c r="N7" s="20"/>
      <c r="O7" s="20"/>
      <c r="P7" s="20"/>
      <c r="Q7" s="20"/>
      <c r="R7" s="20"/>
      <c r="S7" s="20">
        <v>0.58333333333333337</v>
      </c>
      <c r="T7" s="20"/>
      <c r="U7" s="20"/>
      <c r="V7" s="20">
        <v>1</v>
      </c>
      <c r="W7" s="20"/>
      <c r="X7" s="20">
        <v>0.41666666666666669</v>
      </c>
      <c r="Y7" s="20"/>
      <c r="Z7" s="20"/>
      <c r="AA7" s="20">
        <v>0.5</v>
      </c>
      <c r="AB7" s="20">
        <v>0.75</v>
      </c>
      <c r="AC7" s="20"/>
      <c r="AD7" s="20"/>
      <c r="AE7" s="20"/>
      <c r="AF7" s="20"/>
      <c r="AG7" s="20"/>
      <c r="AH7" s="20"/>
      <c r="AI7" s="20"/>
      <c r="AJ7" s="20"/>
      <c r="AK7" s="20"/>
      <c r="AL7" s="20"/>
      <c r="AM7" s="20"/>
      <c r="AN7" s="20"/>
      <c r="AO7" s="20"/>
      <c r="AP7" s="20"/>
      <c r="AQ7" s="20"/>
      <c r="AR7" s="20"/>
      <c r="AS7" s="20">
        <v>0.83333333333333337</v>
      </c>
      <c r="AT7" s="20">
        <v>1.1666666666666667</v>
      </c>
      <c r="AU7" s="20">
        <v>0.66666666666666663</v>
      </c>
      <c r="AV7" s="20"/>
      <c r="AW7" s="20"/>
      <c r="AX7" s="20"/>
      <c r="AY7" s="20"/>
      <c r="AZ7" s="20">
        <v>1.6666666666666667</v>
      </c>
      <c r="BA7" s="20"/>
      <c r="BB7" s="20">
        <v>1</v>
      </c>
      <c r="BC7" s="20">
        <v>0.66666666666666663</v>
      </c>
      <c r="BD7" s="20"/>
      <c r="BE7" s="20">
        <v>0.66666666666666663</v>
      </c>
      <c r="BF7" s="20"/>
      <c r="BG7" s="20"/>
      <c r="BH7" s="20">
        <v>2.6666666666666665</v>
      </c>
      <c r="BI7" s="20">
        <v>1.2666666666666666</v>
      </c>
      <c r="BJ7" s="20"/>
      <c r="BK7" s="20"/>
      <c r="BL7" s="20"/>
      <c r="BM7" s="20">
        <v>0.41666666666666669</v>
      </c>
      <c r="BN7" s="20">
        <v>0.66666666666666663</v>
      </c>
      <c r="BO7" s="20"/>
      <c r="BP7" s="20"/>
      <c r="BQ7" s="20"/>
      <c r="BR7" s="20"/>
      <c r="BS7" s="20"/>
      <c r="BT7" s="20"/>
    </row>
    <row r="8" spans="2:72">
      <c r="B8" s="21" t="s">
        <v>10</v>
      </c>
      <c r="C8" s="20"/>
      <c r="D8" s="20">
        <v>0.75</v>
      </c>
      <c r="E8" s="20">
        <v>0.66666666666666663</v>
      </c>
      <c r="F8" s="20"/>
      <c r="G8" s="20">
        <v>3</v>
      </c>
      <c r="H8" s="20"/>
      <c r="I8" s="20">
        <v>0.33333333333333331</v>
      </c>
      <c r="J8" s="20">
        <v>1.3333333333333333</v>
      </c>
      <c r="K8" s="20">
        <v>0.75</v>
      </c>
      <c r="L8" s="20">
        <v>0.66666666666666663</v>
      </c>
      <c r="M8" s="20"/>
      <c r="N8" s="20">
        <v>1.8333333333333333</v>
      </c>
      <c r="O8" s="20"/>
      <c r="P8" s="20">
        <v>0.75</v>
      </c>
      <c r="Q8" s="20"/>
      <c r="R8" s="20">
        <v>0.83333333333333337</v>
      </c>
      <c r="S8" s="20">
        <v>0.66666666666666663</v>
      </c>
      <c r="T8" s="20"/>
      <c r="U8" s="20">
        <v>0.75</v>
      </c>
      <c r="V8" s="20">
        <v>1</v>
      </c>
      <c r="W8" s="20"/>
      <c r="X8" s="20">
        <v>0.66666666666666663</v>
      </c>
      <c r="Y8" s="20"/>
      <c r="Z8" s="20"/>
      <c r="AA8" s="20">
        <v>0.75</v>
      </c>
      <c r="AB8" s="20">
        <v>1.3333333333333333</v>
      </c>
      <c r="AC8" s="20">
        <v>0.75</v>
      </c>
      <c r="AD8" s="20">
        <v>1.8333333333333335</v>
      </c>
      <c r="AE8" s="20"/>
      <c r="AF8" s="20">
        <v>0.83333333333333326</v>
      </c>
      <c r="AG8" s="20">
        <v>0.66666666666666663</v>
      </c>
      <c r="AH8" s="20"/>
      <c r="AI8" s="20">
        <v>0.75</v>
      </c>
      <c r="AJ8" s="20"/>
      <c r="AK8" s="20">
        <v>0.75</v>
      </c>
      <c r="AL8" s="20">
        <v>1</v>
      </c>
      <c r="AM8" s="20"/>
      <c r="AN8" s="20">
        <v>0.83333333333333326</v>
      </c>
      <c r="AO8" s="20">
        <v>1.6666666666666667</v>
      </c>
      <c r="AP8" s="20"/>
      <c r="AQ8" s="20">
        <v>1.6666666666666667</v>
      </c>
      <c r="AR8" s="20"/>
      <c r="AS8" s="20">
        <v>0.75</v>
      </c>
      <c r="AT8" s="20">
        <v>0.75</v>
      </c>
      <c r="AU8" s="20">
        <v>0.66666666666666663</v>
      </c>
      <c r="AV8" s="20">
        <v>0.66666666666666663</v>
      </c>
      <c r="AW8" s="20">
        <v>0.33333333333333331</v>
      </c>
      <c r="AX8" s="20">
        <v>0.66666666666666663</v>
      </c>
      <c r="AY8" s="20">
        <v>0.66666666666666663</v>
      </c>
      <c r="AZ8" s="20">
        <v>0.33333333333333331</v>
      </c>
      <c r="BA8" s="20">
        <v>1</v>
      </c>
      <c r="BB8" s="20">
        <v>0.33333333333333331</v>
      </c>
      <c r="BC8" s="20">
        <v>0.66666666666666663</v>
      </c>
      <c r="BD8" s="20">
        <v>0.33333333333333331</v>
      </c>
      <c r="BE8" s="20">
        <v>0.66666666666666663</v>
      </c>
      <c r="BF8" s="20">
        <v>0.66666666666666663</v>
      </c>
      <c r="BG8" s="20">
        <v>0.33333333333333331</v>
      </c>
      <c r="BH8" s="20">
        <v>0.66666666666666663</v>
      </c>
      <c r="BI8" s="20">
        <v>0.33333333333333331</v>
      </c>
      <c r="BJ8" s="20">
        <v>0.66666666666666663</v>
      </c>
      <c r="BK8" s="20">
        <v>0.75</v>
      </c>
      <c r="BL8" s="20">
        <v>0.66666666666666663</v>
      </c>
      <c r="BM8" s="20">
        <v>0.41666666666666669</v>
      </c>
      <c r="BN8" s="20">
        <v>0.66666666666666663</v>
      </c>
      <c r="BO8" s="20">
        <v>0.41666666666666669</v>
      </c>
      <c r="BP8" s="20">
        <v>0.66666666666666663</v>
      </c>
      <c r="BQ8" s="20">
        <v>0.41666666666666669</v>
      </c>
      <c r="BR8" s="20">
        <v>0.66666666666666663</v>
      </c>
      <c r="BS8" s="20">
        <v>0.41666666666666669</v>
      </c>
      <c r="BT8" s="20">
        <v>0.66666666666666663</v>
      </c>
    </row>
    <row r="9" spans="2:72">
      <c r="B9" s="21" t="s">
        <v>39</v>
      </c>
      <c r="C9" s="20">
        <v>0.33333333333333331</v>
      </c>
      <c r="D9" s="20"/>
      <c r="E9" s="20"/>
      <c r="F9" s="20">
        <v>2.3333333333333335</v>
      </c>
      <c r="G9" s="20"/>
      <c r="H9" s="20">
        <v>0.33333333333333331</v>
      </c>
      <c r="I9" s="20"/>
      <c r="J9" s="20"/>
      <c r="K9" s="20"/>
      <c r="L9" s="20"/>
      <c r="M9" s="20"/>
      <c r="N9" s="20"/>
      <c r="O9" s="20"/>
      <c r="P9" s="20"/>
      <c r="Q9" s="20">
        <v>0.33333333333333331</v>
      </c>
      <c r="R9" s="20"/>
      <c r="S9" s="20"/>
      <c r="T9" s="20">
        <v>0.75</v>
      </c>
      <c r="U9" s="20"/>
      <c r="V9" s="20"/>
      <c r="W9" s="20">
        <v>0.33333333333333331</v>
      </c>
      <c r="X9" s="20"/>
      <c r="Y9" s="20">
        <v>4.166666666666667</v>
      </c>
      <c r="Z9" s="20"/>
      <c r="AA9" s="20"/>
      <c r="AB9" s="20"/>
      <c r="AC9" s="20"/>
      <c r="AD9" s="20"/>
      <c r="AE9" s="20">
        <v>2.5</v>
      </c>
      <c r="AF9" s="20"/>
      <c r="AG9" s="20"/>
      <c r="AH9" s="20">
        <v>2.833333333333333</v>
      </c>
      <c r="AI9" s="20"/>
      <c r="AJ9" s="20"/>
      <c r="AK9" s="20"/>
      <c r="AL9" s="20"/>
      <c r="AM9" s="20"/>
      <c r="AN9" s="20"/>
      <c r="AO9" s="20"/>
      <c r="AP9" s="20"/>
      <c r="AQ9" s="20"/>
      <c r="AR9" s="20"/>
      <c r="AS9" s="20"/>
      <c r="AT9" s="20"/>
      <c r="AU9" s="20"/>
      <c r="AV9" s="20"/>
      <c r="AW9" s="20"/>
      <c r="AX9" s="20"/>
      <c r="AY9" s="20"/>
      <c r="AZ9" s="20"/>
      <c r="BA9" s="20"/>
      <c r="BB9" s="20"/>
      <c r="BC9" s="20"/>
      <c r="BD9" s="20"/>
      <c r="BE9" s="20"/>
      <c r="BF9" s="20"/>
      <c r="BG9" s="20"/>
      <c r="BH9" s="20"/>
      <c r="BI9" s="20"/>
      <c r="BJ9" s="20"/>
      <c r="BK9" s="20"/>
      <c r="BL9" s="20"/>
      <c r="BM9" s="20"/>
      <c r="BN9" s="20"/>
      <c r="BO9" s="20"/>
      <c r="BP9" s="20"/>
      <c r="BQ9" s="20"/>
      <c r="BR9" s="20"/>
      <c r="BS9" s="20"/>
      <c r="BT9" s="20"/>
    </row>
    <row r="10" spans="2:72">
      <c r="B10" s="21" t="s">
        <v>42</v>
      </c>
      <c r="C10" s="20">
        <v>1.75</v>
      </c>
      <c r="D10" s="20"/>
      <c r="E10" s="20"/>
      <c r="F10" s="20">
        <v>3</v>
      </c>
      <c r="G10" s="20"/>
      <c r="H10" s="20">
        <v>1.0833333333333333</v>
      </c>
      <c r="I10" s="20"/>
      <c r="J10" s="20"/>
      <c r="K10" s="20"/>
      <c r="L10" s="20"/>
      <c r="M10" s="20">
        <v>0.91666666666666674</v>
      </c>
      <c r="N10" s="20"/>
      <c r="O10" s="20">
        <v>1.0833333333333333</v>
      </c>
      <c r="P10" s="20"/>
      <c r="Q10" s="20">
        <v>0.91666666666666674</v>
      </c>
      <c r="R10" s="20"/>
      <c r="S10" s="20"/>
      <c r="T10" s="20">
        <v>1.0833333333333333</v>
      </c>
      <c r="U10" s="20"/>
      <c r="V10" s="20"/>
      <c r="W10" s="20">
        <v>0.91666666666666674</v>
      </c>
      <c r="X10" s="20"/>
      <c r="Y10" s="20"/>
      <c r="Z10" s="20">
        <v>0.91666666666666674</v>
      </c>
      <c r="AA10" s="20"/>
      <c r="AB10" s="20"/>
      <c r="AC10" s="20"/>
      <c r="AD10" s="20"/>
      <c r="AE10" s="20">
        <v>2.8333333333333335</v>
      </c>
      <c r="AF10" s="20"/>
      <c r="AG10" s="20"/>
      <c r="AH10" s="20">
        <v>1.8333333333333335</v>
      </c>
      <c r="AI10" s="20"/>
      <c r="AJ10" s="20">
        <v>0.58333333333333337</v>
      </c>
      <c r="AK10" s="20"/>
      <c r="AL10" s="20"/>
      <c r="AM10" s="20"/>
      <c r="AN10" s="20"/>
      <c r="AO10" s="20"/>
      <c r="AP10" s="20"/>
      <c r="AQ10" s="20"/>
      <c r="AR10" s="20"/>
      <c r="AS10" s="20"/>
      <c r="AT10" s="20"/>
      <c r="AU10" s="20"/>
      <c r="AV10" s="20"/>
      <c r="AW10" s="20"/>
      <c r="AX10" s="20"/>
      <c r="AY10" s="20"/>
      <c r="AZ10" s="20"/>
      <c r="BA10" s="20"/>
      <c r="BB10" s="20"/>
      <c r="BC10" s="20"/>
      <c r="BD10" s="20"/>
      <c r="BE10" s="20"/>
      <c r="BF10" s="20"/>
      <c r="BG10" s="20"/>
      <c r="BH10" s="20"/>
      <c r="BI10" s="20"/>
      <c r="BJ10" s="20"/>
      <c r="BK10" s="20"/>
      <c r="BL10" s="20"/>
      <c r="BM10" s="20"/>
      <c r="BN10" s="20"/>
      <c r="BO10" s="20"/>
      <c r="BP10" s="20"/>
      <c r="BQ10" s="20"/>
      <c r="BR10" s="20"/>
      <c r="BS10" s="20"/>
      <c r="BT10" s="20"/>
    </row>
    <row r="11" spans="2:72">
      <c r="B11" s="21" t="s">
        <v>36</v>
      </c>
      <c r="C11" s="20"/>
      <c r="D11" s="20">
        <v>0.75</v>
      </c>
      <c r="E11" s="20">
        <v>1</v>
      </c>
      <c r="F11" s="20">
        <v>0.66666666666666663</v>
      </c>
      <c r="G11" s="20">
        <v>2.166666666666667</v>
      </c>
      <c r="H11" s="20">
        <v>0.66666666666666663</v>
      </c>
      <c r="I11" s="20">
        <v>0.66666666666666663</v>
      </c>
      <c r="J11" s="20">
        <v>1</v>
      </c>
      <c r="K11" s="20">
        <v>0.83333333333333337</v>
      </c>
      <c r="L11" s="20">
        <v>1</v>
      </c>
      <c r="M11" s="20">
        <v>0.5</v>
      </c>
      <c r="N11" s="20">
        <v>0.75</v>
      </c>
      <c r="O11" s="20">
        <v>0.5</v>
      </c>
      <c r="P11" s="20">
        <v>1</v>
      </c>
      <c r="Q11" s="20">
        <v>0.75</v>
      </c>
      <c r="R11" s="20">
        <v>0.75</v>
      </c>
      <c r="S11" s="20">
        <v>0.75</v>
      </c>
      <c r="T11" s="20">
        <v>1</v>
      </c>
      <c r="U11" s="20">
        <v>1</v>
      </c>
      <c r="V11" s="20">
        <v>0.75</v>
      </c>
      <c r="W11" s="20">
        <v>1</v>
      </c>
      <c r="X11" s="20">
        <v>0.75</v>
      </c>
      <c r="Y11" s="20">
        <v>1</v>
      </c>
      <c r="Z11" s="20"/>
      <c r="AA11" s="20">
        <v>1</v>
      </c>
      <c r="AB11" s="20">
        <v>1</v>
      </c>
      <c r="AC11" s="20">
        <v>0.83333333333333337</v>
      </c>
      <c r="AD11" s="20">
        <v>1</v>
      </c>
      <c r="AE11" s="20">
        <v>1</v>
      </c>
      <c r="AF11" s="20">
        <v>0.75</v>
      </c>
      <c r="AG11" s="20">
        <v>1</v>
      </c>
      <c r="AH11" s="20">
        <v>1</v>
      </c>
      <c r="AI11" s="20">
        <v>0.75</v>
      </c>
      <c r="AJ11" s="20"/>
      <c r="AK11" s="20">
        <v>0.75</v>
      </c>
      <c r="AL11" s="20">
        <v>1</v>
      </c>
      <c r="AM11" s="20">
        <v>1</v>
      </c>
      <c r="AN11" s="20">
        <v>0.83333333333333337</v>
      </c>
      <c r="AO11" s="20">
        <v>1</v>
      </c>
      <c r="AP11" s="20">
        <v>1</v>
      </c>
      <c r="AQ11" s="20">
        <v>1</v>
      </c>
      <c r="AR11" s="20">
        <v>1</v>
      </c>
      <c r="AS11" s="20">
        <v>1</v>
      </c>
      <c r="AT11" s="20">
        <v>1</v>
      </c>
      <c r="AU11" s="20">
        <v>1</v>
      </c>
      <c r="AV11" s="20">
        <v>1</v>
      </c>
      <c r="AW11" s="20">
        <v>0.5</v>
      </c>
      <c r="AX11" s="20">
        <v>1</v>
      </c>
      <c r="AY11" s="20">
        <v>2</v>
      </c>
      <c r="AZ11" s="20">
        <v>0.75</v>
      </c>
      <c r="BA11" s="20">
        <v>1.5</v>
      </c>
      <c r="BB11" s="20">
        <v>1</v>
      </c>
      <c r="BC11" s="20">
        <v>1</v>
      </c>
      <c r="BD11" s="20"/>
      <c r="BE11" s="20">
        <v>1</v>
      </c>
      <c r="BF11" s="20">
        <v>1</v>
      </c>
      <c r="BG11" s="20"/>
      <c r="BH11" s="20">
        <v>1</v>
      </c>
      <c r="BI11" s="20">
        <v>1</v>
      </c>
      <c r="BJ11" s="20">
        <v>1</v>
      </c>
      <c r="BK11" s="20">
        <v>1</v>
      </c>
      <c r="BL11" s="20">
        <v>1</v>
      </c>
      <c r="BM11" s="20">
        <v>1</v>
      </c>
      <c r="BN11" s="20">
        <v>1</v>
      </c>
      <c r="BO11" s="20">
        <v>1</v>
      </c>
      <c r="BP11" s="20">
        <v>1</v>
      </c>
      <c r="BQ11" s="20">
        <v>1</v>
      </c>
      <c r="BR11" s="20">
        <v>1</v>
      </c>
      <c r="BS11" s="20">
        <v>1</v>
      </c>
      <c r="BT11" s="20">
        <v>1</v>
      </c>
    </row>
    <row r="12" spans="2:72">
      <c r="B12" s="21" t="s">
        <v>96</v>
      </c>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c r="AG12" s="20"/>
      <c r="AH12" s="20"/>
      <c r="AI12" s="20"/>
      <c r="AJ12" s="20">
        <v>0.33333333333333331</v>
      </c>
      <c r="AK12" s="20"/>
      <c r="AL12" s="20"/>
      <c r="AM12" s="20">
        <v>0.66666666666666663</v>
      </c>
      <c r="AN12" s="20"/>
      <c r="AO12" s="20"/>
      <c r="AP12" s="20">
        <v>1</v>
      </c>
      <c r="AQ12" s="20"/>
      <c r="AR12" s="20">
        <v>1</v>
      </c>
      <c r="AS12" s="20"/>
      <c r="AT12" s="20"/>
      <c r="AU12" s="20"/>
      <c r="AV12" s="20"/>
      <c r="AW12" s="20">
        <v>0.33333333333333331</v>
      </c>
      <c r="AX12" s="20"/>
      <c r="AY12" s="20"/>
      <c r="AZ12" s="20">
        <v>0.33333333333333331</v>
      </c>
      <c r="BA12" s="20"/>
      <c r="BB12" s="20">
        <v>0.33333333333333331</v>
      </c>
      <c r="BC12" s="20"/>
      <c r="BD12" s="20"/>
      <c r="BE12" s="20"/>
      <c r="BF12" s="20"/>
      <c r="BG12" s="20"/>
      <c r="BH12" s="20"/>
      <c r="BI12" s="20">
        <v>0.33333333333333331</v>
      </c>
      <c r="BJ12" s="20"/>
      <c r="BK12" s="20">
        <v>0.33333333333333331</v>
      </c>
      <c r="BL12" s="20"/>
      <c r="BM12" s="20">
        <v>0.33333333333333331</v>
      </c>
      <c r="BN12" s="20"/>
      <c r="BO12" s="20">
        <v>0.33333333333333331</v>
      </c>
      <c r="BP12" s="20"/>
      <c r="BQ12" s="20">
        <v>0.33333333333333331</v>
      </c>
      <c r="BR12" s="20"/>
      <c r="BS12" s="20">
        <v>0.33333333333333331</v>
      </c>
      <c r="BT12" s="20"/>
    </row>
    <row r="13" spans="2:72">
      <c r="B13" s="21" t="s">
        <v>99</v>
      </c>
      <c r="C13" s="20"/>
      <c r="D13" s="20"/>
      <c r="E13" s="20"/>
      <c r="F13" s="20"/>
      <c r="G13" s="20"/>
      <c r="H13" s="20"/>
      <c r="I13" s="20"/>
      <c r="J13" s="20"/>
      <c r="K13" s="20"/>
      <c r="L13" s="20"/>
      <c r="M13" s="20"/>
      <c r="N13" s="20"/>
      <c r="O13" s="20"/>
      <c r="P13" s="20"/>
      <c r="Q13" s="20"/>
      <c r="R13" s="20"/>
      <c r="S13" s="20"/>
      <c r="T13" s="20"/>
      <c r="U13" s="20"/>
      <c r="V13" s="20"/>
      <c r="W13" s="20"/>
      <c r="X13" s="20"/>
      <c r="Y13" s="20"/>
      <c r="Z13" s="20"/>
      <c r="AA13" s="20"/>
      <c r="AB13" s="20"/>
      <c r="AC13" s="20"/>
      <c r="AD13" s="20"/>
      <c r="AE13" s="20"/>
      <c r="AF13" s="20"/>
      <c r="AG13" s="20"/>
      <c r="AH13" s="20"/>
      <c r="AI13" s="20"/>
      <c r="AJ13" s="20"/>
      <c r="AK13" s="20"/>
      <c r="AL13" s="20"/>
      <c r="AM13" s="20"/>
      <c r="AN13" s="20"/>
      <c r="AO13" s="20"/>
      <c r="AP13" s="20"/>
      <c r="AQ13" s="20">
        <v>0.5</v>
      </c>
      <c r="AR13" s="20"/>
      <c r="AS13" s="20"/>
      <c r="AT13" s="20"/>
      <c r="AU13" s="20"/>
      <c r="AV13" s="20"/>
      <c r="AW13" s="20"/>
      <c r="AX13" s="20"/>
      <c r="AY13" s="20"/>
      <c r="AZ13" s="20"/>
      <c r="BA13" s="20"/>
      <c r="BB13" s="20"/>
      <c r="BC13" s="20"/>
      <c r="BD13" s="20"/>
      <c r="BE13" s="20"/>
      <c r="BF13" s="20"/>
      <c r="BG13" s="20"/>
      <c r="BH13" s="20"/>
      <c r="BI13" s="20"/>
      <c r="BJ13" s="20"/>
      <c r="BK13" s="20"/>
      <c r="BL13" s="20"/>
      <c r="BM13" s="20"/>
      <c r="BN13" s="20"/>
      <c r="BO13" s="20"/>
      <c r="BP13" s="20"/>
      <c r="BQ13" s="20"/>
      <c r="BR13" s="20"/>
      <c r="BS13" s="20"/>
      <c r="BT13" s="20"/>
    </row>
    <row r="14" spans="2:72">
      <c r="B14" s="21" t="s">
        <v>157</v>
      </c>
      <c r="C14" s="20">
        <v>1.75</v>
      </c>
      <c r="D14" s="20">
        <v>1.8333333333333333</v>
      </c>
      <c r="E14" s="20">
        <v>2.1666666666666665</v>
      </c>
      <c r="F14" s="20">
        <v>1.75</v>
      </c>
      <c r="G14" s="20">
        <v>1.5</v>
      </c>
      <c r="H14" s="20">
        <v>3.5833333333333335</v>
      </c>
      <c r="I14" s="20">
        <v>1.8333333333333333</v>
      </c>
      <c r="J14" s="20">
        <v>3.8333333333333335</v>
      </c>
      <c r="K14" s="20">
        <v>2</v>
      </c>
      <c r="L14" s="20">
        <v>4.333333333333333</v>
      </c>
      <c r="M14" s="20">
        <v>1.1666666666666667</v>
      </c>
      <c r="N14" s="20">
        <v>5.833333333333333</v>
      </c>
      <c r="O14" s="20">
        <v>1.1666666666666667</v>
      </c>
      <c r="P14" s="20">
        <v>1</v>
      </c>
      <c r="Q14" s="20">
        <v>1.0833333333333335</v>
      </c>
      <c r="R14" s="20">
        <v>1.8333333333333333</v>
      </c>
      <c r="S14" s="20">
        <v>1.8333333333333333</v>
      </c>
      <c r="T14" s="20">
        <v>2</v>
      </c>
      <c r="U14" s="20">
        <v>2</v>
      </c>
      <c r="V14" s="20">
        <v>1.75</v>
      </c>
      <c r="W14" s="20">
        <v>3.916666666666667</v>
      </c>
      <c r="X14" s="20">
        <v>1.75</v>
      </c>
      <c r="Y14" s="20">
        <v>2</v>
      </c>
      <c r="Z14" s="20"/>
      <c r="AA14" s="20">
        <v>2.1666666666666665</v>
      </c>
      <c r="AB14" s="20">
        <v>2</v>
      </c>
      <c r="AC14" s="20">
        <v>1.1666666666666665</v>
      </c>
      <c r="AD14" s="20">
        <v>2.8333333333333335</v>
      </c>
      <c r="AE14" s="20">
        <v>2.1666666666666665</v>
      </c>
      <c r="AF14" s="20">
        <v>2.4166666666666665</v>
      </c>
      <c r="AG14" s="20">
        <v>2</v>
      </c>
      <c r="AH14" s="20">
        <v>1</v>
      </c>
      <c r="AI14" s="20">
        <v>3.4166666666666665</v>
      </c>
      <c r="AJ14" s="20"/>
      <c r="AK14" s="20">
        <v>3</v>
      </c>
      <c r="AL14" s="20">
        <v>3</v>
      </c>
      <c r="AM14" s="20">
        <v>5.1666666666666661</v>
      </c>
      <c r="AN14" s="20">
        <v>2.9166666666666665</v>
      </c>
      <c r="AO14" s="20">
        <v>2.6666666666666665</v>
      </c>
      <c r="AP14" s="20">
        <v>3.5</v>
      </c>
      <c r="AQ14" s="20">
        <v>1.8333333333333333</v>
      </c>
      <c r="AR14" s="20">
        <v>3.5</v>
      </c>
      <c r="AS14" s="20">
        <v>3.0833333333333335</v>
      </c>
      <c r="AT14" s="20">
        <v>2.1666666666666665</v>
      </c>
      <c r="AU14" s="20">
        <v>1.75</v>
      </c>
      <c r="AV14" s="20">
        <v>6.666666666666667</v>
      </c>
      <c r="AW14" s="20">
        <v>5.083333333333333</v>
      </c>
      <c r="AX14" s="20">
        <v>0.25</v>
      </c>
      <c r="AY14" s="20">
        <v>6</v>
      </c>
      <c r="AZ14" s="20">
        <v>4.583333333333333</v>
      </c>
      <c r="BA14" s="20">
        <v>0.75</v>
      </c>
      <c r="BB14" s="20">
        <v>1.8333333333333333</v>
      </c>
      <c r="BC14" s="20">
        <v>1</v>
      </c>
      <c r="BD14" s="20"/>
      <c r="BE14" s="20">
        <v>2.25</v>
      </c>
      <c r="BF14" s="20">
        <v>2.1666666666666665</v>
      </c>
      <c r="BG14" s="20"/>
      <c r="BH14" s="20">
        <v>0.75</v>
      </c>
      <c r="BI14" s="20">
        <v>3</v>
      </c>
      <c r="BJ14" s="20">
        <v>2.1666666666666665</v>
      </c>
      <c r="BK14" s="20">
        <v>2</v>
      </c>
      <c r="BL14" s="20">
        <v>0.66666666666666663</v>
      </c>
      <c r="BM14" s="20">
        <v>3.5</v>
      </c>
      <c r="BN14" s="20">
        <v>2.3333333333333335</v>
      </c>
      <c r="BO14" s="20">
        <v>2.333333333333333</v>
      </c>
      <c r="BP14" s="20">
        <v>3.8333333333333335</v>
      </c>
      <c r="BQ14" s="20">
        <v>2</v>
      </c>
      <c r="BR14" s="20">
        <v>4</v>
      </c>
      <c r="BS14" s="20">
        <v>2.25</v>
      </c>
      <c r="BT14" s="20">
        <v>1.8333333333333333</v>
      </c>
    </row>
    <row r="15" spans="2:72">
      <c r="B15" s="21" t="s">
        <v>142</v>
      </c>
      <c r="C15" s="20">
        <v>2.8333333333333335</v>
      </c>
      <c r="D15" s="20">
        <v>5.5</v>
      </c>
      <c r="E15" s="20">
        <v>3.3333333333333335</v>
      </c>
      <c r="F15" s="20">
        <v>3.25</v>
      </c>
      <c r="G15" s="20">
        <v>3.3333333333333335</v>
      </c>
      <c r="H15" s="20">
        <v>3.0833333333333335</v>
      </c>
      <c r="I15" s="20">
        <v>5.666666666666667</v>
      </c>
      <c r="J15" s="20">
        <v>2.5</v>
      </c>
      <c r="K15" s="20">
        <v>5.1666666666666661</v>
      </c>
      <c r="L15" s="20">
        <v>2</v>
      </c>
      <c r="M15" s="20">
        <v>2.5</v>
      </c>
      <c r="N15" s="20">
        <v>1.5</v>
      </c>
      <c r="O15" s="20">
        <v>2.5</v>
      </c>
      <c r="P15" s="20">
        <v>5.6666666666666661</v>
      </c>
      <c r="Q15" s="20"/>
      <c r="R15" s="20">
        <v>5.5</v>
      </c>
      <c r="S15" s="20">
        <v>5.666666666666667</v>
      </c>
      <c r="T15" s="20">
        <v>4.25</v>
      </c>
      <c r="U15" s="20">
        <v>5</v>
      </c>
      <c r="V15" s="20">
        <v>4.8333333333333339</v>
      </c>
      <c r="W15" s="20">
        <v>2.75</v>
      </c>
      <c r="X15" s="20">
        <v>5.1666666666666661</v>
      </c>
      <c r="Y15" s="20">
        <v>2.5</v>
      </c>
      <c r="Z15" s="20"/>
      <c r="AA15" s="20">
        <v>3</v>
      </c>
      <c r="AB15" s="20">
        <v>4.666666666666667</v>
      </c>
      <c r="AC15" s="20">
        <v>6</v>
      </c>
      <c r="AD15" s="20">
        <v>4.333333333333333</v>
      </c>
      <c r="AE15" s="20">
        <v>2.5</v>
      </c>
      <c r="AF15" s="20">
        <v>4.5</v>
      </c>
      <c r="AG15" s="20">
        <v>3.3333333333333335</v>
      </c>
      <c r="AH15" s="20">
        <v>3.6666666666666665</v>
      </c>
      <c r="AI15" s="20">
        <v>4</v>
      </c>
      <c r="AJ15" s="20"/>
      <c r="AK15" s="20">
        <v>4.166666666666667</v>
      </c>
      <c r="AL15" s="20">
        <v>3.3333333333333335</v>
      </c>
      <c r="AM15" s="20">
        <v>2</v>
      </c>
      <c r="AN15" s="20">
        <v>4</v>
      </c>
      <c r="AO15" s="20">
        <v>3</v>
      </c>
      <c r="AP15" s="20">
        <v>3.5</v>
      </c>
      <c r="AQ15" s="20">
        <v>3.75</v>
      </c>
      <c r="AR15" s="20">
        <v>3.5</v>
      </c>
      <c r="AS15" s="20">
        <v>4</v>
      </c>
      <c r="AT15" s="20">
        <v>3.3333333333333335</v>
      </c>
      <c r="AU15" s="20">
        <v>5.416666666666667</v>
      </c>
      <c r="AV15" s="20"/>
      <c r="AW15" s="20">
        <v>0.75</v>
      </c>
      <c r="AX15" s="20">
        <v>6.666666666666667</v>
      </c>
      <c r="AY15" s="20">
        <v>4</v>
      </c>
      <c r="AZ15" s="20">
        <v>1.8333333333333333</v>
      </c>
      <c r="BA15" s="20">
        <v>14.166666666666668</v>
      </c>
      <c r="BB15" s="20">
        <v>2</v>
      </c>
      <c r="BC15" s="20">
        <v>5.833333333333333</v>
      </c>
      <c r="BD15" s="20"/>
      <c r="BE15" s="20">
        <v>3.25</v>
      </c>
      <c r="BF15" s="20">
        <v>4.5</v>
      </c>
      <c r="BG15" s="20"/>
      <c r="BH15" s="20">
        <v>4.9166666666666661</v>
      </c>
      <c r="BI15" s="20">
        <v>3.5</v>
      </c>
      <c r="BJ15" s="20">
        <v>4.5</v>
      </c>
      <c r="BK15" s="20">
        <v>4.75</v>
      </c>
      <c r="BL15" s="20">
        <v>5</v>
      </c>
      <c r="BM15" s="20">
        <v>3.583333333333333</v>
      </c>
      <c r="BN15" s="20">
        <v>3.3333333333333335</v>
      </c>
      <c r="BO15" s="20">
        <v>4</v>
      </c>
      <c r="BP15" s="20">
        <v>3.3333333333333335</v>
      </c>
      <c r="BQ15" s="20">
        <v>4.75</v>
      </c>
      <c r="BR15" s="20">
        <v>3.3333333333333335</v>
      </c>
      <c r="BS15" s="20">
        <v>4.666666666666667</v>
      </c>
      <c r="BT15" s="20">
        <v>3.833333333333333</v>
      </c>
    </row>
    <row r="16" spans="2:72">
      <c r="B16" s="21" t="s">
        <v>159</v>
      </c>
      <c r="C16" s="20">
        <v>4.916666666666667</v>
      </c>
      <c r="D16" s="20">
        <v>7</v>
      </c>
      <c r="E16" s="20">
        <v>6.416666666666667</v>
      </c>
      <c r="F16" s="20">
        <v>3.833333333333333</v>
      </c>
      <c r="G16" s="20">
        <v>13.416666666666666</v>
      </c>
      <c r="H16" s="20">
        <v>2.583333333333333</v>
      </c>
      <c r="I16" s="20"/>
      <c r="J16" s="20">
        <v>7.333333333333333</v>
      </c>
      <c r="K16" s="20">
        <v>5.5833333333333339</v>
      </c>
      <c r="L16" s="20">
        <v>5.7499999999999991</v>
      </c>
      <c r="M16" s="20">
        <v>5.666666666666667</v>
      </c>
      <c r="N16" s="20">
        <v>5.25</v>
      </c>
      <c r="O16" s="20">
        <v>3.916666666666667</v>
      </c>
      <c r="P16" s="20">
        <v>5.5000000000000009</v>
      </c>
      <c r="Q16" s="20">
        <v>3.7500000000000004</v>
      </c>
      <c r="R16" s="20">
        <v>4.916666666666667</v>
      </c>
      <c r="S16" s="20">
        <v>6.583333333333333</v>
      </c>
      <c r="T16" s="20">
        <v>5.75</v>
      </c>
      <c r="U16" s="20">
        <v>4.416666666666667</v>
      </c>
      <c r="V16" s="20">
        <v>5.9999999999999991</v>
      </c>
      <c r="W16" s="20">
        <v>6.833333333333333</v>
      </c>
      <c r="X16" s="20">
        <v>4.333333333333333</v>
      </c>
      <c r="Y16" s="20"/>
      <c r="Z16" s="20">
        <v>6.4166666666666661</v>
      </c>
      <c r="AA16" s="20">
        <v>5.5</v>
      </c>
      <c r="AB16" s="20">
        <v>11.083333333333334</v>
      </c>
      <c r="AC16" s="20">
        <v>5.9166666666666679</v>
      </c>
      <c r="AD16" s="20">
        <v>5.083333333333333</v>
      </c>
      <c r="AE16" s="20">
        <v>4.25</v>
      </c>
      <c r="AF16" s="20">
        <v>4.5</v>
      </c>
      <c r="AG16" s="20">
        <v>4.9999999999999991</v>
      </c>
      <c r="AH16" s="20">
        <v>4.75</v>
      </c>
      <c r="AI16" s="20">
        <v>6.75</v>
      </c>
      <c r="AJ16" s="20">
        <v>3.1666666666666665</v>
      </c>
      <c r="AK16" s="20">
        <v>6.833333333333333</v>
      </c>
      <c r="AL16" s="20">
        <v>4.9999999999999991</v>
      </c>
      <c r="AM16" s="20">
        <v>4.583333333333333</v>
      </c>
      <c r="AN16" s="20">
        <v>6.666666666666667</v>
      </c>
      <c r="AO16" s="20">
        <v>3.75</v>
      </c>
      <c r="AP16" s="20">
        <v>5.583333333333333</v>
      </c>
      <c r="AQ16" s="20">
        <v>4.916666666666667</v>
      </c>
      <c r="AR16" s="20">
        <v>6.4166666666666661</v>
      </c>
      <c r="AS16" s="20">
        <v>5.8333333333333339</v>
      </c>
      <c r="AT16" s="20">
        <v>5.833333333333333</v>
      </c>
      <c r="AU16" s="20">
        <v>3.5833333333333335</v>
      </c>
      <c r="AV16" s="20">
        <v>7.333333333333333</v>
      </c>
      <c r="AW16" s="20">
        <v>5.666666666666667</v>
      </c>
      <c r="AX16" s="20">
        <v>5.7499999999999991</v>
      </c>
      <c r="AY16" s="20"/>
      <c r="AZ16" s="20">
        <v>4.9999999999999991</v>
      </c>
      <c r="BA16" s="20">
        <v>3.7499999999999996</v>
      </c>
      <c r="BB16" s="20">
        <v>6.5</v>
      </c>
      <c r="BC16" s="20">
        <v>3.9166666666666665</v>
      </c>
      <c r="BD16" s="20">
        <v>4.75</v>
      </c>
      <c r="BE16" s="20">
        <v>5.166666666666667</v>
      </c>
      <c r="BF16" s="20">
        <v>5.5</v>
      </c>
      <c r="BG16" s="20">
        <v>4.75</v>
      </c>
      <c r="BH16" s="20">
        <v>3.916666666666667</v>
      </c>
      <c r="BI16" s="20">
        <v>2.666666666666667</v>
      </c>
      <c r="BJ16" s="20">
        <v>6.166666666666667</v>
      </c>
      <c r="BK16" s="20">
        <v>3.583333333333333</v>
      </c>
      <c r="BL16" s="20">
        <v>4.583333333333333</v>
      </c>
      <c r="BM16" s="20">
        <v>3.4166666666666665</v>
      </c>
      <c r="BN16" s="20">
        <v>4.4166666666666661</v>
      </c>
      <c r="BO16" s="20">
        <v>4</v>
      </c>
      <c r="BP16" s="20">
        <v>6.166666666666667</v>
      </c>
      <c r="BQ16" s="20">
        <v>5.2499999999999991</v>
      </c>
      <c r="BR16" s="20">
        <v>5.333333333333333</v>
      </c>
      <c r="BS16" s="20">
        <v>6.4166666666666661</v>
      </c>
      <c r="BT16" s="20">
        <v>7.1666666666666661</v>
      </c>
    </row>
    <row r="17" spans="2:72">
      <c r="B17" s="21" t="s">
        <v>160</v>
      </c>
      <c r="C17" s="20">
        <v>1.6666666666666665</v>
      </c>
      <c r="D17" s="20">
        <v>0.5</v>
      </c>
      <c r="E17" s="20">
        <v>0.58333333333333337</v>
      </c>
      <c r="F17" s="20">
        <v>1.9166666666666665</v>
      </c>
      <c r="G17" s="20"/>
      <c r="H17" s="20">
        <v>4</v>
      </c>
      <c r="I17" s="20"/>
      <c r="J17" s="20">
        <v>0.33333333333333331</v>
      </c>
      <c r="K17" s="20">
        <v>1.75</v>
      </c>
      <c r="L17" s="20">
        <v>1.5</v>
      </c>
      <c r="M17" s="20">
        <v>1.5</v>
      </c>
      <c r="N17" s="20">
        <v>0.58333333333333337</v>
      </c>
      <c r="O17" s="20">
        <v>0.75</v>
      </c>
      <c r="P17" s="20">
        <v>1.75</v>
      </c>
      <c r="Q17" s="20">
        <v>0.75</v>
      </c>
      <c r="R17" s="20">
        <v>1.916666666666667</v>
      </c>
      <c r="S17" s="20"/>
      <c r="T17" s="20">
        <v>0.75</v>
      </c>
      <c r="U17" s="20">
        <v>2.6666666666666665</v>
      </c>
      <c r="V17" s="20">
        <v>0.33333333333333331</v>
      </c>
      <c r="W17" s="20">
        <v>0.75</v>
      </c>
      <c r="X17" s="20">
        <v>0.33333333333333331</v>
      </c>
      <c r="Y17" s="20"/>
      <c r="Z17" s="20">
        <v>0.75</v>
      </c>
      <c r="AA17" s="20">
        <v>0.58333333333333337</v>
      </c>
      <c r="AB17" s="20">
        <v>1.1666666666666665</v>
      </c>
      <c r="AC17" s="20"/>
      <c r="AD17" s="20">
        <v>0.33333333333333331</v>
      </c>
      <c r="AE17" s="20">
        <v>0.91666666666666663</v>
      </c>
      <c r="AF17" s="20">
        <v>0.5</v>
      </c>
      <c r="AG17" s="20">
        <v>0.66666666666666663</v>
      </c>
      <c r="AH17" s="20">
        <v>2.4166666666666665</v>
      </c>
      <c r="AI17" s="20">
        <v>0.83333333333333337</v>
      </c>
      <c r="AJ17" s="20">
        <v>1.3333333333333333</v>
      </c>
      <c r="AK17" s="20"/>
      <c r="AL17" s="20"/>
      <c r="AM17" s="20">
        <v>1.3333333333333333</v>
      </c>
      <c r="AN17" s="20">
        <v>0.33333333333333331</v>
      </c>
      <c r="AO17" s="20">
        <v>0.66666666666666663</v>
      </c>
      <c r="AP17" s="20">
        <v>0.83333333333333337</v>
      </c>
      <c r="AQ17" s="20">
        <v>0.66666666666666663</v>
      </c>
      <c r="AR17" s="20">
        <v>0.83333333333333337</v>
      </c>
      <c r="AS17" s="20"/>
      <c r="AT17" s="20">
        <v>0.41666666666666669</v>
      </c>
      <c r="AU17" s="20"/>
      <c r="AV17" s="20"/>
      <c r="AW17" s="20">
        <v>0.91666666666666663</v>
      </c>
      <c r="AX17" s="20">
        <v>0.75</v>
      </c>
      <c r="AY17" s="20"/>
      <c r="AZ17" s="20"/>
      <c r="BA17" s="20">
        <v>1.7499999999999998</v>
      </c>
      <c r="BB17" s="20"/>
      <c r="BC17" s="20">
        <v>1</v>
      </c>
      <c r="BD17" s="20">
        <v>0.66666666666666663</v>
      </c>
      <c r="BE17" s="20"/>
      <c r="BF17" s="20"/>
      <c r="BG17" s="20">
        <v>0.66666666666666663</v>
      </c>
      <c r="BH17" s="20">
        <v>2.1666666666666665</v>
      </c>
      <c r="BI17" s="20">
        <v>4.833333333333333</v>
      </c>
      <c r="BJ17" s="20"/>
      <c r="BK17" s="20">
        <v>3.833333333333333</v>
      </c>
      <c r="BL17" s="20">
        <v>0.58333333333333337</v>
      </c>
      <c r="BM17" s="20">
        <v>3.5</v>
      </c>
      <c r="BN17" s="20">
        <v>0.41666666666666669</v>
      </c>
      <c r="BO17" s="20">
        <v>3.6666666666666665</v>
      </c>
      <c r="BP17" s="20">
        <v>0.41666666666666669</v>
      </c>
      <c r="BQ17" s="20">
        <v>1.9166666666666665</v>
      </c>
      <c r="BR17" s="20">
        <v>0.41666666666666669</v>
      </c>
      <c r="BS17" s="20">
        <v>0.58333333333333337</v>
      </c>
      <c r="BT17" s="20"/>
    </row>
    <row r="18" spans="2:72">
      <c r="B18" s="21" t="s">
        <v>144</v>
      </c>
      <c r="C18" s="20"/>
      <c r="D18" s="20">
        <v>0.5</v>
      </c>
      <c r="E18" s="20">
        <v>0.5</v>
      </c>
      <c r="F18" s="20"/>
      <c r="G18" s="20">
        <v>0.5</v>
      </c>
      <c r="H18" s="20"/>
      <c r="I18" s="20"/>
      <c r="J18" s="20"/>
      <c r="K18" s="20">
        <v>0.83333333333333337</v>
      </c>
      <c r="L18" s="20"/>
      <c r="M18" s="20">
        <v>0.75</v>
      </c>
      <c r="N18" s="20"/>
      <c r="O18" s="20">
        <v>5.5</v>
      </c>
      <c r="P18" s="20"/>
      <c r="Q18" s="20">
        <v>8.8333333333333321</v>
      </c>
      <c r="R18" s="20"/>
      <c r="S18" s="20"/>
      <c r="T18" s="20"/>
      <c r="U18" s="20">
        <v>0.41666666666666669</v>
      </c>
      <c r="V18" s="20"/>
      <c r="W18" s="20"/>
      <c r="X18" s="20"/>
      <c r="Y18" s="20"/>
      <c r="Z18" s="20"/>
      <c r="AA18" s="20">
        <v>0.41666666666666669</v>
      </c>
      <c r="AB18" s="20"/>
      <c r="AC18" s="20">
        <v>1.5</v>
      </c>
      <c r="AD18" s="20"/>
      <c r="AE18" s="20"/>
      <c r="AF18" s="20"/>
      <c r="AG18" s="20">
        <v>0.5</v>
      </c>
      <c r="AH18" s="20"/>
      <c r="AI18" s="20"/>
      <c r="AJ18" s="20">
        <v>0.58333333333333337</v>
      </c>
      <c r="AK18" s="20"/>
      <c r="AL18" s="20">
        <v>0.33333333333333331</v>
      </c>
      <c r="AM18" s="20">
        <v>1.0833333333333333</v>
      </c>
      <c r="AN18" s="20"/>
      <c r="AO18" s="20"/>
      <c r="AP18" s="20">
        <v>0.41666666666666669</v>
      </c>
      <c r="AQ18" s="20"/>
      <c r="AR18" s="20"/>
      <c r="AS18" s="20">
        <v>0.66666666666666663</v>
      </c>
      <c r="AT18" s="20"/>
      <c r="AU18" s="20">
        <v>0.5</v>
      </c>
      <c r="AV18" s="20"/>
      <c r="AW18" s="20">
        <v>1.5833333333333335</v>
      </c>
      <c r="AX18" s="20">
        <v>0.33333333333333331</v>
      </c>
      <c r="AY18" s="20"/>
      <c r="AZ18" s="20">
        <v>0.58333333333333337</v>
      </c>
      <c r="BA18" s="20"/>
      <c r="BB18" s="20">
        <v>0.66666666666666663</v>
      </c>
      <c r="BC18" s="20"/>
      <c r="BD18" s="20"/>
      <c r="BE18" s="20">
        <v>0.58333333333333337</v>
      </c>
      <c r="BF18" s="20"/>
      <c r="BG18" s="20"/>
      <c r="BH18" s="20"/>
      <c r="BI18" s="20"/>
      <c r="BJ18" s="20">
        <v>0.5</v>
      </c>
      <c r="BK18" s="20">
        <v>0.33333333333333331</v>
      </c>
      <c r="BL18" s="20">
        <v>0.5</v>
      </c>
      <c r="BM18" s="20">
        <v>0.5</v>
      </c>
      <c r="BN18" s="20">
        <v>0.5</v>
      </c>
      <c r="BO18" s="20">
        <v>0.5</v>
      </c>
      <c r="BP18" s="20">
        <v>0.5</v>
      </c>
      <c r="BQ18" s="20">
        <v>0.5</v>
      </c>
      <c r="BR18" s="20">
        <v>0.5</v>
      </c>
      <c r="BS18" s="20">
        <v>0.5</v>
      </c>
      <c r="BT18" s="20">
        <v>0.33333333333333331</v>
      </c>
    </row>
    <row r="19" spans="2:72">
      <c r="B19" s="21" t="s">
        <v>152</v>
      </c>
      <c r="C19" s="20"/>
      <c r="D19" s="20">
        <v>0.58333333333333337</v>
      </c>
      <c r="E19" s="20">
        <v>0.41666666666666669</v>
      </c>
      <c r="F19" s="20"/>
      <c r="G19" s="20">
        <v>0.83333333333333337</v>
      </c>
      <c r="H19" s="20"/>
      <c r="I19" s="20"/>
      <c r="J19" s="20">
        <v>0.41666666666666669</v>
      </c>
      <c r="K19" s="20">
        <v>0.75</v>
      </c>
      <c r="L19" s="20">
        <v>0.41666666666666669</v>
      </c>
      <c r="M19" s="20"/>
      <c r="N19" s="20">
        <v>0.41666666666666669</v>
      </c>
      <c r="O19" s="20"/>
      <c r="P19" s="20">
        <v>0.75</v>
      </c>
      <c r="Q19" s="20"/>
      <c r="R19" s="20">
        <v>0.75</v>
      </c>
      <c r="S19" s="20">
        <v>0.41666666666666669</v>
      </c>
      <c r="T19" s="20"/>
      <c r="U19" s="20">
        <v>0.58333333333333337</v>
      </c>
      <c r="V19" s="20">
        <v>0.41666666666666669</v>
      </c>
      <c r="W19" s="20"/>
      <c r="X19" s="20">
        <v>0.33333333333333331</v>
      </c>
      <c r="Y19" s="20"/>
      <c r="Z19" s="20"/>
      <c r="AA19" s="20">
        <v>0.75</v>
      </c>
      <c r="AB19" s="20">
        <v>0.83333333333333337</v>
      </c>
      <c r="AC19" s="20">
        <v>0.58333333333333337</v>
      </c>
      <c r="AD19" s="20">
        <v>0.41666666666666669</v>
      </c>
      <c r="AE19" s="20"/>
      <c r="AF19" s="20">
        <v>0.5</v>
      </c>
      <c r="AG19" s="20">
        <v>0.91666666666666663</v>
      </c>
      <c r="AH19" s="20"/>
      <c r="AI19" s="20"/>
      <c r="AJ19" s="20"/>
      <c r="AK19" s="20"/>
      <c r="AL19" s="20">
        <v>0.41666666666666669</v>
      </c>
      <c r="AM19" s="20"/>
      <c r="AN19" s="20">
        <v>0.75</v>
      </c>
      <c r="AO19" s="20">
        <v>1.0833333333333333</v>
      </c>
      <c r="AP19" s="20"/>
      <c r="AQ19" s="20">
        <v>0.66666666666666663</v>
      </c>
      <c r="AR19" s="20"/>
      <c r="AS19" s="20">
        <v>0.66666666666666663</v>
      </c>
      <c r="AT19" s="20">
        <v>0.41666666666666669</v>
      </c>
      <c r="AU19" s="20">
        <v>1.75</v>
      </c>
      <c r="AV19" s="20">
        <v>0.33333333333333331</v>
      </c>
      <c r="AW19" s="20"/>
      <c r="AX19" s="20">
        <v>0.66666666666666663</v>
      </c>
      <c r="AY19" s="20"/>
      <c r="AZ19" s="20"/>
      <c r="BA19" s="20">
        <v>0.41666666666666669</v>
      </c>
      <c r="BB19" s="20">
        <v>0.33333333333333331</v>
      </c>
      <c r="BC19" s="20">
        <v>0.41666666666666669</v>
      </c>
      <c r="BD19" s="20">
        <v>0.41666666666666669</v>
      </c>
      <c r="BE19" s="20"/>
      <c r="BF19" s="20">
        <v>0.41666666666666669</v>
      </c>
      <c r="BG19" s="20">
        <v>0.41666666666666669</v>
      </c>
      <c r="BH19" s="20"/>
      <c r="BI19" s="20"/>
      <c r="BJ19" s="20">
        <v>0.41666666666666669</v>
      </c>
      <c r="BK19" s="20"/>
      <c r="BL19" s="20">
        <v>0.41666666666666669</v>
      </c>
      <c r="BM19" s="20">
        <v>0.33333333333333331</v>
      </c>
      <c r="BN19" s="20">
        <v>0.41666666666666669</v>
      </c>
      <c r="BO19" s="20"/>
      <c r="BP19" s="20">
        <v>0.41666666666666669</v>
      </c>
      <c r="BQ19" s="20">
        <v>0.58333333333333337</v>
      </c>
      <c r="BR19" s="20">
        <v>0.41666666666666669</v>
      </c>
      <c r="BS19" s="20">
        <v>0.75</v>
      </c>
      <c r="BT19" s="20">
        <v>0.41666666666666669</v>
      </c>
    </row>
    <row r="20" spans="2:72">
      <c r="B20" s="21" t="s">
        <v>158</v>
      </c>
      <c r="C20" s="20"/>
      <c r="D20" s="20"/>
      <c r="E20" s="20">
        <v>0.66666666666666663</v>
      </c>
      <c r="F20" s="20"/>
      <c r="G20" s="20"/>
      <c r="H20" s="20">
        <v>0.33333333333333331</v>
      </c>
      <c r="I20" s="20"/>
      <c r="J20" s="20"/>
      <c r="K20" s="20"/>
      <c r="L20" s="20"/>
      <c r="M20" s="20"/>
      <c r="N20" s="20"/>
      <c r="O20" s="20"/>
      <c r="P20" s="20"/>
      <c r="Q20" s="20"/>
      <c r="R20" s="20"/>
      <c r="S20" s="20"/>
      <c r="T20" s="20"/>
      <c r="U20" s="20"/>
      <c r="V20" s="20">
        <v>0.41666666666666669</v>
      </c>
      <c r="W20" s="20"/>
      <c r="X20" s="20"/>
      <c r="Y20" s="20"/>
      <c r="Z20" s="20"/>
      <c r="AA20" s="20"/>
      <c r="AB20" s="20"/>
      <c r="AC20" s="20"/>
      <c r="AD20" s="20"/>
      <c r="AE20" s="20"/>
      <c r="AF20" s="20"/>
      <c r="AG20" s="20"/>
      <c r="AH20" s="20"/>
      <c r="AI20" s="20"/>
      <c r="AJ20" s="20"/>
      <c r="AK20" s="20"/>
      <c r="AL20" s="20"/>
      <c r="AM20" s="20"/>
      <c r="AN20" s="20"/>
      <c r="AO20" s="20"/>
      <c r="AP20" s="20"/>
      <c r="AQ20" s="20">
        <v>0.66666666666666663</v>
      </c>
      <c r="AR20" s="20"/>
      <c r="AS20" s="20"/>
      <c r="AT20" s="20">
        <v>0.66666666666666663</v>
      </c>
      <c r="AU20" s="20"/>
      <c r="AV20" s="20"/>
      <c r="AW20" s="20"/>
      <c r="AX20" s="20"/>
      <c r="AY20" s="20">
        <v>3.666666666666667</v>
      </c>
      <c r="AZ20" s="20"/>
      <c r="BA20" s="20"/>
      <c r="BB20" s="20">
        <v>1.75</v>
      </c>
      <c r="BC20" s="20"/>
      <c r="BD20" s="20"/>
      <c r="BE20" s="20"/>
      <c r="BF20" s="20"/>
      <c r="BG20" s="20"/>
      <c r="BH20" s="20"/>
      <c r="BI20" s="20"/>
      <c r="BJ20" s="20"/>
      <c r="BK20" s="20"/>
      <c r="BL20" s="20">
        <v>1</v>
      </c>
      <c r="BM20" s="20"/>
      <c r="BN20" s="20">
        <v>1</v>
      </c>
      <c r="BO20" s="20">
        <v>0.75</v>
      </c>
      <c r="BP20" s="20">
        <v>1</v>
      </c>
      <c r="BQ20" s="20"/>
      <c r="BR20" s="20">
        <v>1</v>
      </c>
      <c r="BS20" s="20"/>
      <c r="BT20" s="20"/>
    </row>
    <row r="21" spans="2:72">
      <c r="B21" s="21" t="s">
        <v>154</v>
      </c>
      <c r="C21" s="20"/>
      <c r="D21" s="20"/>
      <c r="E21" s="20">
        <v>0.66666666666666663</v>
      </c>
      <c r="F21" s="20"/>
      <c r="G21" s="20"/>
      <c r="H21" s="20"/>
      <c r="I21" s="20"/>
      <c r="J21" s="20"/>
      <c r="K21" s="20"/>
      <c r="L21" s="20">
        <v>1</v>
      </c>
      <c r="M21" s="20"/>
      <c r="N21" s="20"/>
      <c r="O21" s="20">
        <v>0.58333333333333337</v>
      </c>
      <c r="P21" s="20"/>
      <c r="Q21" s="20"/>
      <c r="R21" s="20">
        <v>0.41666666666666669</v>
      </c>
      <c r="S21" s="20"/>
      <c r="T21" s="20">
        <v>0.58333333333333337</v>
      </c>
      <c r="U21" s="20">
        <v>0.41666666666666669</v>
      </c>
      <c r="V21" s="20"/>
      <c r="W21" s="20"/>
      <c r="X21" s="20"/>
      <c r="Y21" s="20"/>
      <c r="Z21" s="20"/>
      <c r="AA21" s="20">
        <v>2.25</v>
      </c>
      <c r="AB21" s="20"/>
      <c r="AC21" s="20">
        <v>0.41666666666666669</v>
      </c>
      <c r="AD21" s="20"/>
      <c r="AE21" s="20"/>
      <c r="AF21" s="20"/>
      <c r="AG21" s="20"/>
      <c r="AH21" s="20"/>
      <c r="AI21" s="20"/>
      <c r="AJ21" s="20"/>
      <c r="AK21" s="20"/>
      <c r="AL21" s="20"/>
      <c r="AM21" s="20"/>
      <c r="AN21" s="20"/>
      <c r="AO21" s="20"/>
      <c r="AP21" s="20"/>
      <c r="AQ21" s="20"/>
      <c r="AR21" s="20">
        <v>0.75</v>
      </c>
      <c r="AS21" s="20"/>
      <c r="AT21" s="20"/>
      <c r="AU21" s="20"/>
      <c r="AV21" s="20"/>
      <c r="AW21" s="20">
        <v>1.5</v>
      </c>
      <c r="AX21" s="20"/>
      <c r="AY21" s="20"/>
      <c r="AZ21" s="20">
        <v>1.75</v>
      </c>
      <c r="BA21" s="20">
        <v>0.75</v>
      </c>
      <c r="BB21" s="20">
        <v>1.3333333333333333</v>
      </c>
      <c r="BC21" s="20"/>
      <c r="BD21" s="20">
        <v>1.75</v>
      </c>
      <c r="BE21" s="20">
        <v>0.91666666666666663</v>
      </c>
      <c r="BF21" s="20"/>
      <c r="BG21" s="20">
        <v>1.75</v>
      </c>
      <c r="BH21" s="20">
        <v>0.75</v>
      </c>
      <c r="BI21" s="20"/>
      <c r="BJ21" s="20"/>
      <c r="BK21" s="20"/>
      <c r="BL21" s="20"/>
      <c r="BM21" s="20"/>
      <c r="BN21" s="20"/>
      <c r="BO21" s="20"/>
      <c r="BP21" s="20"/>
      <c r="BQ21" s="20"/>
      <c r="BR21" s="20"/>
      <c r="BS21" s="20"/>
      <c r="BT21" s="20"/>
    </row>
    <row r="22" spans="2:72">
      <c r="B22" s="21" t="s">
        <v>151</v>
      </c>
      <c r="C22" s="20"/>
      <c r="D22" s="20"/>
      <c r="E22" s="20"/>
      <c r="F22" s="20"/>
      <c r="G22" s="20"/>
      <c r="H22" s="20"/>
      <c r="I22" s="20"/>
      <c r="J22" s="20"/>
      <c r="K22" s="20"/>
      <c r="L22" s="20"/>
      <c r="M22" s="20">
        <v>0.83333333333333337</v>
      </c>
      <c r="N22" s="20"/>
      <c r="O22" s="20"/>
      <c r="P22" s="20"/>
      <c r="Q22" s="20"/>
      <c r="R22" s="20"/>
      <c r="S22" s="20"/>
      <c r="T22" s="20"/>
      <c r="U22" s="20"/>
      <c r="V22" s="20"/>
      <c r="W22" s="20"/>
      <c r="X22" s="20"/>
      <c r="Y22" s="20"/>
      <c r="Z22" s="20"/>
      <c r="AA22" s="20"/>
      <c r="AB22" s="20"/>
      <c r="AC22" s="20"/>
      <c r="AD22" s="20"/>
      <c r="AE22" s="20"/>
      <c r="AF22" s="20"/>
      <c r="AG22" s="20"/>
      <c r="AH22" s="20"/>
      <c r="AI22" s="20"/>
      <c r="AJ22" s="20"/>
      <c r="AK22" s="20"/>
      <c r="AL22" s="20"/>
      <c r="AM22" s="20"/>
      <c r="AN22" s="20"/>
      <c r="AO22" s="20"/>
      <c r="AP22" s="20"/>
      <c r="AQ22" s="20"/>
      <c r="AR22" s="20"/>
      <c r="AS22" s="20"/>
      <c r="AT22" s="20"/>
      <c r="AU22" s="20"/>
      <c r="AV22" s="20"/>
      <c r="AW22" s="20"/>
      <c r="AX22" s="20"/>
      <c r="AY22" s="20"/>
      <c r="AZ22" s="20"/>
      <c r="BA22" s="20"/>
      <c r="BB22" s="20"/>
      <c r="BC22" s="20"/>
      <c r="BD22" s="20"/>
      <c r="BE22" s="20"/>
      <c r="BF22" s="20"/>
      <c r="BG22" s="20"/>
      <c r="BH22" s="20"/>
      <c r="BI22" s="20"/>
      <c r="BJ22" s="20"/>
      <c r="BK22" s="20"/>
      <c r="BL22" s="20"/>
      <c r="BM22" s="20"/>
      <c r="BN22" s="20"/>
      <c r="BO22" s="20"/>
      <c r="BP22" s="20"/>
      <c r="BQ22" s="20"/>
      <c r="BR22" s="20"/>
      <c r="BS22" s="20"/>
      <c r="BT22" s="20"/>
    </row>
    <row r="23" spans="2:72">
      <c r="B23" s="21" t="s">
        <v>150</v>
      </c>
      <c r="C23" s="20"/>
      <c r="D23" s="20"/>
      <c r="E23" s="20"/>
      <c r="F23" s="20"/>
      <c r="G23" s="20"/>
      <c r="H23" s="20"/>
      <c r="I23" s="20"/>
      <c r="J23" s="20"/>
      <c r="K23" s="20"/>
      <c r="L23" s="20"/>
      <c r="M23" s="20"/>
      <c r="N23" s="20"/>
      <c r="O23" s="20"/>
      <c r="P23" s="20"/>
      <c r="Q23" s="20"/>
      <c r="R23" s="20"/>
      <c r="S23" s="20"/>
      <c r="T23" s="20"/>
      <c r="U23" s="20"/>
      <c r="V23" s="20"/>
      <c r="W23" s="20"/>
      <c r="X23" s="20"/>
      <c r="Y23" s="20"/>
      <c r="Z23" s="20"/>
      <c r="AA23" s="20"/>
      <c r="AB23" s="20"/>
      <c r="AC23" s="20"/>
      <c r="AD23" s="20">
        <v>0.75</v>
      </c>
      <c r="AE23" s="20"/>
      <c r="AF23" s="20"/>
      <c r="AG23" s="20"/>
      <c r="AH23" s="20"/>
      <c r="AI23" s="20">
        <v>0.5</v>
      </c>
      <c r="AJ23" s="20">
        <v>2</v>
      </c>
      <c r="AK23" s="20">
        <v>1.0833333333333333</v>
      </c>
      <c r="AL23" s="20">
        <v>0.41666666666666669</v>
      </c>
      <c r="AM23" s="20">
        <v>1.1666666666666667</v>
      </c>
      <c r="AN23" s="20"/>
      <c r="AO23" s="20">
        <v>0.33333333333333331</v>
      </c>
      <c r="AP23" s="20"/>
      <c r="AQ23" s="20">
        <v>0.41666666666666669</v>
      </c>
      <c r="AR23" s="20"/>
      <c r="AS23" s="20"/>
      <c r="AT23" s="20"/>
      <c r="AU23" s="20"/>
      <c r="AV23" s="20"/>
      <c r="AW23" s="20"/>
      <c r="AX23" s="20">
        <v>0.75</v>
      </c>
      <c r="AY23" s="20"/>
      <c r="AZ23" s="20"/>
      <c r="BA23" s="20"/>
      <c r="BB23" s="20"/>
      <c r="BC23" s="20"/>
      <c r="BD23" s="20"/>
      <c r="BE23" s="20"/>
      <c r="BF23" s="20"/>
      <c r="BG23" s="20"/>
      <c r="BH23" s="20"/>
      <c r="BI23" s="20"/>
      <c r="BJ23" s="20"/>
      <c r="BK23" s="20"/>
      <c r="BL23" s="20"/>
      <c r="BM23" s="20"/>
      <c r="BN23" s="20"/>
      <c r="BO23" s="20"/>
      <c r="BP23" s="20"/>
      <c r="BQ23" s="20"/>
      <c r="BR23" s="20"/>
      <c r="BS23" s="20"/>
      <c r="BT23" s="20"/>
    </row>
    <row r="24" spans="2:72">
      <c r="B24" s="21" t="s">
        <v>143</v>
      </c>
      <c r="C24" s="20"/>
      <c r="D24" s="20"/>
      <c r="E24" s="20"/>
      <c r="F24" s="20"/>
      <c r="G24" s="20"/>
      <c r="H24" s="20"/>
      <c r="I24" s="20"/>
      <c r="J24" s="20"/>
      <c r="K24" s="20"/>
      <c r="L24" s="20"/>
      <c r="M24" s="20"/>
      <c r="N24" s="20"/>
      <c r="O24" s="20"/>
      <c r="P24" s="20"/>
      <c r="Q24" s="20"/>
      <c r="R24" s="20"/>
      <c r="S24" s="20"/>
      <c r="T24" s="20"/>
      <c r="U24" s="20"/>
      <c r="V24" s="20"/>
      <c r="W24" s="20"/>
      <c r="X24" s="20"/>
      <c r="Y24" s="20"/>
      <c r="Z24" s="20"/>
      <c r="AA24" s="20"/>
      <c r="AB24" s="20"/>
      <c r="AC24" s="20"/>
      <c r="AD24" s="20"/>
      <c r="AE24" s="20"/>
      <c r="AF24" s="20"/>
      <c r="AG24" s="20">
        <v>0.5</v>
      </c>
      <c r="AH24" s="20"/>
      <c r="AI24" s="20"/>
      <c r="AJ24" s="20"/>
      <c r="AK24" s="20"/>
      <c r="AL24" s="20">
        <v>0.25</v>
      </c>
      <c r="AM24" s="20"/>
      <c r="AN24" s="20"/>
      <c r="AO24" s="20">
        <v>0.33333333333333331</v>
      </c>
      <c r="AP24" s="20"/>
      <c r="AQ24" s="20"/>
      <c r="AR24" s="20"/>
      <c r="AS24" s="20"/>
      <c r="AT24" s="20"/>
      <c r="AU24" s="20"/>
      <c r="AV24" s="20"/>
      <c r="AW24" s="20"/>
      <c r="AX24" s="20"/>
      <c r="AY24" s="20"/>
      <c r="AZ24" s="20"/>
      <c r="BA24" s="20"/>
      <c r="BB24" s="20"/>
      <c r="BC24" s="20"/>
      <c r="BD24" s="20"/>
      <c r="BE24" s="20"/>
      <c r="BF24" s="20"/>
      <c r="BG24" s="20"/>
      <c r="BH24" s="20"/>
      <c r="BI24" s="20"/>
      <c r="BJ24" s="20"/>
      <c r="BK24" s="20"/>
      <c r="BL24" s="20"/>
      <c r="BM24" s="20"/>
      <c r="BN24" s="20"/>
      <c r="BO24" s="20"/>
      <c r="BP24" s="20"/>
      <c r="BQ24" s="20"/>
      <c r="BR24" s="20"/>
      <c r="BS24" s="20"/>
      <c r="BT24" s="20">
        <v>0.33333333333333331</v>
      </c>
    </row>
    <row r="25" spans="2:72">
      <c r="B25" s="21" t="s">
        <v>147</v>
      </c>
      <c r="C25" s="20"/>
      <c r="D25" s="20"/>
      <c r="E25" s="20"/>
      <c r="F25" s="20"/>
      <c r="G25" s="20"/>
      <c r="H25" s="20"/>
      <c r="I25" s="20"/>
      <c r="J25" s="20"/>
      <c r="K25" s="20"/>
      <c r="L25" s="20"/>
      <c r="M25" s="20"/>
      <c r="N25" s="20"/>
      <c r="O25" s="20"/>
      <c r="P25" s="20"/>
      <c r="Q25" s="20"/>
      <c r="R25" s="20"/>
      <c r="S25" s="20"/>
      <c r="T25" s="20"/>
      <c r="U25" s="20"/>
      <c r="V25" s="20"/>
      <c r="W25" s="20"/>
      <c r="X25" s="20"/>
      <c r="Y25" s="20"/>
      <c r="Z25" s="20"/>
      <c r="AA25" s="20"/>
      <c r="AB25" s="20"/>
      <c r="AC25" s="20"/>
      <c r="AD25" s="20"/>
      <c r="AE25" s="20"/>
      <c r="AF25" s="20"/>
      <c r="AG25" s="20">
        <v>0.5</v>
      </c>
      <c r="AH25" s="20"/>
      <c r="AI25" s="20"/>
      <c r="AJ25" s="20"/>
      <c r="AK25" s="20"/>
      <c r="AL25" s="20">
        <v>0.5</v>
      </c>
      <c r="AM25" s="20"/>
      <c r="AN25" s="20"/>
      <c r="AO25" s="20"/>
      <c r="AP25" s="20"/>
      <c r="AQ25" s="20"/>
      <c r="AR25" s="20"/>
      <c r="AS25" s="20"/>
      <c r="AT25" s="20"/>
      <c r="AU25" s="20"/>
      <c r="AV25" s="20"/>
      <c r="AW25" s="20"/>
      <c r="AX25" s="20"/>
      <c r="AY25" s="20"/>
      <c r="AZ25" s="20"/>
      <c r="BA25" s="20"/>
      <c r="BB25" s="20"/>
      <c r="BC25" s="20"/>
      <c r="BD25" s="20"/>
      <c r="BE25" s="20"/>
      <c r="BF25" s="20"/>
      <c r="BG25" s="20"/>
      <c r="BH25" s="20"/>
      <c r="BI25" s="20"/>
      <c r="BJ25" s="20"/>
      <c r="BK25" s="20"/>
      <c r="BL25" s="20"/>
      <c r="BM25" s="20"/>
      <c r="BN25" s="20"/>
      <c r="BO25" s="20"/>
      <c r="BP25" s="20"/>
      <c r="BQ25" s="20"/>
      <c r="BR25" s="20"/>
      <c r="BS25" s="20"/>
      <c r="BT25" s="20">
        <v>0.33333333333333331</v>
      </c>
    </row>
    <row r="26" spans="2:72">
      <c r="B26" s="21" t="s">
        <v>146</v>
      </c>
      <c r="C26" s="20"/>
      <c r="D26" s="20"/>
      <c r="E26" s="20"/>
      <c r="F26" s="20"/>
      <c r="G26" s="20"/>
      <c r="H26" s="20"/>
      <c r="I26" s="20"/>
      <c r="J26" s="20"/>
      <c r="K26" s="20"/>
      <c r="L26" s="20"/>
      <c r="M26" s="20"/>
      <c r="N26" s="20"/>
      <c r="O26" s="20"/>
      <c r="P26" s="20"/>
      <c r="Q26" s="20"/>
      <c r="R26" s="20"/>
      <c r="S26" s="20"/>
      <c r="T26" s="20"/>
      <c r="U26" s="20"/>
      <c r="V26" s="20"/>
      <c r="W26" s="20"/>
      <c r="X26" s="20"/>
      <c r="Y26" s="20"/>
      <c r="Z26" s="20"/>
      <c r="AA26" s="20"/>
      <c r="AB26" s="20"/>
      <c r="AC26" s="20"/>
      <c r="AD26" s="20"/>
      <c r="AE26" s="20"/>
      <c r="AF26" s="20"/>
      <c r="AG26" s="20"/>
      <c r="AH26" s="20"/>
      <c r="AI26" s="20"/>
      <c r="AJ26" s="20">
        <v>0.58333333333333337</v>
      </c>
      <c r="AK26" s="20"/>
      <c r="AL26" s="20">
        <v>0.33333333333333331</v>
      </c>
      <c r="AM26" s="20"/>
      <c r="AN26" s="20"/>
      <c r="AO26" s="20">
        <v>0.33333333333333331</v>
      </c>
      <c r="AP26" s="20">
        <v>1.25</v>
      </c>
      <c r="AQ26" s="20"/>
      <c r="AR26" s="20"/>
      <c r="AS26" s="20"/>
      <c r="AT26" s="20"/>
      <c r="AU26" s="20"/>
      <c r="AV26" s="20"/>
      <c r="AW26" s="20"/>
      <c r="AX26" s="20"/>
      <c r="AY26" s="20"/>
      <c r="AZ26" s="20"/>
      <c r="BA26" s="20"/>
      <c r="BB26" s="20"/>
      <c r="BC26" s="20"/>
      <c r="BD26" s="20"/>
      <c r="BE26" s="20"/>
      <c r="BF26" s="20"/>
      <c r="BG26" s="20"/>
      <c r="BH26" s="20"/>
      <c r="BI26" s="20"/>
      <c r="BJ26" s="20"/>
      <c r="BK26" s="20"/>
      <c r="BL26" s="20"/>
      <c r="BM26" s="20"/>
      <c r="BN26" s="20"/>
      <c r="BO26" s="20"/>
      <c r="BP26" s="20"/>
      <c r="BQ26" s="20"/>
      <c r="BR26" s="20"/>
      <c r="BS26" s="20"/>
      <c r="BT26" s="20"/>
    </row>
    <row r="27" spans="2:72">
      <c r="B27" s="21" t="s">
        <v>165</v>
      </c>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c r="AC27" s="20"/>
      <c r="AD27" s="20"/>
      <c r="AE27" s="20"/>
      <c r="AF27" s="20"/>
      <c r="AG27" s="20"/>
      <c r="AH27" s="20"/>
      <c r="AI27" s="20"/>
      <c r="AJ27" s="20"/>
      <c r="AK27" s="20"/>
      <c r="AL27" s="20"/>
      <c r="AM27" s="20"/>
      <c r="AN27" s="20"/>
      <c r="AO27" s="20">
        <v>0.5</v>
      </c>
      <c r="AP27" s="20"/>
      <c r="AQ27" s="20"/>
      <c r="AR27" s="20"/>
      <c r="AS27" s="20"/>
      <c r="AT27" s="20"/>
      <c r="AU27" s="20"/>
      <c r="AV27" s="20"/>
      <c r="AW27" s="20"/>
      <c r="AX27" s="20"/>
      <c r="AY27" s="20"/>
      <c r="AZ27" s="20"/>
      <c r="BA27" s="20"/>
      <c r="BB27" s="20"/>
      <c r="BC27" s="20"/>
      <c r="BD27" s="20"/>
      <c r="BE27" s="20"/>
      <c r="BF27" s="20"/>
      <c r="BG27" s="20"/>
      <c r="BH27" s="20"/>
      <c r="BI27" s="20"/>
      <c r="BJ27" s="20"/>
      <c r="BK27" s="20"/>
      <c r="BL27" s="20"/>
      <c r="BM27" s="20"/>
      <c r="BN27" s="20"/>
      <c r="BO27" s="20"/>
      <c r="BP27" s="20"/>
      <c r="BQ27" s="20"/>
      <c r="BR27" s="20"/>
      <c r="BS27" s="20"/>
      <c r="BT27" s="20"/>
    </row>
    <row r="28" spans="2:72">
      <c r="B28" s="21" t="s">
        <v>148</v>
      </c>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c r="AC28" s="20"/>
      <c r="AD28" s="20"/>
      <c r="AE28" s="20"/>
      <c r="AF28" s="20"/>
      <c r="AG28" s="20"/>
      <c r="AH28" s="20"/>
      <c r="AI28" s="20"/>
      <c r="AJ28" s="20"/>
      <c r="AK28" s="20"/>
      <c r="AL28" s="20"/>
      <c r="AM28" s="20"/>
      <c r="AN28" s="20"/>
      <c r="AO28" s="20"/>
      <c r="AP28" s="20"/>
      <c r="AQ28" s="20"/>
      <c r="AR28" s="20"/>
      <c r="AS28" s="20"/>
      <c r="AT28" s="20"/>
      <c r="AU28" s="20"/>
      <c r="AV28" s="20"/>
      <c r="AW28" s="20"/>
      <c r="AX28" s="20"/>
      <c r="AY28" s="20"/>
      <c r="AZ28" s="20"/>
      <c r="BA28" s="20"/>
      <c r="BB28" s="20"/>
      <c r="BC28" s="20"/>
      <c r="BD28" s="20"/>
      <c r="BE28" s="20">
        <v>1.3333333333333333</v>
      </c>
      <c r="BF28" s="20"/>
      <c r="BG28" s="20"/>
      <c r="BH28" s="20"/>
      <c r="BI28" s="20"/>
      <c r="BJ28" s="20"/>
      <c r="BK28" s="20"/>
      <c r="BL28" s="20"/>
      <c r="BM28" s="20"/>
      <c r="BN28" s="20"/>
      <c r="BO28" s="20"/>
      <c r="BP28" s="20"/>
      <c r="BQ28" s="20"/>
      <c r="BR28" s="20"/>
      <c r="BS28" s="20"/>
      <c r="BT28" s="20"/>
    </row>
    <row r="29" spans="2:72">
      <c r="B29" s="21" t="s">
        <v>149</v>
      </c>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c r="AC29" s="20"/>
      <c r="AD29" s="20"/>
      <c r="AE29" s="20"/>
      <c r="AF29" s="20"/>
      <c r="AG29" s="20"/>
      <c r="AH29" s="20"/>
      <c r="AI29" s="20"/>
      <c r="AJ29" s="20"/>
      <c r="AK29" s="20"/>
      <c r="AL29" s="20"/>
      <c r="AM29" s="20"/>
      <c r="AN29" s="20"/>
      <c r="AO29" s="20"/>
      <c r="AP29" s="20"/>
      <c r="AQ29" s="20"/>
      <c r="AR29" s="20"/>
      <c r="AS29" s="20"/>
      <c r="AT29" s="20"/>
      <c r="AU29" s="20"/>
      <c r="AV29" s="20"/>
      <c r="AW29" s="20"/>
      <c r="AX29" s="20"/>
      <c r="AY29" s="20"/>
      <c r="AZ29" s="20"/>
      <c r="BA29" s="20"/>
      <c r="BB29" s="20"/>
      <c r="BC29" s="20"/>
      <c r="BD29" s="20"/>
      <c r="BE29" s="20">
        <v>1.3333333333333333</v>
      </c>
      <c r="BF29" s="20"/>
      <c r="BG29" s="20"/>
      <c r="BH29" s="20"/>
      <c r="BI29" s="20"/>
      <c r="BJ29" s="20"/>
      <c r="BK29" s="20"/>
      <c r="BL29" s="20"/>
      <c r="BM29" s="20"/>
      <c r="BN29" s="20"/>
      <c r="BO29" s="20"/>
      <c r="BP29" s="20"/>
      <c r="BQ29" s="20"/>
      <c r="BR29" s="20"/>
      <c r="BS29" s="20"/>
      <c r="BT29" s="20"/>
    </row>
    <row r="30" spans="2:72">
      <c r="B30" s="21" t="s">
        <v>145</v>
      </c>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c r="AC30" s="20"/>
      <c r="AD30" s="20"/>
      <c r="AE30" s="20"/>
      <c r="AF30" s="20"/>
      <c r="AG30" s="20"/>
      <c r="AH30" s="20"/>
      <c r="AI30" s="20"/>
      <c r="AJ30" s="20"/>
      <c r="AK30" s="20"/>
      <c r="AL30" s="20"/>
      <c r="AM30" s="20"/>
      <c r="AN30" s="20"/>
      <c r="AO30" s="20"/>
      <c r="AP30" s="20"/>
      <c r="AQ30" s="20"/>
      <c r="AR30" s="20"/>
      <c r="AS30" s="20"/>
      <c r="AT30" s="20"/>
      <c r="AU30" s="20"/>
      <c r="AV30" s="20"/>
      <c r="AW30" s="20"/>
      <c r="AX30" s="20"/>
      <c r="AY30" s="20"/>
      <c r="AZ30" s="20"/>
      <c r="BA30" s="20"/>
      <c r="BB30" s="20"/>
      <c r="BC30" s="20"/>
      <c r="BD30" s="20"/>
      <c r="BE30" s="20"/>
      <c r="BF30" s="20"/>
      <c r="BG30" s="20"/>
      <c r="BH30" s="20"/>
      <c r="BI30" s="20"/>
      <c r="BJ30" s="20"/>
      <c r="BK30" s="20"/>
      <c r="BL30" s="20"/>
      <c r="BM30" s="20"/>
      <c r="BN30" s="20"/>
      <c r="BO30" s="20"/>
      <c r="BP30" s="20"/>
      <c r="BQ30" s="20"/>
      <c r="BR30" s="20"/>
      <c r="BS30" s="20"/>
      <c r="BT30" s="20">
        <v>0.33333333333333331</v>
      </c>
    </row>
    <row r="32" spans="2:72">
      <c r="B32" s="17"/>
      <c r="C32" s="17"/>
      <c r="D32" s="17"/>
    </row>
    <row r="33" spans="2:72">
      <c r="B33" s="17"/>
      <c r="C33" s="17"/>
      <c r="D33" s="17"/>
    </row>
    <row r="34" spans="2:72">
      <c r="B34" s="17"/>
      <c r="C34" s="17"/>
      <c r="D34" s="17"/>
    </row>
    <row r="35" spans="2:72">
      <c r="B35" s="17"/>
      <c r="C35" s="17"/>
      <c r="D35" s="17"/>
    </row>
    <row r="36" spans="2:72">
      <c r="B36" s="17"/>
      <c r="C36" s="17"/>
      <c r="D36" s="17"/>
    </row>
    <row r="37" spans="2:72">
      <c r="B37" s="17"/>
      <c r="C37" s="17"/>
      <c r="D37" s="17"/>
    </row>
    <row r="38" spans="2:72">
      <c r="B38" s="17"/>
      <c r="C38" s="17"/>
      <c r="D38" s="17"/>
    </row>
    <row r="39" spans="2:72">
      <c r="B39" s="17"/>
      <c r="C39" s="17"/>
      <c r="D39" s="17"/>
    </row>
    <row r="40" spans="2:72">
      <c r="B40" s="17"/>
      <c r="C40" s="17"/>
      <c r="D40" s="17"/>
    </row>
    <row r="41" spans="2:72">
      <c r="B41" s="17"/>
      <c r="C41" s="17"/>
      <c r="D41" s="17"/>
    </row>
    <row r="42" spans="2:72">
      <c r="E42" s="17"/>
      <c r="F42" s="17"/>
      <c r="G42" s="17"/>
      <c r="H42" s="17"/>
      <c r="I42" s="17"/>
      <c r="J42" s="17"/>
      <c r="K42" s="17"/>
    </row>
    <row r="43" spans="2:72">
      <c r="E43" s="17"/>
      <c r="F43" s="17"/>
      <c r="G43" s="17"/>
      <c r="H43" s="17"/>
      <c r="I43" s="17"/>
      <c r="J43" s="17"/>
      <c r="K43" s="17"/>
    </row>
    <row r="44" spans="2:72">
      <c r="E44" s="17"/>
      <c r="F44" s="17"/>
      <c r="G44" s="17"/>
      <c r="H44" s="17"/>
      <c r="I44" s="17"/>
      <c r="J44" s="17"/>
      <c r="K44" s="17"/>
    </row>
    <row r="45" spans="2:72">
      <c r="E45" s="17"/>
      <c r="F45" s="17"/>
      <c r="G45" s="17"/>
      <c r="H45" s="17"/>
      <c r="I45" s="17"/>
      <c r="J45" s="17"/>
      <c r="K45" s="17"/>
    </row>
    <row r="46" spans="2:72">
      <c r="B46" s="20" t="s">
        <v>27</v>
      </c>
      <c r="C46" s="20" t="s">
        <v>5</v>
      </c>
      <c r="D46" s="20"/>
      <c r="E46" s="20"/>
      <c r="F46" s="20"/>
      <c r="G46" s="20"/>
      <c r="H46" s="20"/>
      <c r="I46" s="20"/>
      <c r="J46" s="20"/>
      <c r="K46" s="20"/>
      <c r="L46" s="20"/>
      <c r="M46" s="20"/>
      <c r="N46" s="20"/>
      <c r="O46" s="20"/>
      <c r="P46" s="20"/>
      <c r="Q46" s="20"/>
      <c r="R46" s="20"/>
      <c r="S46" s="20"/>
      <c r="T46" s="20"/>
      <c r="U46" s="20"/>
      <c r="V46" s="20"/>
      <c r="W46" s="20"/>
      <c r="X46" s="20"/>
      <c r="Y46" s="20"/>
      <c r="Z46" s="20"/>
      <c r="AA46" s="20"/>
      <c r="AB46" s="20"/>
      <c r="AC46" s="20"/>
      <c r="AD46" s="20"/>
      <c r="AE46" s="20"/>
      <c r="AF46" s="20"/>
      <c r="AG46" s="20"/>
      <c r="AH46" s="20"/>
      <c r="AI46" s="20"/>
      <c r="AJ46" s="20"/>
      <c r="AK46" s="20"/>
      <c r="AL46" s="20"/>
      <c r="AM46" s="20"/>
      <c r="AN46" s="20"/>
      <c r="AO46" s="20"/>
      <c r="AP46" s="20"/>
      <c r="AQ46" s="20"/>
      <c r="AR46" s="20"/>
      <c r="AS46" s="20"/>
      <c r="AT46" s="20"/>
      <c r="AU46" s="20"/>
      <c r="AV46" s="20"/>
      <c r="AW46" s="20"/>
      <c r="AX46" s="20"/>
      <c r="AY46" s="20"/>
      <c r="AZ46" s="20"/>
      <c r="BA46" s="20"/>
      <c r="BB46" s="20"/>
      <c r="BC46" s="20"/>
      <c r="BD46" s="20"/>
      <c r="BE46" s="20"/>
      <c r="BF46" s="20"/>
      <c r="BG46" s="20"/>
      <c r="BH46" s="20"/>
      <c r="BI46" s="20"/>
      <c r="BJ46" s="20"/>
      <c r="BK46" s="20"/>
      <c r="BL46" s="20"/>
      <c r="BM46" s="20"/>
      <c r="BN46" s="20"/>
      <c r="BO46" s="20"/>
      <c r="BP46" s="20"/>
      <c r="BQ46" s="20"/>
      <c r="BR46" s="20"/>
      <c r="BS46" s="20"/>
      <c r="BT46" s="20"/>
    </row>
    <row r="47" spans="2:72">
      <c r="B47" s="20" t="s">
        <v>1</v>
      </c>
      <c r="C47" s="20">
        <v>44570</v>
      </c>
      <c r="D47" s="20">
        <v>44571</v>
      </c>
      <c r="E47" s="20">
        <v>44572</v>
      </c>
      <c r="F47" s="20">
        <v>44601</v>
      </c>
      <c r="G47" s="20">
        <v>44603</v>
      </c>
      <c r="H47" s="20">
        <v>44629</v>
      </c>
      <c r="I47" s="20">
        <v>44630</v>
      </c>
      <c r="J47" s="20">
        <v>44631</v>
      </c>
      <c r="K47" s="20">
        <v>44661</v>
      </c>
      <c r="L47" s="20">
        <v>44662</v>
      </c>
      <c r="M47" s="20">
        <v>44690</v>
      </c>
      <c r="N47" s="20">
        <v>44692</v>
      </c>
      <c r="O47" s="20">
        <v>44721</v>
      </c>
      <c r="P47" s="20">
        <v>44722</v>
      </c>
      <c r="Q47" s="20">
        <v>44751</v>
      </c>
      <c r="R47" s="20">
        <v>44752</v>
      </c>
      <c r="S47" s="20">
        <v>44753</v>
      </c>
      <c r="T47" s="20">
        <v>44782</v>
      </c>
      <c r="U47" s="20">
        <v>44783</v>
      </c>
      <c r="V47" s="20">
        <v>44784</v>
      </c>
      <c r="W47" s="20">
        <v>44813</v>
      </c>
      <c r="X47" s="20">
        <v>44815</v>
      </c>
      <c r="Y47" s="20">
        <v>44842</v>
      </c>
      <c r="Z47" s="20">
        <v>44843</v>
      </c>
      <c r="AA47" s="20">
        <v>44844</v>
      </c>
      <c r="AB47" s="20">
        <v>44845</v>
      </c>
      <c r="AC47" s="20">
        <v>44875</v>
      </c>
      <c r="AD47" s="20">
        <v>44876</v>
      </c>
      <c r="AE47" s="20">
        <v>44904</v>
      </c>
      <c r="AF47" s="20">
        <v>44905</v>
      </c>
      <c r="AG47" s="20">
        <v>44906</v>
      </c>
      <c r="AH47" s="20">
        <v>44817</v>
      </c>
      <c r="AI47" s="20">
        <v>44847</v>
      </c>
      <c r="AJ47" s="20">
        <v>44818</v>
      </c>
      <c r="AK47" s="20">
        <v>44848</v>
      </c>
      <c r="AL47" s="20">
        <v>44879</v>
      </c>
      <c r="AM47" s="20">
        <v>44819</v>
      </c>
      <c r="AN47" s="20">
        <v>44849</v>
      </c>
      <c r="AO47" s="20">
        <v>44880</v>
      </c>
      <c r="AP47" s="20">
        <v>44820</v>
      </c>
      <c r="AQ47" s="20">
        <v>44881</v>
      </c>
      <c r="AR47" s="20">
        <v>44821</v>
      </c>
      <c r="AS47" s="20">
        <v>44851</v>
      </c>
      <c r="AT47" s="20">
        <v>44882</v>
      </c>
      <c r="AU47" s="20">
        <v>44852</v>
      </c>
      <c r="AV47" s="20">
        <v>44883</v>
      </c>
      <c r="AW47" s="20">
        <v>44823</v>
      </c>
      <c r="AX47" s="20">
        <v>44853</v>
      </c>
      <c r="AY47" s="20">
        <v>44884</v>
      </c>
      <c r="AZ47" s="20">
        <v>44824</v>
      </c>
      <c r="BA47" s="20">
        <v>44854</v>
      </c>
      <c r="BB47" s="20">
        <v>44825</v>
      </c>
      <c r="BC47" s="20">
        <v>44855</v>
      </c>
      <c r="BD47" s="20">
        <v>44886</v>
      </c>
      <c r="BE47" s="20">
        <v>44826</v>
      </c>
      <c r="BF47" s="20">
        <v>44856</v>
      </c>
      <c r="BG47" s="20">
        <v>44887</v>
      </c>
      <c r="BH47" s="20">
        <v>44827</v>
      </c>
      <c r="BI47" s="20">
        <v>44828</v>
      </c>
      <c r="BJ47" s="20">
        <v>44859</v>
      </c>
      <c r="BK47" s="20">
        <v>44830</v>
      </c>
      <c r="BL47" s="20">
        <v>44860</v>
      </c>
      <c r="BM47" s="20">
        <v>44831</v>
      </c>
      <c r="BN47" s="20">
        <v>44861</v>
      </c>
      <c r="BO47" s="20">
        <v>44832</v>
      </c>
      <c r="BP47" s="20">
        <v>44862</v>
      </c>
      <c r="BQ47" s="20">
        <v>44833</v>
      </c>
      <c r="BR47" s="20">
        <v>44863</v>
      </c>
      <c r="BS47" s="20">
        <v>44834</v>
      </c>
      <c r="BT47" s="20">
        <v>44865</v>
      </c>
    </row>
    <row r="48" spans="2:72">
      <c r="B48" s="20" t="s">
        <v>6</v>
      </c>
      <c r="C48" s="20"/>
      <c r="D48" s="20"/>
      <c r="E48" s="20">
        <v>0.33333333333333331</v>
      </c>
      <c r="F48" s="20"/>
      <c r="G48" s="20">
        <v>0.66666666666666663</v>
      </c>
      <c r="H48" s="20"/>
      <c r="I48" s="20"/>
      <c r="J48" s="20">
        <v>0.33333333333333331</v>
      </c>
      <c r="K48" s="20"/>
      <c r="L48" s="20">
        <v>0.33333333333333331</v>
      </c>
      <c r="M48" s="20"/>
      <c r="N48" s="20">
        <v>0.75</v>
      </c>
      <c r="O48" s="20"/>
      <c r="P48" s="20"/>
      <c r="Q48" s="20"/>
      <c r="R48" s="20"/>
      <c r="S48" s="20">
        <v>0.33333333333333331</v>
      </c>
      <c r="T48" s="20"/>
      <c r="U48" s="20"/>
      <c r="V48" s="20">
        <v>0.33333333333333331</v>
      </c>
      <c r="W48" s="20"/>
      <c r="X48" s="20">
        <v>2.25</v>
      </c>
      <c r="Y48" s="20"/>
      <c r="Z48" s="20"/>
      <c r="AA48" s="20"/>
      <c r="AB48" s="20">
        <v>2.25</v>
      </c>
      <c r="AC48" s="20"/>
      <c r="AD48" s="20">
        <v>0.33333333333333331</v>
      </c>
      <c r="AE48" s="20"/>
      <c r="AF48" s="20"/>
      <c r="AG48" s="20">
        <v>1.3333333333333333</v>
      </c>
      <c r="AH48" s="20"/>
      <c r="AI48" s="20"/>
      <c r="AJ48" s="20"/>
      <c r="AK48" s="20"/>
      <c r="AL48" s="20">
        <v>1.4166666666666665</v>
      </c>
      <c r="AM48" s="20"/>
      <c r="AN48" s="20"/>
      <c r="AO48" s="20">
        <v>1.5833333333333333</v>
      </c>
      <c r="AP48" s="20"/>
      <c r="AQ48" s="20">
        <v>1.0833333333333333</v>
      </c>
      <c r="AR48" s="20"/>
      <c r="AS48" s="20"/>
      <c r="AT48" s="20">
        <v>0.75</v>
      </c>
      <c r="AU48" s="20"/>
      <c r="AV48" s="20">
        <v>0.33333333333333331</v>
      </c>
      <c r="AW48" s="20">
        <v>0.5</v>
      </c>
      <c r="AX48" s="20"/>
      <c r="AY48" s="20"/>
      <c r="AZ48" s="20"/>
      <c r="BA48" s="20">
        <v>1.1666666666666665</v>
      </c>
      <c r="BB48" s="20"/>
      <c r="BC48" s="20">
        <v>2.3333333333333335</v>
      </c>
      <c r="BD48" s="20">
        <v>0.33333333333333331</v>
      </c>
      <c r="BE48" s="20"/>
      <c r="BF48" s="20">
        <v>1.8333333333333335</v>
      </c>
      <c r="BG48" s="20">
        <v>0.33333333333333331</v>
      </c>
      <c r="BH48" s="20"/>
      <c r="BI48" s="20"/>
      <c r="BJ48" s="20">
        <v>1.0833333333333335</v>
      </c>
      <c r="BK48" s="20"/>
      <c r="BL48" s="20">
        <v>2.1666666666666665</v>
      </c>
      <c r="BM48" s="20"/>
      <c r="BN48" s="20">
        <v>1.75</v>
      </c>
      <c r="BO48" s="20"/>
      <c r="BP48" s="20">
        <v>1.75</v>
      </c>
      <c r="BQ48" s="20"/>
      <c r="BR48" s="20">
        <v>1.3333333333333333</v>
      </c>
      <c r="BS48" s="20"/>
      <c r="BT48" s="20">
        <v>0.5</v>
      </c>
    </row>
    <row r="49" spans="2:72">
      <c r="B49" s="20" t="s">
        <v>20</v>
      </c>
      <c r="C49" s="20"/>
      <c r="D49" s="20"/>
      <c r="E49" s="20"/>
      <c r="F49" s="20"/>
      <c r="G49" s="20"/>
      <c r="H49" s="20"/>
      <c r="I49" s="20"/>
      <c r="J49" s="20"/>
      <c r="K49" s="20"/>
      <c r="L49" s="20"/>
      <c r="M49" s="20"/>
      <c r="N49" s="20"/>
      <c r="O49" s="20"/>
      <c r="P49" s="20"/>
      <c r="Q49" s="20"/>
      <c r="R49" s="20"/>
      <c r="S49" s="20">
        <v>0.58333333333333337</v>
      </c>
      <c r="T49" s="20"/>
      <c r="U49" s="20"/>
      <c r="V49" s="20">
        <v>1</v>
      </c>
      <c r="W49" s="20"/>
      <c r="X49" s="20">
        <v>0.41666666666666669</v>
      </c>
      <c r="Y49" s="20"/>
      <c r="Z49" s="20"/>
      <c r="AA49" s="20">
        <v>0.5</v>
      </c>
      <c r="AB49" s="20">
        <v>0.75</v>
      </c>
      <c r="AC49" s="20"/>
      <c r="AD49" s="20"/>
      <c r="AE49" s="20"/>
      <c r="AF49" s="20"/>
      <c r="AG49" s="20"/>
      <c r="AH49" s="20"/>
      <c r="AI49" s="20"/>
      <c r="AJ49" s="20"/>
      <c r="AK49" s="20"/>
      <c r="AL49" s="20"/>
      <c r="AM49" s="20"/>
      <c r="AN49" s="20"/>
      <c r="AO49" s="20"/>
      <c r="AP49" s="20"/>
      <c r="AQ49" s="20"/>
      <c r="AR49" s="20"/>
      <c r="AS49" s="20">
        <v>0.83333333333333337</v>
      </c>
      <c r="AT49" s="20">
        <v>1.1666666666666667</v>
      </c>
      <c r="AU49" s="20">
        <v>0.66666666666666663</v>
      </c>
      <c r="AV49" s="20"/>
      <c r="AW49" s="20"/>
      <c r="AX49" s="20"/>
      <c r="AY49" s="20"/>
      <c r="AZ49" s="20">
        <v>1.6666666666666667</v>
      </c>
      <c r="BA49" s="20"/>
      <c r="BB49" s="20">
        <v>1</v>
      </c>
      <c r="BC49" s="20">
        <v>0.66666666666666663</v>
      </c>
      <c r="BD49" s="20"/>
      <c r="BE49" s="20">
        <v>0.66666666666666663</v>
      </c>
      <c r="BF49" s="20"/>
      <c r="BG49" s="20"/>
      <c r="BH49" s="20">
        <v>2.6666666666666665</v>
      </c>
      <c r="BI49" s="20">
        <v>1.2666666666666666</v>
      </c>
      <c r="BJ49" s="20"/>
      <c r="BK49" s="20"/>
      <c r="BL49" s="20"/>
      <c r="BM49" s="20">
        <v>0.41666666666666669</v>
      </c>
      <c r="BN49" s="20">
        <v>0.66666666666666663</v>
      </c>
      <c r="BO49" s="20"/>
      <c r="BP49" s="20"/>
      <c r="BQ49" s="20"/>
      <c r="BR49" s="20"/>
      <c r="BS49" s="20"/>
      <c r="BT49" s="20"/>
    </row>
    <row r="50" spans="2:72">
      <c r="B50" s="20" t="s">
        <v>10</v>
      </c>
      <c r="C50" s="20"/>
      <c r="D50" s="20">
        <v>0.75</v>
      </c>
      <c r="E50" s="20">
        <v>0.66666666666666663</v>
      </c>
      <c r="F50" s="20"/>
      <c r="G50" s="20">
        <v>3</v>
      </c>
      <c r="H50" s="20"/>
      <c r="I50" s="20">
        <v>0.33333333333333331</v>
      </c>
      <c r="J50" s="20">
        <v>1.3333333333333333</v>
      </c>
      <c r="K50" s="20">
        <v>0.75</v>
      </c>
      <c r="L50" s="20">
        <v>0.66666666666666663</v>
      </c>
      <c r="M50" s="20"/>
      <c r="N50" s="20">
        <v>1.8333333333333333</v>
      </c>
      <c r="O50" s="20"/>
      <c r="P50" s="20">
        <v>0.75</v>
      </c>
      <c r="Q50" s="20"/>
      <c r="R50" s="20">
        <v>0.83333333333333337</v>
      </c>
      <c r="S50" s="20">
        <v>0.66666666666666663</v>
      </c>
      <c r="T50" s="20"/>
      <c r="U50" s="20">
        <v>0.75</v>
      </c>
      <c r="V50" s="20">
        <v>1</v>
      </c>
      <c r="W50" s="20"/>
      <c r="X50" s="20">
        <v>0.66666666666666663</v>
      </c>
      <c r="Y50" s="20"/>
      <c r="Z50" s="20"/>
      <c r="AA50" s="20">
        <v>0.75</v>
      </c>
      <c r="AB50" s="20">
        <v>1.3333333333333333</v>
      </c>
      <c r="AC50" s="20">
        <v>0.75</v>
      </c>
      <c r="AD50" s="20">
        <v>1.8333333333333335</v>
      </c>
      <c r="AE50" s="20"/>
      <c r="AF50" s="20">
        <v>0.83333333333333326</v>
      </c>
      <c r="AG50" s="20">
        <v>0.66666666666666663</v>
      </c>
      <c r="AH50" s="20"/>
      <c r="AI50" s="20">
        <v>0.75</v>
      </c>
      <c r="AJ50" s="20"/>
      <c r="AK50" s="20">
        <v>0.75</v>
      </c>
      <c r="AL50" s="20">
        <v>1</v>
      </c>
      <c r="AM50" s="20"/>
      <c r="AN50" s="20">
        <v>0.83333333333333326</v>
      </c>
      <c r="AO50" s="20">
        <v>1.6666666666666667</v>
      </c>
      <c r="AP50" s="20"/>
      <c r="AQ50" s="20">
        <v>1.6666666666666667</v>
      </c>
      <c r="AR50" s="20"/>
      <c r="AS50" s="20">
        <v>0.75</v>
      </c>
      <c r="AT50" s="20">
        <v>0.75</v>
      </c>
      <c r="AU50" s="20">
        <v>0.66666666666666663</v>
      </c>
      <c r="AV50" s="20">
        <v>0.66666666666666663</v>
      </c>
      <c r="AW50" s="20">
        <v>0.33333333333333331</v>
      </c>
      <c r="AX50" s="20">
        <v>0.66666666666666663</v>
      </c>
      <c r="AY50" s="20">
        <v>0.66666666666666663</v>
      </c>
      <c r="AZ50" s="20">
        <v>0.33333333333333331</v>
      </c>
      <c r="BA50" s="20">
        <v>1</v>
      </c>
      <c r="BB50" s="20">
        <v>0.33333333333333331</v>
      </c>
      <c r="BC50" s="20">
        <v>0.66666666666666663</v>
      </c>
      <c r="BD50" s="20">
        <v>0.33333333333333331</v>
      </c>
      <c r="BE50" s="20">
        <v>0.66666666666666663</v>
      </c>
      <c r="BF50" s="20">
        <v>0.66666666666666663</v>
      </c>
      <c r="BG50" s="20">
        <v>0.33333333333333331</v>
      </c>
      <c r="BH50" s="20">
        <v>0.66666666666666663</v>
      </c>
      <c r="BI50" s="20">
        <v>0.33333333333333331</v>
      </c>
      <c r="BJ50" s="20">
        <v>0.66666666666666663</v>
      </c>
      <c r="BK50" s="20">
        <v>0.75</v>
      </c>
      <c r="BL50" s="20">
        <v>0.66666666666666663</v>
      </c>
      <c r="BM50" s="20">
        <v>0.41666666666666669</v>
      </c>
      <c r="BN50" s="20">
        <v>0.66666666666666663</v>
      </c>
      <c r="BO50" s="20">
        <v>0.41666666666666669</v>
      </c>
      <c r="BP50" s="20">
        <v>0.66666666666666663</v>
      </c>
      <c r="BQ50" s="20">
        <v>0.41666666666666669</v>
      </c>
      <c r="BR50" s="20">
        <v>0.66666666666666663</v>
      </c>
      <c r="BS50" s="20">
        <v>0.41666666666666669</v>
      </c>
      <c r="BT50" s="20">
        <v>0.66666666666666663</v>
      </c>
    </row>
    <row r="51" spans="2:72">
      <c r="B51" s="20" t="s">
        <v>39</v>
      </c>
      <c r="C51" s="20">
        <v>0.33333333333333331</v>
      </c>
      <c r="D51" s="20"/>
      <c r="E51" s="20"/>
      <c r="F51" s="20">
        <v>2.3333333333333335</v>
      </c>
      <c r="G51" s="20"/>
      <c r="H51" s="20">
        <v>0.33333333333333331</v>
      </c>
      <c r="I51" s="20"/>
      <c r="J51" s="20"/>
      <c r="K51" s="20"/>
      <c r="L51" s="20"/>
      <c r="M51" s="20"/>
      <c r="N51" s="20"/>
      <c r="O51" s="20"/>
      <c r="P51" s="20"/>
      <c r="Q51" s="20">
        <v>0.33333333333333331</v>
      </c>
      <c r="R51" s="20"/>
      <c r="S51" s="20"/>
      <c r="T51" s="20">
        <v>0.75</v>
      </c>
      <c r="U51" s="20"/>
      <c r="V51" s="20"/>
      <c r="W51" s="20">
        <v>0.33333333333333331</v>
      </c>
      <c r="X51" s="20"/>
      <c r="Y51" s="20">
        <v>4.166666666666667</v>
      </c>
      <c r="Z51" s="20"/>
      <c r="AA51" s="20"/>
      <c r="AB51" s="20"/>
      <c r="AC51" s="20"/>
      <c r="AD51" s="20"/>
      <c r="AE51" s="20">
        <v>2.5</v>
      </c>
      <c r="AF51" s="20"/>
      <c r="AG51" s="20"/>
      <c r="AH51" s="20">
        <v>2.833333333333333</v>
      </c>
      <c r="AI51" s="20"/>
      <c r="AJ51" s="20"/>
      <c r="AK51" s="20"/>
      <c r="AL51" s="20"/>
      <c r="AM51" s="20"/>
      <c r="AN51" s="20"/>
      <c r="AO51" s="20"/>
      <c r="AP51" s="20"/>
      <c r="AQ51" s="20"/>
      <c r="AR51" s="20"/>
      <c r="AS51" s="20"/>
      <c r="AT51" s="20"/>
      <c r="AU51" s="20"/>
      <c r="AV51" s="20"/>
      <c r="AW51" s="20"/>
      <c r="AX51" s="20"/>
      <c r="AY51" s="20"/>
      <c r="AZ51" s="20"/>
      <c r="BA51" s="20"/>
      <c r="BB51" s="20"/>
      <c r="BC51" s="20"/>
      <c r="BD51" s="20"/>
      <c r="BE51" s="20"/>
      <c r="BF51" s="20"/>
      <c r="BG51" s="20"/>
      <c r="BH51" s="20"/>
      <c r="BI51" s="20"/>
      <c r="BJ51" s="20"/>
      <c r="BK51" s="20"/>
      <c r="BL51" s="20"/>
      <c r="BM51" s="20"/>
      <c r="BN51" s="20"/>
      <c r="BO51" s="20"/>
      <c r="BP51" s="20"/>
      <c r="BQ51" s="20"/>
      <c r="BR51" s="20"/>
      <c r="BS51" s="20"/>
      <c r="BT51" s="20"/>
    </row>
    <row r="52" spans="2:72">
      <c r="B52" s="20" t="s">
        <v>42</v>
      </c>
      <c r="C52" s="20">
        <v>1.75</v>
      </c>
      <c r="D52" s="20"/>
      <c r="E52" s="20"/>
      <c r="F52" s="20">
        <v>3</v>
      </c>
      <c r="G52" s="20"/>
      <c r="H52" s="20">
        <v>1.0833333333333333</v>
      </c>
      <c r="I52" s="20"/>
      <c r="J52" s="20"/>
      <c r="K52" s="20"/>
      <c r="L52" s="20"/>
      <c r="M52" s="20">
        <v>0.91666666666666674</v>
      </c>
      <c r="N52" s="20"/>
      <c r="O52" s="20">
        <v>1.0833333333333333</v>
      </c>
      <c r="P52" s="20"/>
      <c r="Q52" s="20">
        <v>0.91666666666666674</v>
      </c>
      <c r="R52" s="20"/>
      <c r="S52" s="20"/>
      <c r="T52" s="20">
        <v>1.0833333333333333</v>
      </c>
      <c r="U52" s="20"/>
      <c r="V52" s="20"/>
      <c r="W52" s="20">
        <v>0.91666666666666674</v>
      </c>
      <c r="X52" s="20"/>
      <c r="Y52" s="20"/>
      <c r="Z52" s="20">
        <v>0.91666666666666674</v>
      </c>
      <c r="AA52" s="20"/>
      <c r="AB52" s="20"/>
      <c r="AC52" s="20"/>
      <c r="AD52" s="20"/>
      <c r="AE52" s="20">
        <v>2.8333333333333335</v>
      </c>
      <c r="AF52" s="20"/>
      <c r="AG52" s="20"/>
      <c r="AH52" s="20">
        <v>1.8333333333333335</v>
      </c>
      <c r="AI52" s="20"/>
      <c r="AJ52" s="20">
        <v>0.58333333333333337</v>
      </c>
      <c r="AK52" s="20"/>
      <c r="AL52" s="20"/>
      <c r="AM52" s="20"/>
      <c r="AN52" s="20"/>
      <c r="AO52" s="20"/>
      <c r="AP52" s="20"/>
      <c r="AQ52" s="20"/>
      <c r="AR52" s="20"/>
      <c r="AS52" s="20"/>
      <c r="AT52" s="20"/>
      <c r="AU52" s="20"/>
      <c r="AV52" s="20"/>
      <c r="AW52" s="20"/>
      <c r="AX52" s="20"/>
      <c r="AY52" s="20"/>
      <c r="AZ52" s="20"/>
      <c r="BA52" s="20"/>
      <c r="BB52" s="20"/>
      <c r="BC52" s="20"/>
      <c r="BD52" s="20"/>
      <c r="BE52" s="20"/>
      <c r="BF52" s="20"/>
      <c r="BG52" s="20"/>
      <c r="BH52" s="20"/>
      <c r="BI52" s="20"/>
      <c r="BJ52" s="20"/>
      <c r="BK52" s="20"/>
      <c r="BL52" s="20"/>
      <c r="BM52" s="20"/>
      <c r="BN52" s="20"/>
      <c r="BO52" s="20"/>
      <c r="BP52" s="20"/>
      <c r="BQ52" s="20"/>
      <c r="BR52" s="20"/>
      <c r="BS52" s="20"/>
      <c r="BT52" s="20"/>
    </row>
    <row r="53" spans="2:72">
      <c r="B53" s="20" t="s">
        <v>36</v>
      </c>
      <c r="C53" s="20"/>
      <c r="D53" s="20">
        <v>0.75</v>
      </c>
      <c r="E53" s="20">
        <v>1</v>
      </c>
      <c r="F53" s="20">
        <v>0.66666666666666663</v>
      </c>
      <c r="G53" s="20">
        <v>2.166666666666667</v>
      </c>
      <c r="H53" s="20">
        <v>0.66666666666666663</v>
      </c>
      <c r="I53" s="20">
        <v>0.66666666666666663</v>
      </c>
      <c r="J53" s="20">
        <v>1</v>
      </c>
      <c r="K53" s="20">
        <v>0.83333333333333337</v>
      </c>
      <c r="L53" s="20">
        <v>1</v>
      </c>
      <c r="M53" s="20">
        <v>0.5</v>
      </c>
      <c r="N53" s="20">
        <v>0.75</v>
      </c>
      <c r="O53" s="20">
        <v>0.5</v>
      </c>
      <c r="P53" s="20">
        <v>1</v>
      </c>
      <c r="Q53" s="20">
        <v>0.75</v>
      </c>
      <c r="R53" s="20">
        <v>0.75</v>
      </c>
      <c r="S53" s="20">
        <v>0.75</v>
      </c>
      <c r="T53" s="20">
        <v>1</v>
      </c>
      <c r="U53" s="20">
        <v>1</v>
      </c>
      <c r="V53" s="20">
        <v>0.75</v>
      </c>
      <c r="W53" s="20">
        <v>1</v>
      </c>
      <c r="X53" s="20">
        <v>0.75</v>
      </c>
      <c r="Y53" s="20">
        <v>1</v>
      </c>
      <c r="Z53" s="20"/>
      <c r="AA53" s="20">
        <v>1</v>
      </c>
      <c r="AB53" s="20">
        <v>1</v>
      </c>
      <c r="AC53" s="20">
        <v>0.83333333333333337</v>
      </c>
      <c r="AD53" s="20">
        <v>1</v>
      </c>
      <c r="AE53" s="20">
        <v>1</v>
      </c>
      <c r="AF53" s="20">
        <v>0.75</v>
      </c>
      <c r="AG53" s="20">
        <v>1</v>
      </c>
      <c r="AH53" s="20">
        <v>1</v>
      </c>
      <c r="AI53" s="20">
        <v>0.75</v>
      </c>
      <c r="AJ53" s="20"/>
      <c r="AK53" s="20">
        <v>0.75</v>
      </c>
      <c r="AL53" s="20">
        <v>1</v>
      </c>
      <c r="AM53" s="20">
        <v>1</v>
      </c>
      <c r="AN53" s="20">
        <v>0.83333333333333337</v>
      </c>
      <c r="AO53" s="20">
        <v>1</v>
      </c>
      <c r="AP53" s="20">
        <v>1</v>
      </c>
      <c r="AQ53" s="20">
        <v>1</v>
      </c>
      <c r="AR53" s="20">
        <v>1</v>
      </c>
      <c r="AS53" s="20">
        <v>1</v>
      </c>
      <c r="AT53" s="20">
        <v>1</v>
      </c>
      <c r="AU53" s="20">
        <v>1</v>
      </c>
      <c r="AV53" s="20">
        <v>1</v>
      </c>
      <c r="AW53" s="20">
        <v>0.5</v>
      </c>
      <c r="AX53" s="20">
        <v>1</v>
      </c>
      <c r="AY53" s="20">
        <v>2</v>
      </c>
      <c r="AZ53" s="20">
        <v>0.75</v>
      </c>
      <c r="BA53" s="20">
        <v>1.5</v>
      </c>
      <c r="BB53" s="20">
        <v>1</v>
      </c>
      <c r="BC53" s="20">
        <v>1</v>
      </c>
      <c r="BD53" s="20"/>
      <c r="BE53" s="20">
        <v>1</v>
      </c>
      <c r="BF53" s="20">
        <v>1</v>
      </c>
      <c r="BG53" s="20"/>
      <c r="BH53" s="20">
        <v>1</v>
      </c>
      <c r="BI53" s="20">
        <v>1</v>
      </c>
      <c r="BJ53" s="20">
        <v>1</v>
      </c>
      <c r="BK53" s="20">
        <v>1</v>
      </c>
      <c r="BL53" s="20">
        <v>1</v>
      </c>
      <c r="BM53" s="20">
        <v>1</v>
      </c>
      <c r="BN53" s="20">
        <v>1</v>
      </c>
      <c r="BO53" s="20">
        <v>1</v>
      </c>
      <c r="BP53" s="20">
        <v>1</v>
      </c>
      <c r="BQ53" s="20">
        <v>1</v>
      </c>
      <c r="BR53" s="20">
        <v>1</v>
      </c>
      <c r="BS53" s="20">
        <v>1</v>
      </c>
      <c r="BT53" s="20">
        <v>1</v>
      </c>
    </row>
    <row r="54" spans="2:72">
      <c r="B54" s="20" t="s">
        <v>96</v>
      </c>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c r="AC54" s="20"/>
      <c r="AD54" s="20"/>
      <c r="AE54" s="20"/>
      <c r="AF54" s="20"/>
      <c r="AG54" s="20"/>
      <c r="AH54" s="20"/>
      <c r="AI54" s="20"/>
      <c r="AJ54" s="20">
        <v>0.33333333333333331</v>
      </c>
      <c r="AK54" s="20"/>
      <c r="AL54" s="20"/>
      <c r="AM54" s="20">
        <v>0.66666666666666663</v>
      </c>
      <c r="AN54" s="20"/>
      <c r="AO54" s="20"/>
      <c r="AP54" s="20">
        <v>1</v>
      </c>
      <c r="AQ54" s="20"/>
      <c r="AR54" s="20">
        <v>1</v>
      </c>
      <c r="AS54" s="20"/>
      <c r="AT54" s="20"/>
      <c r="AU54" s="20"/>
      <c r="AV54" s="20"/>
      <c r="AW54" s="20">
        <v>0.33333333333333331</v>
      </c>
      <c r="AX54" s="20"/>
      <c r="AY54" s="20"/>
      <c r="AZ54" s="20">
        <v>0.33333333333333331</v>
      </c>
      <c r="BA54" s="20"/>
      <c r="BB54" s="20">
        <v>0.33333333333333331</v>
      </c>
      <c r="BC54" s="20"/>
      <c r="BD54" s="20"/>
      <c r="BE54" s="20"/>
      <c r="BF54" s="20"/>
      <c r="BG54" s="20"/>
      <c r="BH54" s="20"/>
      <c r="BI54" s="20">
        <v>0.33333333333333331</v>
      </c>
      <c r="BJ54" s="20"/>
      <c r="BK54" s="20">
        <v>0.33333333333333331</v>
      </c>
      <c r="BL54" s="20"/>
      <c r="BM54" s="20">
        <v>0.33333333333333331</v>
      </c>
      <c r="BN54" s="20"/>
      <c r="BO54" s="20">
        <v>0.33333333333333331</v>
      </c>
      <c r="BP54" s="20"/>
      <c r="BQ54" s="20">
        <v>0.33333333333333331</v>
      </c>
      <c r="BR54" s="20"/>
      <c r="BS54" s="20">
        <v>0.33333333333333331</v>
      </c>
      <c r="BT54" s="20"/>
    </row>
    <row r="55" spans="2:72">
      <c r="B55" s="20" t="s">
        <v>99</v>
      </c>
      <c r="C55" s="20"/>
      <c r="D55" s="20"/>
      <c r="E55" s="20"/>
      <c r="F55" s="20"/>
      <c r="G55" s="20"/>
      <c r="H55" s="20"/>
      <c r="I55" s="20"/>
      <c r="J55" s="20"/>
      <c r="K55" s="20"/>
      <c r="L55" s="20"/>
      <c r="M55" s="20"/>
      <c r="N55" s="20"/>
      <c r="O55" s="20"/>
      <c r="P55" s="20"/>
      <c r="Q55" s="20"/>
      <c r="R55" s="20"/>
      <c r="S55" s="20"/>
      <c r="T55" s="20"/>
      <c r="U55" s="20"/>
      <c r="V55" s="20"/>
      <c r="W55" s="20"/>
      <c r="X55" s="20"/>
      <c r="Y55" s="20"/>
      <c r="Z55" s="20"/>
      <c r="AA55" s="20"/>
      <c r="AB55" s="20"/>
      <c r="AC55" s="20"/>
      <c r="AD55" s="20"/>
      <c r="AE55" s="20"/>
      <c r="AF55" s="20"/>
      <c r="AG55" s="20"/>
      <c r="AH55" s="20"/>
      <c r="AI55" s="20"/>
      <c r="AJ55" s="20"/>
      <c r="AK55" s="20"/>
      <c r="AL55" s="20"/>
      <c r="AM55" s="20"/>
      <c r="AN55" s="20"/>
      <c r="AO55" s="20"/>
      <c r="AP55" s="20"/>
      <c r="AQ55" s="20">
        <v>0.5</v>
      </c>
      <c r="AR55" s="20"/>
      <c r="AS55" s="20"/>
      <c r="AT55" s="20"/>
      <c r="AU55" s="20"/>
      <c r="AV55" s="20"/>
      <c r="AW55" s="20"/>
      <c r="AX55" s="20"/>
      <c r="AY55" s="20"/>
      <c r="AZ55" s="20"/>
      <c r="BA55" s="20"/>
      <c r="BB55" s="20"/>
      <c r="BC55" s="20"/>
      <c r="BD55" s="20"/>
      <c r="BE55" s="20"/>
      <c r="BF55" s="20"/>
      <c r="BG55" s="20"/>
      <c r="BH55" s="20"/>
      <c r="BI55" s="20"/>
      <c r="BJ55" s="20"/>
      <c r="BK55" s="20"/>
      <c r="BL55" s="20"/>
      <c r="BM55" s="20"/>
      <c r="BN55" s="20"/>
      <c r="BO55" s="20"/>
      <c r="BP55" s="20"/>
      <c r="BQ55" s="20"/>
      <c r="BR55" s="20"/>
      <c r="BS55" s="20"/>
      <c r="BT55" s="20"/>
    </row>
    <row r="56" spans="2:72">
      <c r="B56" s="20" t="s">
        <v>157</v>
      </c>
      <c r="C56" s="20">
        <v>1.75</v>
      </c>
      <c r="D56" s="20">
        <v>1.8333333333333333</v>
      </c>
      <c r="E56" s="20">
        <v>2.1666666666666665</v>
      </c>
      <c r="F56" s="20">
        <v>1.75</v>
      </c>
      <c r="G56" s="20">
        <v>1.5</v>
      </c>
      <c r="H56" s="20">
        <v>3.5833333333333335</v>
      </c>
      <c r="I56" s="20">
        <v>1.8333333333333333</v>
      </c>
      <c r="J56" s="20">
        <v>3.8333333333333335</v>
      </c>
      <c r="K56" s="20">
        <v>2</v>
      </c>
      <c r="L56" s="20">
        <v>4.333333333333333</v>
      </c>
      <c r="M56" s="20">
        <v>1.1666666666666667</v>
      </c>
      <c r="N56" s="20">
        <v>5.833333333333333</v>
      </c>
      <c r="O56" s="20">
        <v>1.1666666666666667</v>
      </c>
      <c r="P56" s="20">
        <v>1</v>
      </c>
      <c r="Q56" s="20">
        <v>1.0833333333333335</v>
      </c>
      <c r="R56" s="20">
        <v>1.8333333333333333</v>
      </c>
      <c r="S56" s="20">
        <v>1.8333333333333333</v>
      </c>
      <c r="T56" s="20">
        <v>2</v>
      </c>
      <c r="U56" s="20">
        <v>2</v>
      </c>
      <c r="V56" s="20">
        <v>1.75</v>
      </c>
      <c r="W56" s="20">
        <v>3.916666666666667</v>
      </c>
      <c r="X56" s="20">
        <v>1.75</v>
      </c>
      <c r="Y56" s="20">
        <v>2</v>
      </c>
      <c r="Z56" s="20"/>
      <c r="AA56" s="20">
        <v>2.1666666666666665</v>
      </c>
      <c r="AB56" s="20">
        <v>2</v>
      </c>
      <c r="AC56" s="20">
        <v>1.1666666666666665</v>
      </c>
      <c r="AD56" s="20">
        <v>2.8333333333333335</v>
      </c>
      <c r="AE56" s="20">
        <v>2.1666666666666665</v>
      </c>
      <c r="AF56" s="20">
        <v>2.4166666666666665</v>
      </c>
      <c r="AG56" s="20">
        <v>2</v>
      </c>
      <c r="AH56" s="20">
        <v>1</v>
      </c>
      <c r="AI56" s="20">
        <v>3.4166666666666665</v>
      </c>
      <c r="AJ56" s="20"/>
      <c r="AK56" s="20">
        <v>3</v>
      </c>
      <c r="AL56" s="20">
        <v>3</v>
      </c>
      <c r="AM56" s="20">
        <v>5.1666666666666661</v>
      </c>
      <c r="AN56" s="20">
        <v>2.9166666666666665</v>
      </c>
      <c r="AO56" s="20">
        <v>2.6666666666666665</v>
      </c>
      <c r="AP56" s="20">
        <v>3.5</v>
      </c>
      <c r="AQ56" s="20">
        <v>1.8333333333333333</v>
      </c>
      <c r="AR56" s="20">
        <v>3.5</v>
      </c>
      <c r="AS56" s="20">
        <v>3.0833333333333335</v>
      </c>
      <c r="AT56" s="20">
        <v>2.1666666666666665</v>
      </c>
      <c r="AU56" s="20">
        <v>1.75</v>
      </c>
      <c r="AV56" s="20">
        <v>6.666666666666667</v>
      </c>
      <c r="AW56" s="20">
        <v>5.083333333333333</v>
      </c>
      <c r="AX56" s="20">
        <v>0.25</v>
      </c>
      <c r="AY56" s="20">
        <v>6</v>
      </c>
      <c r="AZ56" s="20">
        <v>4.583333333333333</v>
      </c>
      <c r="BA56" s="20">
        <v>0.75</v>
      </c>
      <c r="BB56" s="20">
        <v>1.8333333333333333</v>
      </c>
      <c r="BC56" s="20">
        <v>1</v>
      </c>
      <c r="BD56" s="20"/>
      <c r="BE56" s="20">
        <v>2.25</v>
      </c>
      <c r="BF56" s="20">
        <v>2.1666666666666665</v>
      </c>
      <c r="BG56" s="20"/>
      <c r="BH56" s="20">
        <v>0.75</v>
      </c>
      <c r="BI56" s="20">
        <v>3</v>
      </c>
      <c r="BJ56" s="20">
        <v>2.1666666666666665</v>
      </c>
      <c r="BK56" s="20">
        <v>2</v>
      </c>
      <c r="BL56" s="20">
        <v>0.66666666666666663</v>
      </c>
      <c r="BM56" s="20">
        <v>3.5</v>
      </c>
      <c r="BN56" s="20">
        <v>2.3333333333333335</v>
      </c>
      <c r="BO56" s="20">
        <v>2.333333333333333</v>
      </c>
      <c r="BP56" s="20">
        <v>3.8333333333333335</v>
      </c>
      <c r="BQ56" s="20">
        <v>2</v>
      </c>
      <c r="BR56" s="20">
        <v>4</v>
      </c>
      <c r="BS56" s="20">
        <v>2.25</v>
      </c>
      <c r="BT56" s="20">
        <v>1.8333333333333333</v>
      </c>
    </row>
    <row r="57" spans="2:72">
      <c r="B57" s="20" t="s">
        <v>142</v>
      </c>
      <c r="C57" s="20">
        <v>2.8333333333333335</v>
      </c>
      <c r="D57" s="20">
        <v>5.5</v>
      </c>
      <c r="E57" s="20">
        <v>3.3333333333333335</v>
      </c>
      <c r="F57" s="20">
        <v>3.25</v>
      </c>
      <c r="G57" s="20">
        <v>3.3333333333333335</v>
      </c>
      <c r="H57" s="20">
        <v>3.0833333333333335</v>
      </c>
      <c r="I57" s="20">
        <v>5.666666666666667</v>
      </c>
      <c r="J57" s="20">
        <v>2.5</v>
      </c>
      <c r="K57" s="20">
        <v>5.1666666666666661</v>
      </c>
      <c r="L57" s="20">
        <v>2</v>
      </c>
      <c r="M57" s="20">
        <v>2.5</v>
      </c>
      <c r="N57" s="20">
        <v>1.5</v>
      </c>
      <c r="O57" s="20">
        <v>2.5</v>
      </c>
      <c r="P57" s="20">
        <v>5.6666666666666661</v>
      </c>
      <c r="Q57" s="20"/>
      <c r="R57" s="20">
        <v>5.5</v>
      </c>
      <c r="S57" s="20">
        <v>5.666666666666667</v>
      </c>
      <c r="T57" s="20">
        <v>4.25</v>
      </c>
      <c r="U57" s="20">
        <v>5</v>
      </c>
      <c r="V57" s="20">
        <v>4.8333333333333339</v>
      </c>
      <c r="W57" s="20">
        <v>2.75</v>
      </c>
      <c r="X57" s="20">
        <v>5.1666666666666661</v>
      </c>
      <c r="Y57" s="20">
        <v>2.5</v>
      </c>
      <c r="Z57" s="20"/>
      <c r="AA57" s="20">
        <v>3</v>
      </c>
      <c r="AB57" s="20">
        <v>4.666666666666667</v>
      </c>
      <c r="AC57" s="20">
        <v>6</v>
      </c>
      <c r="AD57" s="20">
        <v>4.333333333333333</v>
      </c>
      <c r="AE57" s="20">
        <v>2.5</v>
      </c>
      <c r="AF57" s="20">
        <v>4.5</v>
      </c>
      <c r="AG57" s="20">
        <v>3.3333333333333335</v>
      </c>
      <c r="AH57" s="20">
        <v>3.6666666666666665</v>
      </c>
      <c r="AI57" s="20">
        <v>4</v>
      </c>
      <c r="AJ57" s="20"/>
      <c r="AK57" s="20">
        <v>4.166666666666667</v>
      </c>
      <c r="AL57" s="20">
        <v>3.3333333333333335</v>
      </c>
      <c r="AM57" s="20">
        <v>2</v>
      </c>
      <c r="AN57" s="20">
        <v>4</v>
      </c>
      <c r="AO57" s="20">
        <v>3</v>
      </c>
      <c r="AP57" s="20">
        <v>3.5</v>
      </c>
      <c r="AQ57" s="20">
        <v>3.75</v>
      </c>
      <c r="AR57" s="20">
        <v>3.5</v>
      </c>
      <c r="AS57" s="20">
        <v>4</v>
      </c>
      <c r="AT57" s="20">
        <v>3.3333333333333335</v>
      </c>
      <c r="AU57" s="20">
        <v>5.416666666666667</v>
      </c>
      <c r="AV57" s="20"/>
      <c r="AW57" s="20">
        <v>0.75</v>
      </c>
      <c r="AX57" s="20">
        <v>6.666666666666667</v>
      </c>
      <c r="AY57" s="20">
        <v>4</v>
      </c>
      <c r="AZ57" s="20">
        <v>1.8333333333333333</v>
      </c>
      <c r="BA57" s="20">
        <v>14.166666666666668</v>
      </c>
      <c r="BB57" s="20">
        <v>2</v>
      </c>
      <c r="BC57" s="20">
        <v>5.833333333333333</v>
      </c>
      <c r="BD57" s="20"/>
      <c r="BE57" s="20">
        <v>3.25</v>
      </c>
      <c r="BF57" s="20">
        <v>4.5</v>
      </c>
      <c r="BG57" s="20"/>
      <c r="BH57" s="20">
        <v>4.9166666666666661</v>
      </c>
      <c r="BI57" s="20">
        <v>3.5</v>
      </c>
      <c r="BJ57" s="20">
        <v>4.5</v>
      </c>
      <c r="BK57" s="20">
        <v>4.75</v>
      </c>
      <c r="BL57" s="20">
        <v>5</v>
      </c>
      <c r="BM57" s="20">
        <v>3.583333333333333</v>
      </c>
      <c r="BN57" s="20">
        <v>3.3333333333333335</v>
      </c>
      <c r="BO57" s="20">
        <v>4</v>
      </c>
      <c r="BP57" s="20">
        <v>3.3333333333333335</v>
      </c>
      <c r="BQ57" s="20">
        <v>4.75</v>
      </c>
      <c r="BR57" s="20">
        <v>3.3333333333333335</v>
      </c>
      <c r="BS57" s="20">
        <v>4.666666666666667</v>
      </c>
      <c r="BT57" s="20">
        <v>3.833333333333333</v>
      </c>
    </row>
    <row r="58" spans="2:72">
      <c r="B58" s="20" t="s">
        <v>159</v>
      </c>
      <c r="C58" s="20">
        <v>4.916666666666667</v>
      </c>
      <c r="D58" s="20">
        <v>7</v>
      </c>
      <c r="E58" s="20">
        <v>6.416666666666667</v>
      </c>
      <c r="F58" s="20">
        <v>3.833333333333333</v>
      </c>
      <c r="G58" s="20">
        <v>13.416666666666666</v>
      </c>
      <c r="H58" s="20">
        <v>2.583333333333333</v>
      </c>
      <c r="I58" s="20"/>
      <c r="J58" s="20">
        <v>7.333333333333333</v>
      </c>
      <c r="K58" s="20">
        <v>5.5833333333333339</v>
      </c>
      <c r="L58" s="20">
        <v>5.7499999999999991</v>
      </c>
      <c r="M58" s="20">
        <v>5.666666666666667</v>
      </c>
      <c r="N58" s="20">
        <v>5.25</v>
      </c>
      <c r="O58" s="20">
        <v>3.916666666666667</v>
      </c>
      <c r="P58" s="20">
        <v>5.5000000000000009</v>
      </c>
      <c r="Q58" s="20">
        <v>3.7500000000000004</v>
      </c>
      <c r="R58" s="20">
        <v>4.916666666666667</v>
      </c>
      <c r="S58" s="20">
        <v>6.583333333333333</v>
      </c>
      <c r="T58" s="20">
        <v>5.75</v>
      </c>
      <c r="U58" s="20">
        <v>4.416666666666667</v>
      </c>
      <c r="V58" s="20">
        <v>5.9999999999999991</v>
      </c>
      <c r="W58" s="20">
        <v>6.833333333333333</v>
      </c>
      <c r="X58" s="20">
        <v>4.333333333333333</v>
      </c>
      <c r="Y58" s="20"/>
      <c r="Z58" s="20">
        <v>6.4166666666666661</v>
      </c>
      <c r="AA58" s="20">
        <v>5.5</v>
      </c>
      <c r="AB58" s="20">
        <v>11.083333333333334</v>
      </c>
      <c r="AC58" s="20">
        <v>5.9166666666666679</v>
      </c>
      <c r="AD58" s="20">
        <v>5.083333333333333</v>
      </c>
      <c r="AE58" s="20">
        <v>4.25</v>
      </c>
      <c r="AF58" s="20">
        <v>4.5</v>
      </c>
      <c r="AG58" s="20">
        <v>4.9999999999999991</v>
      </c>
      <c r="AH58" s="20">
        <v>4.75</v>
      </c>
      <c r="AI58" s="20">
        <v>6.75</v>
      </c>
      <c r="AJ58" s="20">
        <v>3.1666666666666665</v>
      </c>
      <c r="AK58" s="20">
        <v>6.833333333333333</v>
      </c>
      <c r="AL58" s="20">
        <v>4.9999999999999991</v>
      </c>
      <c r="AM58" s="20">
        <v>4.583333333333333</v>
      </c>
      <c r="AN58" s="20">
        <v>6.666666666666667</v>
      </c>
      <c r="AO58" s="20">
        <v>3.75</v>
      </c>
      <c r="AP58" s="20">
        <v>5.583333333333333</v>
      </c>
      <c r="AQ58" s="20">
        <v>4.916666666666667</v>
      </c>
      <c r="AR58" s="20">
        <v>6.4166666666666661</v>
      </c>
      <c r="AS58" s="20">
        <v>5.8333333333333339</v>
      </c>
      <c r="AT58" s="20">
        <v>5.833333333333333</v>
      </c>
      <c r="AU58" s="20">
        <v>3.5833333333333335</v>
      </c>
      <c r="AV58" s="20">
        <v>7.333333333333333</v>
      </c>
      <c r="AW58" s="20">
        <v>5.666666666666667</v>
      </c>
      <c r="AX58" s="20">
        <v>5.7499999999999991</v>
      </c>
      <c r="AY58" s="20"/>
      <c r="AZ58" s="20">
        <v>4.9999999999999991</v>
      </c>
      <c r="BA58" s="20">
        <v>3.7499999999999996</v>
      </c>
      <c r="BB58" s="20">
        <v>6.5</v>
      </c>
      <c r="BC58" s="20">
        <v>3.9166666666666665</v>
      </c>
      <c r="BD58" s="20">
        <v>4.75</v>
      </c>
      <c r="BE58" s="20">
        <v>5.166666666666667</v>
      </c>
      <c r="BF58" s="20">
        <v>5.5</v>
      </c>
      <c r="BG58" s="20">
        <v>4.75</v>
      </c>
      <c r="BH58" s="20">
        <v>3.916666666666667</v>
      </c>
      <c r="BI58" s="20">
        <v>2.666666666666667</v>
      </c>
      <c r="BJ58" s="20">
        <v>6.166666666666667</v>
      </c>
      <c r="BK58" s="20">
        <v>3.583333333333333</v>
      </c>
      <c r="BL58" s="20">
        <v>4.583333333333333</v>
      </c>
      <c r="BM58" s="20">
        <v>3.4166666666666665</v>
      </c>
      <c r="BN58" s="20">
        <v>4.4166666666666661</v>
      </c>
      <c r="BO58" s="20">
        <v>4</v>
      </c>
      <c r="BP58" s="20">
        <v>6.166666666666667</v>
      </c>
      <c r="BQ58" s="20">
        <v>5.2499999999999991</v>
      </c>
      <c r="BR58" s="20">
        <v>5.333333333333333</v>
      </c>
      <c r="BS58" s="20">
        <v>6.4166666666666661</v>
      </c>
      <c r="BT58" s="20">
        <v>7.1666666666666661</v>
      </c>
    </row>
    <row r="59" spans="2:72">
      <c r="B59" s="20" t="s">
        <v>160</v>
      </c>
      <c r="C59" s="20">
        <v>1.6666666666666665</v>
      </c>
      <c r="D59" s="20">
        <v>0.5</v>
      </c>
      <c r="E59" s="20">
        <v>0.58333333333333337</v>
      </c>
      <c r="F59" s="20">
        <v>1.9166666666666665</v>
      </c>
      <c r="G59" s="20"/>
      <c r="H59" s="20">
        <v>4</v>
      </c>
      <c r="I59" s="20"/>
      <c r="J59" s="20">
        <v>0.33333333333333331</v>
      </c>
      <c r="K59" s="20">
        <v>1.75</v>
      </c>
      <c r="L59" s="20">
        <v>1.5</v>
      </c>
      <c r="M59" s="20">
        <v>1.5</v>
      </c>
      <c r="N59" s="20">
        <v>0.58333333333333337</v>
      </c>
      <c r="O59" s="20">
        <v>0.75</v>
      </c>
      <c r="P59" s="20">
        <v>1.75</v>
      </c>
      <c r="Q59" s="20">
        <v>0.75</v>
      </c>
      <c r="R59" s="20">
        <v>1.916666666666667</v>
      </c>
      <c r="S59" s="20"/>
      <c r="T59" s="20">
        <v>0.75</v>
      </c>
      <c r="U59" s="20">
        <v>2.6666666666666665</v>
      </c>
      <c r="V59" s="20">
        <v>0.33333333333333331</v>
      </c>
      <c r="W59" s="20">
        <v>0.75</v>
      </c>
      <c r="X59" s="20">
        <v>0.33333333333333331</v>
      </c>
      <c r="Y59" s="20"/>
      <c r="Z59" s="20">
        <v>0.75</v>
      </c>
      <c r="AA59" s="20">
        <v>0.58333333333333337</v>
      </c>
      <c r="AB59" s="20">
        <v>1.1666666666666665</v>
      </c>
      <c r="AC59" s="20"/>
      <c r="AD59" s="20">
        <v>0.33333333333333331</v>
      </c>
      <c r="AE59" s="20">
        <v>0.91666666666666663</v>
      </c>
      <c r="AF59" s="20">
        <v>0.5</v>
      </c>
      <c r="AG59" s="20">
        <v>0.66666666666666663</v>
      </c>
      <c r="AH59" s="20">
        <v>2.4166666666666665</v>
      </c>
      <c r="AI59" s="20">
        <v>0.83333333333333337</v>
      </c>
      <c r="AJ59" s="20">
        <v>1.3333333333333333</v>
      </c>
      <c r="AK59" s="20"/>
      <c r="AL59" s="20"/>
      <c r="AM59" s="20">
        <v>1.3333333333333333</v>
      </c>
      <c r="AN59" s="20">
        <v>0.33333333333333331</v>
      </c>
      <c r="AO59" s="20">
        <v>0.66666666666666663</v>
      </c>
      <c r="AP59" s="20">
        <v>0.83333333333333337</v>
      </c>
      <c r="AQ59" s="20">
        <v>0.66666666666666663</v>
      </c>
      <c r="AR59" s="20">
        <v>0.83333333333333337</v>
      </c>
      <c r="AS59" s="20"/>
      <c r="AT59" s="20">
        <v>0.41666666666666669</v>
      </c>
      <c r="AU59" s="20"/>
      <c r="AV59" s="20"/>
      <c r="AW59" s="20">
        <v>0.91666666666666663</v>
      </c>
      <c r="AX59" s="20">
        <v>0.75</v>
      </c>
      <c r="AY59" s="20"/>
      <c r="AZ59" s="20"/>
      <c r="BA59" s="20">
        <v>1.7499999999999998</v>
      </c>
      <c r="BB59" s="20"/>
      <c r="BC59" s="20">
        <v>1</v>
      </c>
      <c r="BD59" s="20">
        <v>0.66666666666666663</v>
      </c>
      <c r="BE59" s="20"/>
      <c r="BF59" s="20"/>
      <c r="BG59" s="20">
        <v>0.66666666666666663</v>
      </c>
      <c r="BH59" s="20">
        <v>2.1666666666666665</v>
      </c>
      <c r="BI59" s="20">
        <v>4.833333333333333</v>
      </c>
      <c r="BJ59" s="20"/>
      <c r="BK59" s="20">
        <v>3.833333333333333</v>
      </c>
      <c r="BL59" s="20">
        <v>0.58333333333333337</v>
      </c>
      <c r="BM59" s="20">
        <v>3.5</v>
      </c>
      <c r="BN59" s="20">
        <v>0.41666666666666669</v>
      </c>
      <c r="BO59" s="20">
        <v>3.6666666666666665</v>
      </c>
      <c r="BP59" s="20">
        <v>0.41666666666666669</v>
      </c>
      <c r="BQ59" s="20">
        <v>1.9166666666666665</v>
      </c>
      <c r="BR59" s="20">
        <v>0.41666666666666669</v>
      </c>
      <c r="BS59" s="20">
        <v>0.58333333333333337</v>
      </c>
      <c r="BT59" s="20"/>
    </row>
    <row r="60" spans="2:72">
      <c r="B60" s="20" t="s">
        <v>144</v>
      </c>
      <c r="C60" s="20"/>
      <c r="D60" s="20">
        <v>0.5</v>
      </c>
      <c r="E60" s="20">
        <v>0.5</v>
      </c>
      <c r="F60" s="20"/>
      <c r="G60" s="20">
        <v>0.5</v>
      </c>
      <c r="H60" s="20"/>
      <c r="I60" s="20"/>
      <c r="J60" s="20"/>
      <c r="K60" s="20">
        <v>0.83333333333333337</v>
      </c>
      <c r="L60" s="20"/>
      <c r="M60" s="20">
        <v>0.75</v>
      </c>
      <c r="N60" s="20"/>
      <c r="O60" s="20">
        <v>5.5</v>
      </c>
      <c r="P60" s="20"/>
      <c r="Q60" s="20">
        <v>8.8333333333333321</v>
      </c>
      <c r="R60" s="20"/>
      <c r="S60" s="20"/>
      <c r="T60" s="20"/>
      <c r="U60" s="20">
        <v>0.41666666666666669</v>
      </c>
      <c r="V60" s="20"/>
      <c r="W60" s="20"/>
      <c r="X60" s="20"/>
      <c r="Y60" s="20"/>
      <c r="Z60" s="20"/>
      <c r="AA60" s="20">
        <v>0.41666666666666669</v>
      </c>
      <c r="AB60" s="20"/>
      <c r="AC60" s="20">
        <v>1.5</v>
      </c>
      <c r="AD60" s="20"/>
      <c r="AE60" s="20"/>
      <c r="AF60" s="20"/>
      <c r="AG60" s="20">
        <v>0.5</v>
      </c>
      <c r="AH60" s="20"/>
      <c r="AI60" s="20"/>
      <c r="AJ60" s="20">
        <v>0.58333333333333337</v>
      </c>
      <c r="AK60" s="20"/>
      <c r="AL60" s="20">
        <v>0.33333333333333331</v>
      </c>
      <c r="AM60" s="20">
        <v>1.0833333333333333</v>
      </c>
      <c r="AN60" s="20"/>
      <c r="AO60" s="20"/>
      <c r="AP60" s="20">
        <v>0.41666666666666669</v>
      </c>
      <c r="AQ60" s="20"/>
      <c r="AR60" s="20"/>
      <c r="AS60" s="20">
        <v>0.66666666666666663</v>
      </c>
      <c r="AT60" s="20"/>
      <c r="AU60" s="20">
        <v>0.5</v>
      </c>
      <c r="AV60" s="20"/>
      <c r="AW60" s="20">
        <v>1.5833333333333335</v>
      </c>
      <c r="AX60" s="20">
        <v>0.33333333333333331</v>
      </c>
      <c r="AY60" s="20"/>
      <c r="AZ60" s="20">
        <v>0.58333333333333337</v>
      </c>
      <c r="BA60" s="20"/>
      <c r="BB60" s="20">
        <v>0.66666666666666663</v>
      </c>
      <c r="BC60" s="20"/>
      <c r="BD60" s="20"/>
      <c r="BE60" s="20">
        <v>0.58333333333333337</v>
      </c>
      <c r="BF60" s="20"/>
      <c r="BG60" s="20"/>
      <c r="BH60" s="20"/>
      <c r="BI60" s="20"/>
      <c r="BJ60" s="20">
        <v>0.5</v>
      </c>
      <c r="BK60" s="20">
        <v>0.33333333333333331</v>
      </c>
      <c r="BL60" s="20">
        <v>0.5</v>
      </c>
      <c r="BM60" s="20">
        <v>0.5</v>
      </c>
      <c r="BN60" s="20">
        <v>0.5</v>
      </c>
      <c r="BO60" s="20">
        <v>0.5</v>
      </c>
      <c r="BP60" s="20">
        <v>0.5</v>
      </c>
      <c r="BQ60" s="20">
        <v>0.5</v>
      </c>
      <c r="BR60" s="20">
        <v>0.5</v>
      </c>
      <c r="BS60" s="20">
        <v>0.5</v>
      </c>
      <c r="BT60" s="20">
        <v>0.33333333333333331</v>
      </c>
    </row>
    <row r="61" spans="2:72">
      <c r="B61" s="20" t="s">
        <v>152</v>
      </c>
      <c r="C61" s="20"/>
      <c r="D61" s="20">
        <v>0.58333333333333337</v>
      </c>
      <c r="E61" s="20">
        <v>0.41666666666666669</v>
      </c>
      <c r="F61" s="20"/>
      <c r="G61" s="20">
        <v>0.83333333333333337</v>
      </c>
      <c r="H61" s="20"/>
      <c r="I61" s="20"/>
      <c r="J61" s="20">
        <v>0.41666666666666669</v>
      </c>
      <c r="K61" s="20">
        <v>0.75</v>
      </c>
      <c r="L61" s="20">
        <v>0.41666666666666669</v>
      </c>
      <c r="M61" s="20"/>
      <c r="N61" s="20">
        <v>0.41666666666666669</v>
      </c>
      <c r="O61" s="20"/>
      <c r="P61" s="20">
        <v>0.75</v>
      </c>
      <c r="Q61" s="20"/>
      <c r="R61" s="20">
        <v>0.75</v>
      </c>
      <c r="S61" s="20">
        <v>0.41666666666666669</v>
      </c>
      <c r="T61" s="20"/>
      <c r="U61" s="20">
        <v>0.58333333333333337</v>
      </c>
      <c r="V61" s="20">
        <v>0.41666666666666669</v>
      </c>
      <c r="W61" s="20"/>
      <c r="X61" s="20">
        <v>0.33333333333333331</v>
      </c>
      <c r="Y61" s="20"/>
      <c r="Z61" s="20"/>
      <c r="AA61" s="20">
        <v>0.75</v>
      </c>
      <c r="AB61" s="20">
        <v>0.83333333333333337</v>
      </c>
      <c r="AC61" s="20">
        <v>0.58333333333333337</v>
      </c>
      <c r="AD61" s="20">
        <v>0.41666666666666669</v>
      </c>
      <c r="AE61" s="20"/>
      <c r="AF61" s="20">
        <v>0.5</v>
      </c>
      <c r="AG61" s="20">
        <v>0.91666666666666663</v>
      </c>
      <c r="AH61" s="20"/>
      <c r="AI61" s="20"/>
      <c r="AJ61" s="20"/>
      <c r="AK61" s="20"/>
      <c r="AL61" s="20">
        <v>0.41666666666666669</v>
      </c>
      <c r="AM61" s="20"/>
      <c r="AN61" s="20">
        <v>0.75</v>
      </c>
      <c r="AO61" s="20">
        <v>1.0833333333333333</v>
      </c>
      <c r="AP61" s="20"/>
      <c r="AQ61" s="20">
        <v>0.66666666666666663</v>
      </c>
      <c r="AR61" s="20"/>
      <c r="AS61" s="20">
        <v>0.66666666666666663</v>
      </c>
      <c r="AT61" s="20">
        <v>0.41666666666666669</v>
      </c>
      <c r="AU61" s="20">
        <v>1.75</v>
      </c>
      <c r="AV61" s="20">
        <v>0.33333333333333331</v>
      </c>
      <c r="AW61" s="20"/>
      <c r="AX61" s="20">
        <v>0.66666666666666663</v>
      </c>
      <c r="AY61" s="20"/>
      <c r="AZ61" s="20"/>
      <c r="BA61" s="20">
        <v>0.41666666666666669</v>
      </c>
      <c r="BB61" s="20">
        <v>0.33333333333333331</v>
      </c>
      <c r="BC61" s="20">
        <v>0.41666666666666669</v>
      </c>
      <c r="BD61" s="20">
        <v>0.41666666666666669</v>
      </c>
      <c r="BE61" s="20"/>
      <c r="BF61" s="20">
        <v>0.41666666666666669</v>
      </c>
      <c r="BG61" s="20">
        <v>0.41666666666666669</v>
      </c>
      <c r="BH61" s="20"/>
      <c r="BI61" s="20"/>
      <c r="BJ61" s="20">
        <v>0.41666666666666669</v>
      </c>
      <c r="BK61" s="20"/>
      <c r="BL61" s="20">
        <v>0.41666666666666669</v>
      </c>
      <c r="BM61" s="20">
        <v>0.33333333333333331</v>
      </c>
      <c r="BN61" s="20">
        <v>0.41666666666666669</v>
      </c>
      <c r="BO61" s="20"/>
      <c r="BP61" s="20">
        <v>0.41666666666666669</v>
      </c>
      <c r="BQ61" s="20">
        <v>0.58333333333333337</v>
      </c>
      <c r="BR61" s="20">
        <v>0.41666666666666669</v>
      </c>
      <c r="BS61" s="20">
        <v>0.75</v>
      </c>
      <c r="BT61" s="20">
        <v>0.41666666666666669</v>
      </c>
    </row>
    <row r="62" spans="2:72">
      <c r="B62" s="20" t="s">
        <v>158</v>
      </c>
      <c r="C62" s="20"/>
      <c r="D62" s="20"/>
      <c r="E62" s="20">
        <v>0.66666666666666663</v>
      </c>
      <c r="F62" s="20"/>
      <c r="G62" s="20"/>
      <c r="H62" s="20">
        <v>0.33333333333333331</v>
      </c>
      <c r="I62" s="20"/>
      <c r="J62" s="20"/>
      <c r="K62" s="20"/>
      <c r="L62" s="20"/>
      <c r="M62" s="20"/>
      <c r="N62" s="20"/>
      <c r="O62" s="20"/>
      <c r="P62" s="20"/>
      <c r="Q62" s="20"/>
      <c r="R62" s="20"/>
      <c r="S62" s="20"/>
      <c r="T62" s="20"/>
      <c r="U62" s="20"/>
      <c r="V62" s="20">
        <v>0.41666666666666669</v>
      </c>
      <c r="W62" s="20"/>
      <c r="X62" s="20"/>
      <c r="Y62" s="20"/>
      <c r="Z62" s="20"/>
      <c r="AA62" s="20"/>
      <c r="AB62" s="20"/>
      <c r="AC62" s="20"/>
      <c r="AD62" s="20"/>
      <c r="AE62" s="20"/>
      <c r="AF62" s="20"/>
      <c r="AG62" s="20"/>
      <c r="AH62" s="20"/>
      <c r="AI62" s="20"/>
      <c r="AJ62" s="20"/>
      <c r="AK62" s="20"/>
      <c r="AL62" s="20"/>
      <c r="AM62" s="20"/>
      <c r="AN62" s="20"/>
      <c r="AO62" s="20"/>
      <c r="AP62" s="20"/>
      <c r="AQ62" s="20">
        <v>0.66666666666666663</v>
      </c>
      <c r="AR62" s="20"/>
      <c r="AS62" s="20"/>
      <c r="AT62" s="20">
        <v>0.66666666666666663</v>
      </c>
      <c r="AU62" s="20"/>
      <c r="AV62" s="20"/>
      <c r="AW62" s="20"/>
      <c r="AX62" s="20"/>
      <c r="AY62" s="20">
        <v>3.666666666666667</v>
      </c>
      <c r="AZ62" s="20"/>
      <c r="BA62" s="20"/>
      <c r="BB62" s="20">
        <v>1.75</v>
      </c>
      <c r="BC62" s="20"/>
      <c r="BD62" s="20"/>
      <c r="BE62" s="20"/>
      <c r="BF62" s="20"/>
      <c r="BG62" s="20"/>
      <c r="BH62" s="20"/>
      <c r="BI62" s="20"/>
      <c r="BJ62" s="20"/>
      <c r="BK62" s="20"/>
      <c r="BL62" s="20">
        <v>1</v>
      </c>
      <c r="BM62" s="20"/>
      <c r="BN62" s="20">
        <v>1</v>
      </c>
      <c r="BO62" s="20">
        <v>0.75</v>
      </c>
      <c r="BP62" s="20">
        <v>1</v>
      </c>
      <c r="BQ62" s="20"/>
      <c r="BR62" s="20">
        <v>1</v>
      </c>
      <c r="BS62" s="20"/>
      <c r="BT62" s="20"/>
    </row>
    <row r="63" spans="2:72">
      <c r="B63" s="20" t="s">
        <v>154</v>
      </c>
      <c r="C63" s="20"/>
      <c r="D63" s="20"/>
      <c r="E63" s="20">
        <v>0.66666666666666663</v>
      </c>
      <c r="F63" s="20"/>
      <c r="G63" s="20"/>
      <c r="H63" s="20"/>
      <c r="I63" s="20"/>
      <c r="J63" s="20"/>
      <c r="K63" s="20"/>
      <c r="L63" s="20">
        <v>1</v>
      </c>
      <c r="M63" s="20"/>
      <c r="N63" s="20"/>
      <c r="O63" s="20">
        <v>0.58333333333333337</v>
      </c>
      <c r="P63" s="20"/>
      <c r="Q63" s="20"/>
      <c r="R63" s="20">
        <v>0.41666666666666669</v>
      </c>
      <c r="S63" s="20"/>
      <c r="T63" s="20">
        <v>0.58333333333333337</v>
      </c>
      <c r="U63" s="20">
        <v>0.41666666666666669</v>
      </c>
      <c r="V63" s="20"/>
      <c r="W63" s="20"/>
      <c r="X63" s="20"/>
      <c r="Y63" s="20"/>
      <c r="Z63" s="20"/>
      <c r="AA63" s="20">
        <v>2.25</v>
      </c>
      <c r="AB63" s="20"/>
      <c r="AC63" s="20">
        <v>0.41666666666666669</v>
      </c>
      <c r="AD63" s="20"/>
      <c r="AE63" s="20"/>
      <c r="AF63" s="20"/>
      <c r="AG63" s="20"/>
      <c r="AH63" s="20"/>
      <c r="AI63" s="20"/>
      <c r="AJ63" s="20"/>
      <c r="AK63" s="20"/>
      <c r="AL63" s="20"/>
      <c r="AM63" s="20"/>
      <c r="AN63" s="20"/>
      <c r="AO63" s="20"/>
      <c r="AP63" s="20"/>
      <c r="AQ63" s="20"/>
      <c r="AR63" s="20">
        <v>0.75</v>
      </c>
      <c r="AS63" s="20"/>
      <c r="AT63" s="20"/>
      <c r="AU63" s="20"/>
      <c r="AV63" s="20"/>
      <c r="AW63" s="20">
        <v>1.5</v>
      </c>
      <c r="AX63" s="20"/>
      <c r="AY63" s="20"/>
      <c r="AZ63" s="20">
        <v>1.75</v>
      </c>
      <c r="BA63" s="20">
        <v>0.75</v>
      </c>
      <c r="BB63" s="20">
        <v>1.3333333333333333</v>
      </c>
      <c r="BC63" s="20"/>
      <c r="BD63" s="20">
        <v>1.75</v>
      </c>
      <c r="BE63" s="20">
        <v>0.91666666666666663</v>
      </c>
      <c r="BF63" s="20"/>
      <c r="BG63" s="20">
        <v>1.75</v>
      </c>
      <c r="BH63" s="20">
        <v>0.75</v>
      </c>
      <c r="BI63" s="20"/>
      <c r="BJ63" s="20"/>
      <c r="BK63" s="20"/>
      <c r="BL63" s="20"/>
      <c r="BM63" s="20"/>
      <c r="BN63" s="20"/>
      <c r="BO63" s="20"/>
      <c r="BP63" s="20"/>
      <c r="BQ63" s="20"/>
      <c r="BR63" s="20"/>
      <c r="BS63" s="20"/>
      <c r="BT63" s="20"/>
    </row>
    <row r="64" spans="2:72">
      <c r="B64" s="20" t="s">
        <v>151</v>
      </c>
      <c r="C64" s="20"/>
      <c r="D64" s="20"/>
      <c r="E64" s="20"/>
      <c r="F64" s="20"/>
      <c r="G64" s="20"/>
      <c r="H64" s="20"/>
      <c r="I64" s="20"/>
      <c r="J64" s="20"/>
      <c r="K64" s="20"/>
      <c r="L64" s="20"/>
      <c r="M64" s="20">
        <v>0.83333333333333337</v>
      </c>
      <c r="N64" s="20"/>
      <c r="O64" s="20"/>
      <c r="P64" s="20"/>
      <c r="Q64" s="20"/>
      <c r="R64" s="20"/>
      <c r="S64" s="20"/>
      <c r="T64" s="20"/>
      <c r="U64" s="20"/>
      <c r="V64" s="20"/>
      <c r="W64" s="20"/>
      <c r="X64" s="20"/>
      <c r="Y64" s="20"/>
      <c r="Z64" s="20"/>
      <c r="AA64" s="20"/>
      <c r="AB64" s="20"/>
      <c r="AC64" s="20"/>
      <c r="AD64" s="20"/>
      <c r="AE64" s="20"/>
      <c r="AF64" s="20"/>
      <c r="AG64" s="20"/>
      <c r="AH64" s="20"/>
      <c r="AI64" s="20"/>
      <c r="AJ64" s="20"/>
      <c r="AK64" s="20"/>
      <c r="AL64" s="20"/>
      <c r="AM64" s="20"/>
      <c r="AN64" s="20"/>
      <c r="AO64" s="20"/>
      <c r="AP64" s="20"/>
      <c r="AQ64" s="20"/>
      <c r="AR64" s="20"/>
      <c r="AS64" s="20"/>
      <c r="AT64" s="20"/>
      <c r="AU64" s="20"/>
      <c r="AV64" s="20"/>
      <c r="AW64" s="20"/>
      <c r="AX64" s="20"/>
      <c r="AY64" s="20"/>
      <c r="AZ64" s="20"/>
      <c r="BA64" s="20"/>
      <c r="BB64" s="20"/>
      <c r="BC64" s="20"/>
      <c r="BD64" s="20"/>
      <c r="BE64" s="20"/>
      <c r="BF64" s="20"/>
      <c r="BG64" s="20"/>
      <c r="BH64" s="20"/>
      <c r="BI64" s="20"/>
      <c r="BJ64" s="20"/>
      <c r="BK64" s="20"/>
      <c r="BL64" s="20"/>
      <c r="BM64" s="20"/>
      <c r="BN64" s="20"/>
      <c r="BO64" s="20"/>
      <c r="BP64" s="20"/>
      <c r="BQ64" s="20"/>
      <c r="BR64" s="20"/>
      <c r="BS64" s="20"/>
      <c r="BT64" s="20"/>
    </row>
    <row r="65" spans="1:72">
      <c r="B65" s="20" t="s">
        <v>150</v>
      </c>
      <c r="C65" s="20"/>
      <c r="D65" s="20"/>
      <c r="E65" s="20"/>
      <c r="F65" s="20"/>
      <c r="G65" s="20"/>
      <c r="H65" s="20"/>
      <c r="I65" s="20"/>
      <c r="J65" s="20"/>
      <c r="K65" s="20"/>
      <c r="L65" s="20"/>
      <c r="M65" s="20"/>
      <c r="N65" s="20"/>
      <c r="O65" s="20"/>
      <c r="P65" s="20"/>
      <c r="Q65" s="20"/>
      <c r="R65" s="20"/>
      <c r="S65" s="20"/>
      <c r="T65" s="20"/>
      <c r="U65" s="20"/>
      <c r="V65" s="20"/>
      <c r="W65" s="20"/>
      <c r="X65" s="20"/>
      <c r="Y65" s="20"/>
      <c r="Z65" s="20"/>
      <c r="AA65" s="20"/>
      <c r="AB65" s="20"/>
      <c r="AC65" s="20"/>
      <c r="AD65" s="20">
        <v>0.75</v>
      </c>
      <c r="AE65" s="20"/>
      <c r="AF65" s="20"/>
      <c r="AG65" s="20"/>
      <c r="AH65" s="20"/>
      <c r="AI65" s="20">
        <v>0.5</v>
      </c>
      <c r="AJ65" s="20">
        <v>2</v>
      </c>
      <c r="AK65" s="20">
        <v>1.0833333333333333</v>
      </c>
      <c r="AL65" s="20">
        <v>0.41666666666666669</v>
      </c>
      <c r="AM65" s="20">
        <v>1.1666666666666667</v>
      </c>
      <c r="AN65" s="20"/>
      <c r="AO65" s="20">
        <v>0.33333333333333331</v>
      </c>
      <c r="AP65" s="20"/>
      <c r="AQ65" s="20">
        <v>0.41666666666666669</v>
      </c>
      <c r="AR65" s="20"/>
      <c r="AS65" s="20"/>
      <c r="AT65" s="20"/>
      <c r="AU65" s="20"/>
      <c r="AV65" s="20"/>
      <c r="AW65" s="20"/>
      <c r="AX65" s="20">
        <v>0.75</v>
      </c>
      <c r="AY65" s="20"/>
      <c r="AZ65" s="20"/>
      <c r="BA65" s="20"/>
      <c r="BB65" s="20"/>
      <c r="BC65" s="20"/>
      <c r="BD65" s="20"/>
      <c r="BE65" s="20"/>
      <c r="BF65" s="20"/>
      <c r="BG65" s="20"/>
      <c r="BH65" s="20"/>
      <c r="BI65" s="20"/>
      <c r="BJ65" s="20"/>
      <c r="BK65" s="20"/>
      <c r="BL65" s="20"/>
      <c r="BM65" s="20"/>
      <c r="BN65" s="20"/>
      <c r="BO65" s="20"/>
      <c r="BP65" s="20"/>
      <c r="BQ65" s="20"/>
      <c r="BR65" s="20"/>
      <c r="BS65" s="20"/>
      <c r="BT65" s="20"/>
    </row>
    <row r="66" spans="1:72">
      <c r="B66" s="20" t="s">
        <v>143</v>
      </c>
      <c r="C66" s="20"/>
      <c r="D66" s="20"/>
      <c r="E66" s="20"/>
      <c r="F66" s="20"/>
      <c r="G66" s="20"/>
      <c r="H66" s="20"/>
      <c r="I66" s="20"/>
      <c r="J66" s="20"/>
      <c r="K66" s="20"/>
      <c r="L66" s="20"/>
      <c r="M66" s="20"/>
      <c r="N66" s="20"/>
      <c r="O66" s="20"/>
      <c r="P66" s="20"/>
      <c r="Q66" s="20"/>
      <c r="R66" s="20"/>
      <c r="S66" s="20"/>
      <c r="T66" s="20"/>
      <c r="U66" s="20"/>
      <c r="V66" s="20"/>
      <c r="W66" s="20"/>
      <c r="X66" s="20"/>
      <c r="Y66" s="20"/>
      <c r="Z66" s="20"/>
      <c r="AA66" s="20"/>
      <c r="AB66" s="20"/>
      <c r="AC66" s="20"/>
      <c r="AD66" s="20"/>
      <c r="AE66" s="20"/>
      <c r="AF66" s="20"/>
      <c r="AG66" s="20">
        <v>0.5</v>
      </c>
      <c r="AH66" s="20"/>
      <c r="AI66" s="20"/>
      <c r="AJ66" s="20"/>
      <c r="AK66" s="20"/>
      <c r="AL66" s="20">
        <v>0.25</v>
      </c>
      <c r="AM66" s="20"/>
      <c r="AN66" s="20"/>
      <c r="AO66" s="20">
        <v>0.33333333333333331</v>
      </c>
      <c r="AP66" s="20"/>
      <c r="AQ66" s="20"/>
      <c r="AR66" s="20"/>
      <c r="AS66" s="20"/>
      <c r="AT66" s="20"/>
      <c r="AU66" s="20"/>
      <c r="AV66" s="20"/>
      <c r="AW66" s="20"/>
      <c r="AX66" s="20"/>
      <c r="AY66" s="20"/>
      <c r="AZ66" s="20"/>
      <c r="BA66" s="20"/>
      <c r="BB66" s="20"/>
      <c r="BC66" s="20"/>
      <c r="BD66" s="20"/>
      <c r="BE66" s="20"/>
      <c r="BF66" s="20"/>
      <c r="BG66" s="20"/>
      <c r="BH66" s="20"/>
      <c r="BI66" s="20"/>
      <c r="BJ66" s="20"/>
      <c r="BK66" s="20"/>
      <c r="BL66" s="20"/>
      <c r="BM66" s="20"/>
      <c r="BN66" s="20"/>
      <c r="BO66" s="20"/>
      <c r="BP66" s="20"/>
      <c r="BQ66" s="20"/>
      <c r="BR66" s="20"/>
      <c r="BS66" s="20"/>
      <c r="BT66" s="20">
        <v>0.33333333333333331</v>
      </c>
    </row>
    <row r="67" spans="1:72">
      <c r="A67" s="17"/>
      <c r="B67" s="20" t="s">
        <v>147</v>
      </c>
      <c r="C67" s="20"/>
      <c r="D67" s="20"/>
      <c r="E67" s="20"/>
      <c r="F67" s="20"/>
      <c r="G67" s="20"/>
      <c r="H67" s="20"/>
      <c r="I67" s="20"/>
      <c r="J67" s="20"/>
      <c r="K67" s="20"/>
      <c r="L67" s="20"/>
      <c r="M67" s="20"/>
      <c r="N67" s="20"/>
      <c r="O67" s="20"/>
      <c r="P67" s="20"/>
      <c r="Q67" s="20"/>
      <c r="R67" s="20"/>
      <c r="S67" s="20"/>
      <c r="T67" s="20"/>
      <c r="U67" s="20"/>
      <c r="V67" s="20"/>
      <c r="W67" s="20"/>
      <c r="X67" s="20"/>
      <c r="Y67" s="20"/>
      <c r="Z67" s="20"/>
      <c r="AA67" s="20"/>
      <c r="AB67" s="20"/>
      <c r="AC67" s="20"/>
      <c r="AD67" s="20"/>
      <c r="AE67" s="20"/>
      <c r="AF67" s="20"/>
      <c r="AG67" s="20">
        <v>0.5</v>
      </c>
      <c r="AH67" s="20"/>
      <c r="AI67" s="20"/>
      <c r="AJ67" s="20"/>
      <c r="AK67" s="20"/>
      <c r="AL67" s="20">
        <v>0.5</v>
      </c>
      <c r="AM67" s="20"/>
      <c r="AN67" s="20"/>
      <c r="AO67" s="20"/>
      <c r="AP67" s="20"/>
      <c r="AQ67" s="20"/>
      <c r="AR67" s="20"/>
      <c r="AS67" s="20"/>
      <c r="AT67" s="20"/>
      <c r="AU67" s="20"/>
      <c r="AV67" s="20"/>
      <c r="AW67" s="20"/>
      <c r="AX67" s="20"/>
      <c r="AY67" s="20"/>
      <c r="AZ67" s="20"/>
      <c r="BA67" s="20"/>
      <c r="BB67" s="20"/>
      <c r="BC67" s="20"/>
      <c r="BD67" s="20"/>
      <c r="BE67" s="20"/>
      <c r="BF67" s="20"/>
      <c r="BG67" s="20"/>
      <c r="BH67" s="20"/>
      <c r="BI67" s="20"/>
      <c r="BJ67" s="20"/>
      <c r="BK67" s="20"/>
      <c r="BL67" s="20"/>
      <c r="BM67" s="20"/>
      <c r="BN67" s="20"/>
      <c r="BO67" s="20"/>
      <c r="BP67" s="20"/>
      <c r="BQ67" s="20"/>
      <c r="BR67" s="20"/>
      <c r="BS67" s="20"/>
      <c r="BT67" s="20">
        <v>0.33333333333333331</v>
      </c>
    </row>
    <row r="68" spans="1:72">
      <c r="A68" s="17"/>
      <c r="B68" s="20" t="s">
        <v>146</v>
      </c>
      <c r="C68" s="20"/>
      <c r="D68" s="20"/>
      <c r="E68" s="20"/>
      <c r="F68" s="20"/>
      <c r="G68" s="20"/>
      <c r="H68" s="20"/>
      <c r="I68" s="20"/>
      <c r="J68" s="20"/>
      <c r="K68" s="20"/>
      <c r="L68" s="20"/>
      <c r="M68" s="20"/>
      <c r="N68" s="20"/>
      <c r="O68" s="20"/>
      <c r="P68" s="20"/>
      <c r="Q68" s="20"/>
      <c r="R68" s="20"/>
      <c r="S68" s="20"/>
      <c r="T68" s="20"/>
      <c r="U68" s="20"/>
      <c r="V68" s="20"/>
      <c r="W68" s="20"/>
      <c r="X68" s="20"/>
      <c r="Y68" s="20"/>
      <c r="Z68" s="20"/>
      <c r="AA68" s="20"/>
      <c r="AB68" s="20"/>
      <c r="AC68" s="20"/>
      <c r="AD68" s="20"/>
      <c r="AE68" s="20"/>
      <c r="AF68" s="20"/>
      <c r="AG68" s="20"/>
      <c r="AH68" s="20"/>
      <c r="AI68" s="20"/>
      <c r="AJ68" s="20">
        <v>0.58333333333333337</v>
      </c>
      <c r="AK68" s="20"/>
      <c r="AL68" s="20">
        <v>0.33333333333333331</v>
      </c>
      <c r="AM68" s="20"/>
      <c r="AN68" s="20"/>
      <c r="AO68" s="20">
        <v>0.33333333333333331</v>
      </c>
      <c r="AP68" s="20">
        <v>1.25</v>
      </c>
      <c r="AQ68" s="20"/>
      <c r="AR68" s="20"/>
      <c r="AS68" s="20"/>
      <c r="AT68" s="20"/>
      <c r="AU68" s="20"/>
      <c r="AV68" s="20"/>
      <c r="AW68" s="20"/>
      <c r="AX68" s="20"/>
      <c r="AY68" s="20"/>
      <c r="AZ68" s="20"/>
      <c r="BA68" s="20"/>
      <c r="BB68" s="20"/>
      <c r="BC68" s="20"/>
      <c r="BD68" s="20"/>
      <c r="BE68" s="20"/>
      <c r="BF68" s="20"/>
      <c r="BG68" s="20"/>
      <c r="BH68" s="20"/>
      <c r="BI68" s="20"/>
      <c r="BJ68" s="20"/>
      <c r="BK68" s="20"/>
      <c r="BL68" s="20"/>
      <c r="BM68" s="20"/>
      <c r="BN68" s="20"/>
      <c r="BO68" s="20"/>
      <c r="BP68" s="20"/>
      <c r="BQ68" s="20"/>
      <c r="BR68" s="20"/>
      <c r="BS68" s="20"/>
      <c r="BT68" s="20"/>
    </row>
    <row r="69" spans="1:72">
      <c r="A69" s="17"/>
      <c r="B69" s="20" t="s">
        <v>165</v>
      </c>
      <c r="C69" s="20"/>
      <c r="D69" s="20"/>
      <c r="E69" s="20"/>
      <c r="F69" s="20"/>
      <c r="G69" s="20"/>
      <c r="H69" s="20"/>
      <c r="I69" s="20"/>
      <c r="J69" s="20"/>
      <c r="K69" s="20"/>
      <c r="L69" s="20"/>
      <c r="M69" s="20"/>
      <c r="N69" s="20"/>
      <c r="O69" s="20"/>
      <c r="P69" s="20"/>
      <c r="Q69" s="20"/>
      <c r="R69" s="20"/>
      <c r="S69" s="20"/>
      <c r="T69" s="20"/>
      <c r="U69" s="20"/>
      <c r="V69" s="20"/>
      <c r="W69" s="20"/>
      <c r="X69" s="20"/>
      <c r="Y69" s="20"/>
      <c r="Z69" s="20"/>
      <c r="AA69" s="20"/>
      <c r="AB69" s="20"/>
      <c r="AC69" s="20"/>
      <c r="AD69" s="20"/>
      <c r="AE69" s="20"/>
      <c r="AF69" s="20"/>
      <c r="AG69" s="20"/>
      <c r="AH69" s="20"/>
      <c r="AI69" s="20"/>
      <c r="AJ69" s="20"/>
      <c r="AK69" s="20"/>
      <c r="AL69" s="20"/>
      <c r="AM69" s="20"/>
      <c r="AN69" s="20"/>
      <c r="AO69" s="20">
        <v>0.5</v>
      </c>
      <c r="AP69" s="20"/>
      <c r="AQ69" s="20"/>
      <c r="AR69" s="20"/>
      <c r="AS69" s="20"/>
      <c r="AT69" s="20"/>
      <c r="AU69" s="20"/>
      <c r="AV69" s="20"/>
      <c r="AW69" s="20"/>
      <c r="AX69" s="20"/>
      <c r="AY69" s="20"/>
      <c r="AZ69" s="20"/>
      <c r="BA69" s="20"/>
      <c r="BB69" s="20"/>
      <c r="BC69" s="20"/>
      <c r="BD69" s="20"/>
      <c r="BE69" s="20"/>
      <c r="BF69" s="20"/>
      <c r="BG69" s="20"/>
      <c r="BH69" s="20"/>
      <c r="BI69" s="20"/>
      <c r="BJ69" s="20"/>
      <c r="BK69" s="20"/>
      <c r="BL69" s="20"/>
      <c r="BM69" s="20"/>
      <c r="BN69" s="20"/>
      <c r="BO69" s="20"/>
      <c r="BP69" s="20"/>
      <c r="BQ69" s="20"/>
      <c r="BR69" s="20"/>
      <c r="BS69" s="20"/>
      <c r="BT69" s="20"/>
    </row>
    <row r="70" spans="1:72">
      <c r="A70" s="17"/>
      <c r="B70" s="20" t="s">
        <v>148</v>
      </c>
      <c r="C70" s="20"/>
      <c r="D70" s="20"/>
      <c r="E70" s="20"/>
      <c r="F70" s="20"/>
      <c r="G70" s="20"/>
      <c r="H70" s="20"/>
      <c r="I70" s="20"/>
      <c r="J70" s="20"/>
      <c r="K70" s="20"/>
      <c r="L70" s="20"/>
      <c r="M70" s="20"/>
      <c r="N70" s="20"/>
      <c r="O70" s="20"/>
      <c r="P70" s="20"/>
      <c r="Q70" s="20"/>
      <c r="R70" s="20"/>
      <c r="S70" s="20"/>
      <c r="T70" s="20"/>
      <c r="U70" s="20"/>
      <c r="V70" s="20"/>
      <c r="W70" s="20"/>
      <c r="X70" s="20"/>
      <c r="Y70" s="20"/>
      <c r="Z70" s="20"/>
      <c r="AA70" s="20"/>
      <c r="AB70" s="20"/>
      <c r="AC70" s="20"/>
      <c r="AD70" s="20"/>
      <c r="AE70" s="20"/>
      <c r="AF70" s="20"/>
      <c r="AG70" s="20"/>
      <c r="AH70" s="20"/>
      <c r="AI70" s="20"/>
      <c r="AJ70" s="20"/>
      <c r="AK70" s="20"/>
      <c r="AL70" s="20"/>
      <c r="AM70" s="20"/>
      <c r="AN70" s="20"/>
      <c r="AO70" s="20"/>
      <c r="AP70" s="20"/>
      <c r="AQ70" s="20"/>
      <c r="AR70" s="20"/>
      <c r="AS70" s="20"/>
      <c r="AT70" s="20"/>
      <c r="AU70" s="20"/>
      <c r="AV70" s="20"/>
      <c r="AW70" s="20"/>
      <c r="AX70" s="20"/>
      <c r="AY70" s="20"/>
      <c r="AZ70" s="20"/>
      <c r="BA70" s="20"/>
      <c r="BB70" s="20"/>
      <c r="BC70" s="20"/>
      <c r="BD70" s="20"/>
      <c r="BE70" s="20">
        <v>1.3333333333333333</v>
      </c>
      <c r="BF70" s="20"/>
      <c r="BG70" s="20"/>
      <c r="BH70" s="20"/>
      <c r="BI70" s="20"/>
      <c r="BJ70" s="20"/>
      <c r="BK70" s="20"/>
      <c r="BL70" s="20"/>
      <c r="BM70" s="20"/>
      <c r="BN70" s="20"/>
      <c r="BO70" s="20"/>
      <c r="BP70" s="20"/>
      <c r="BQ70" s="20"/>
      <c r="BR70" s="20"/>
      <c r="BS70" s="20"/>
      <c r="BT70" s="20"/>
    </row>
    <row r="71" spans="1:72">
      <c r="A71" s="17"/>
      <c r="B71" s="20" t="s">
        <v>149</v>
      </c>
      <c r="C71" s="20"/>
      <c r="D71" s="20"/>
      <c r="E71" s="20"/>
      <c r="F71" s="20"/>
      <c r="G71" s="20"/>
      <c r="H71" s="20"/>
      <c r="I71" s="20"/>
      <c r="J71" s="20"/>
      <c r="K71" s="20"/>
      <c r="L71" s="20"/>
      <c r="M71" s="20"/>
      <c r="N71" s="20"/>
      <c r="O71" s="20"/>
      <c r="P71" s="20"/>
      <c r="Q71" s="20"/>
      <c r="R71" s="20"/>
      <c r="S71" s="20"/>
      <c r="T71" s="20"/>
      <c r="U71" s="20"/>
      <c r="V71" s="20"/>
      <c r="W71" s="20"/>
      <c r="X71" s="20"/>
      <c r="Y71" s="20"/>
      <c r="Z71" s="20"/>
      <c r="AA71" s="20"/>
      <c r="AB71" s="20"/>
      <c r="AC71" s="20"/>
      <c r="AD71" s="20"/>
      <c r="AE71" s="20"/>
      <c r="AF71" s="20"/>
      <c r="AG71" s="20"/>
      <c r="AH71" s="20"/>
      <c r="AI71" s="20"/>
      <c r="AJ71" s="20"/>
      <c r="AK71" s="20"/>
      <c r="AL71" s="20"/>
      <c r="AM71" s="20"/>
      <c r="AN71" s="20"/>
      <c r="AO71" s="20"/>
      <c r="AP71" s="20"/>
      <c r="AQ71" s="20"/>
      <c r="AR71" s="20"/>
      <c r="AS71" s="20"/>
      <c r="AT71" s="20"/>
      <c r="AU71" s="20"/>
      <c r="AV71" s="20"/>
      <c r="AW71" s="20"/>
      <c r="AX71" s="20"/>
      <c r="AY71" s="20"/>
      <c r="AZ71" s="20"/>
      <c r="BA71" s="20"/>
      <c r="BB71" s="20"/>
      <c r="BC71" s="20"/>
      <c r="BD71" s="20"/>
      <c r="BE71" s="20">
        <v>1.3333333333333333</v>
      </c>
      <c r="BF71" s="20"/>
      <c r="BG71" s="20"/>
      <c r="BH71" s="20"/>
      <c r="BI71" s="20"/>
      <c r="BJ71" s="20"/>
      <c r="BK71" s="20"/>
      <c r="BL71" s="20"/>
      <c r="BM71" s="20"/>
      <c r="BN71" s="20"/>
      <c r="BO71" s="20"/>
      <c r="BP71" s="20"/>
      <c r="BQ71" s="20"/>
      <c r="BR71" s="20"/>
      <c r="BS71" s="20"/>
      <c r="BT71" s="20"/>
    </row>
    <row r="72" spans="1:72">
      <c r="A72" s="17"/>
      <c r="B72" s="20" t="s">
        <v>145</v>
      </c>
      <c r="C72" s="20"/>
      <c r="D72" s="20"/>
      <c r="E72" s="20"/>
      <c r="F72" s="20"/>
      <c r="G72" s="20"/>
      <c r="H72" s="20"/>
      <c r="I72" s="20"/>
      <c r="J72" s="20"/>
      <c r="K72" s="20"/>
      <c r="L72" s="20"/>
      <c r="M72" s="20"/>
      <c r="N72" s="20"/>
      <c r="O72" s="20"/>
      <c r="P72" s="20"/>
      <c r="Q72" s="20"/>
      <c r="R72" s="20"/>
      <c r="S72" s="20"/>
      <c r="T72" s="20"/>
      <c r="U72" s="20"/>
      <c r="V72" s="20"/>
      <c r="W72" s="20"/>
      <c r="X72" s="20"/>
      <c r="Y72" s="20"/>
      <c r="Z72" s="20"/>
      <c r="AA72" s="20"/>
      <c r="AB72" s="20"/>
      <c r="AC72" s="20"/>
      <c r="AD72" s="20"/>
      <c r="AE72" s="20"/>
      <c r="AF72" s="20"/>
      <c r="AG72" s="20"/>
      <c r="AH72" s="20"/>
      <c r="AI72" s="20"/>
      <c r="AJ72" s="20"/>
      <c r="AK72" s="20"/>
      <c r="AL72" s="20"/>
      <c r="AM72" s="20"/>
      <c r="AN72" s="20"/>
      <c r="AO72" s="20"/>
      <c r="AP72" s="20"/>
      <c r="AQ72" s="20"/>
      <c r="AR72" s="20"/>
      <c r="AS72" s="20"/>
      <c r="AT72" s="20"/>
      <c r="AU72" s="20"/>
      <c r="AV72" s="20"/>
      <c r="AW72" s="20"/>
      <c r="AX72" s="20"/>
      <c r="AY72" s="20"/>
      <c r="AZ72" s="20"/>
      <c r="BA72" s="20"/>
      <c r="BB72" s="20"/>
      <c r="BC72" s="20"/>
      <c r="BD72" s="20"/>
      <c r="BE72" s="20"/>
      <c r="BF72" s="20"/>
      <c r="BG72" s="20"/>
      <c r="BH72" s="20"/>
      <c r="BI72" s="20"/>
      <c r="BJ72" s="20"/>
      <c r="BK72" s="20"/>
      <c r="BL72" s="20"/>
      <c r="BM72" s="20"/>
      <c r="BN72" s="20"/>
      <c r="BO72" s="20"/>
      <c r="BP72" s="20"/>
      <c r="BQ72" s="20"/>
      <c r="BR72" s="20"/>
      <c r="BS72" s="20"/>
      <c r="BT72" s="20">
        <v>0.33333333333333331</v>
      </c>
    </row>
    <row r="73" spans="1:72">
      <c r="A73" s="17"/>
      <c r="B73" s="17"/>
      <c r="C73" s="17"/>
      <c r="D73" s="17"/>
      <c r="E73" s="17"/>
      <c r="F73" s="17"/>
      <c r="G73" s="17"/>
      <c r="H73" s="17"/>
      <c r="I73" s="17"/>
      <c r="J73" s="17"/>
      <c r="K73" s="17"/>
    </row>
    <row r="74" spans="1:72">
      <c r="A74" s="17"/>
      <c r="B74" s="17"/>
      <c r="C74" s="17"/>
      <c r="D74" s="17"/>
      <c r="E74" s="17"/>
      <c r="F74" s="17"/>
      <c r="G74" s="17"/>
      <c r="H74" s="17"/>
      <c r="I74" s="17"/>
      <c r="J74" s="17"/>
      <c r="K74" s="17"/>
    </row>
    <row r="82" spans="1:21">
      <c r="G82" s="17"/>
      <c r="H82" s="17"/>
    </row>
    <row r="83" spans="1:21">
      <c r="G83" s="17"/>
      <c r="H83" s="17"/>
    </row>
    <row r="86" spans="1:21">
      <c r="C86" s="17"/>
      <c r="D86" s="17"/>
      <c r="E86" s="17"/>
      <c r="F86" s="17"/>
    </row>
    <row r="87" spans="1:21">
      <c r="C87" s="17"/>
      <c r="D87" s="17"/>
      <c r="E87" s="17"/>
      <c r="F87" s="17"/>
    </row>
    <row r="88" spans="1:21">
      <c r="C88" s="17"/>
      <c r="D88" s="17"/>
      <c r="E88" s="17"/>
      <c r="F88" s="17"/>
    </row>
    <row r="89" spans="1:21">
      <c r="C89" s="17"/>
      <c r="D89" s="17"/>
      <c r="E89" s="17"/>
      <c r="F89" s="17"/>
    </row>
    <row r="90" spans="1:21">
      <c r="C90" s="17"/>
      <c r="D90" s="17"/>
      <c r="E90" s="17"/>
      <c r="F90" s="17"/>
      <c r="H90" s="17"/>
      <c r="I90" s="17"/>
      <c r="J90" s="17"/>
      <c r="K90" s="17"/>
    </row>
    <row r="91" spans="1:21">
      <c r="A91" s="17"/>
      <c r="B91" s="17"/>
      <c r="C91" s="17"/>
      <c r="D91" s="20" t="s">
        <v>5</v>
      </c>
      <c r="E91" s="20" t="s">
        <v>29</v>
      </c>
      <c r="F91" s="17"/>
      <c r="G91" s="17"/>
      <c r="H91" s="17"/>
      <c r="I91" s="17"/>
      <c r="J91" s="17"/>
      <c r="K91" s="17"/>
      <c r="T91" s="18"/>
      <c r="U91" s="18"/>
    </row>
    <row r="92" spans="1:21">
      <c r="A92" s="17"/>
      <c r="B92" s="20" t="s">
        <v>24</v>
      </c>
      <c r="C92" s="17"/>
      <c r="D92" s="25">
        <v>44570</v>
      </c>
      <c r="E92" s="20" t="s">
        <v>190</v>
      </c>
      <c r="F92" s="17"/>
      <c r="G92" s="17"/>
      <c r="H92" s="17"/>
      <c r="I92" s="17"/>
      <c r="J92" s="17"/>
      <c r="K92" s="17"/>
      <c r="T92" s="18"/>
      <c r="U92" s="18"/>
    </row>
    <row r="93" spans="1:21">
      <c r="A93" s="17"/>
      <c r="B93" s="26">
        <v>44570</v>
      </c>
      <c r="C93" s="17"/>
      <c r="D93" s="25">
        <v>44571</v>
      </c>
      <c r="E93" s="20" t="s">
        <v>190</v>
      </c>
      <c r="F93" s="17"/>
      <c r="G93" s="17"/>
      <c r="H93" s="17"/>
      <c r="I93" s="17"/>
      <c r="J93" s="17"/>
      <c r="K93" s="17"/>
      <c r="T93" s="18"/>
      <c r="U93" s="18"/>
    </row>
    <row r="94" spans="1:21">
      <c r="A94" s="17"/>
      <c r="B94" s="26">
        <v>44571</v>
      </c>
      <c r="C94" s="17"/>
      <c r="D94" s="25">
        <v>44572</v>
      </c>
      <c r="E94" s="20" t="s">
        <v>190</v>
      </c>
      <c r="F94" s="17"/>
      <c r="G94" s="17"/>
      <c r="H94" s="17"/>
      <c r="I94" s="17"/>
      <c r="J94" s="17"/>
      <c r="K94" s="17"/>
      <c r="T94" s="18"/>
      <c r="U94" s="18"/>
    </row>
    <row r="95" spans="1:21">
      <c r="A95" s="17"/>
      <c r="B95" s="26">
        <v>44572</v>
      </c>
      <c r="C95" s="17"/>
      <c r="D95" s="25">
        <v>44601</v>
      </c>
      <c r="E95" s="20" t="s">
        <v>191</v>
      </c>
      <c r="F95" s="17"/>
      <c r="G95" s="17"/>
      <c r="H95" s="17"/>
      <c r="I95" s="20" t="s">
        <v>24</v>
      </c>
      <c r="J95" s="20" t="s">
        <v>27</v>
      </c>
      <c r="K95" s="17"/>
      <c r="L95" s="19"/>
      <c r="M95" s="19"/>
      <c r="N95" s="19"/>
      <c r="T95" s="18"/>
      <c r="U95" s="18"/>
    </row>
    <row r="96" spans="1:21">
      <c r="A96" s="17"/>
      <c r="B96" s="26">
        <v>44601</v>
      </c>
      <c r="C96" s="17"/>
      <c r="D96" s="25">
        <v>44603</v>
      </c>
      <c r="E96" s="20" t="s">
        <v>191</v>
      </c>
      <c r="F96" s="17"/>
      <c r="G96" s="17"/>
      <c r="H96" s="17"/>
      <c r="I96" s="21" t="s">
        <v>20</v>
      </c>
      <c r="J96" s="20">
        <v>32.599999999999994</v>
      </c>
      <c r="K96" s="17"/>
      <c r="L96" s="19"/>
      <c r="M96" s="19"/>
      <c r="N96" s="19"/>
      <c r="T96" s="18"/>
      <c r="U96" s="18"/>
    </row>
    <row r="97" spans="1:34">
      <c r="A97" s="17"/>
      <c r="B97" s="26">
        <v>44603</v>
      </c>
      <c r="C97" s="17"/>
      <c r="D97" s="25">
        <v>44629</v>
      </c>
      <c r="E97" s="20" t="s">
        <v>192</v>
      </c>
      <c r="F97" s="17"/>
      <c r="G97" s="17"/>
      <c r="H97" s="17"/>
      <c r="I97" s="21" t="s">
        <v>22</v>
      </c>
      <c r="J97" s="20">
        <v>8.9166666666666679</v>
      </c>
      <c r="K97" s="17"/>
      <c r="L97" s="19"/>
      <c r="M97" s="20" t="s">
        <v>24</v>
      </c>
      <c r="N97" s="19"/>
      <c r="T97" s="18"/>
      <c r="U97" s="18"/>
      <c r="AA97" s="19"/>
      <c r="AB97" s="19"/>
      <c r="AC97" s="19"/>
    </row>
    <row r="98" spans="1:34">
      <c r="A98" s="17"/>
      <c r="B98" s="26">
        <v>44629</v>
      </c>
      <c r="C98" s="17"/>
      <c r="D98" s="25">
        <v>44630</v>
      </c>
      <c r="E98" s="20" t="s">
        <v>192</v>
      </c>
      <c r="F98" s="17"/>
      <c r="G98" s="17"/>
      <c r="H98" s="17"/>
      <c r="I98" s="21" t="s">
        <v>17</v>
      </c>
      <c r="J98" s="20">
        <v>89.0833333333333</v>
      </c>
      <c r="K98" s="17"/>
      <c r="L98" s="19"/>
      <c r="M98" s="21" t="s">
        <v>6</v>
      </c>
      <c r="N98" s="19"/>
      <c r="U98" s="18"/>
      <c r="AA98" s="19"/>
      <c r="AB98" s="19"/>
      <c r="AC98" s="19"/>
    </row>
    <row r="99" spans="1:34">
      <c r="A99" s="17"/>
      <c r="B99" s="26">
        <v>44630</v>
      </c>
      <c r="C99" s="17"/>
      <c r="D99" s="25">
        <v>44631</v>
      </c>
      <c r="E99" s="20" t="s">
        <v>192</v>
      </c>
      <c r="F99" s="17"/>
      <c r="G99" s="17"/>
      <c r="H99" s="17"/>
      <c r="I99" s="21" t="s">
        <v>14</v>
      </c>
      <c r="J99" s="20">
        <v>7.0833333333333339</v>
      </c>
      <c r="K99" s="17"/>
      <c r="L99" s="19"/>
      <c r="M99" s="21" t="s">
        <v>20</v>
      </c>
      <c r="N99" s="19"/>
      <c r="Q99" s="19"/>
      <c r="R99" s="19"/>
      <c r="S99" s="19"/>
      <c r="T99" s="19"/>
      <c r="U99" s="18"/>
    </row>
    <row r="100" spans="1:34">
      <c r="A100" s="17"/>
      <c r="B100" s="26">
        <v>44631</v>
      </c>
      <c r="C100" s="17"/>
      <c r="D100" s="25">
        <v>44661</v>
      </c>
      <c r="E100" s="20" t="s">
        <v>193</v>
      </c>
      <c r="F100" s="17"/>
      <c r="G100" s="17"/>
      <c r="H100" s="17"/>
      <c r="I100" s="21" t="s">
        <v>9</v>
      </c>
      <c r="J100" s="20">
        <v>204.25000000000003</v>
      </c>
      <c r="K100" s="17"/>
      <c r="L100" s="19"/>
      <c r="M100" s="21" t="s">
        <v>10</v>
      </c>
      <c r="N100" s="19"/>
      <c r="Q100" s="19"/>
      <c r="R100" s="19"/>
      <c r="S100" s="19"/>
      <c r="T100" s="19"/>
      <c r="U100" s="18"/>
    </row>
    <row r="101" spans="1:34">
      <c r="A101" s="17"/>
      <c r="B101" s="26">
        <v>44661</v>
      </c>
      <c r="C101" s="17"/>
      <c r="D101" s="25">
        <v>44662</v>
      </c>
      <c r="E101" s="20" t="s">
        <v>193</v>
      </c>
      <c r="F101" s="17"/>
      <c r="G101" s="17"/>
      <c r="H101" s="17"/>
      <c r="I101" s="21" t="s">
        <v>12</v>
      </c>
      <c r="J101" s="20">
        <v>212.83333333333337</v>
      </c>
      <c r="K101" s="17"/>
      <c r="L101" s="19"/>
      <c r="M101" s="21" t="s">
        <v>39</v>
      </c>
      <c r="N101" s="19"/>
      <c r="Q101" s="19"/>
      <c r="R101" s="19"/>
      <c r="S101" s="19"/>
      <c r="T101" s="19"/>
      <c r="U101" s="18"/>
    </row>
    <row r="102" spans="1:34">
      <c r="A102" s="17"/>
      <c r="B102" s="26">
        <v>44662</v>
      </c>
      <c r="C102" s="17"/>
      <c r="D102" s="25">
        <v>44690</v>
      </c>
      <c r="E102" s="20" t="s">
        <v>194</v>
      </c>
      <c r="F102" s="17"/>
      <c r="G102" s="17"/>
      <c r="H102" s="17"/>
      <c r="I102" s="21" t="s">
        <v>10</v>
      </c>
      <c r="J102" s="20">
        <v>47.250000000000064</v>
      </c>
      <c r="K102" s="17"/>
      <c r="L102" s="19"/>
      <c r="M102" s="21" t="s">
        <v>42</v>
      </c>
      <c r="N102" s="19"/>
      <c r="Q102" s="19"/>
      <c r="R102" s="20" t="s">
        <v>3</v>
      </c>
      <c r="S102" s="20" t="s">
        <v>32</v>
      </c>
      <c r="T102" s="19"/>
      <c r="U102" s="18"/>
      <c r="V102" s="19"/>
      <c r="W102" s="19"/>
      <c r="X102" s="19"/>
    </row>
    <row r="103" spans="1:34">
      <c r="A103" s="17"/>
      <c r="B103" s="26">
        <v>44690</v>
      </c>
      <c r="C103" s="17"/>
      <c r="D103" s="25">
        <v>44692</v>
      </c>
      <c r="E103" s="20" t="s">
        <v>194</v>
      </c>
      <c r="F103" s="17"/>
      <c r="G103" s="17"/>
      <c r="H103" s="17"/>
      <c r="I103" s="21" t="s">
        <v>19</v>
      </c>
      <c r="J103" s="20">
        <v>3.333333333333333</v>
      </c>
      <c r="K103" s="17"/>
      <c r="L103" s="19"/>
      <c r="M103" s="21" t="s">
        <v>36</v>
      </c>
      <c r="N103" s="19"/>
      <c r="Q103" s="19"/>
      <c r="R103" s="19"/>
      <c r="S103" s="19"/>
      <c r="T103" s="19"/>
      <c r="U103" s="18"/>
      <c r="V103" s="19"/>
      <c r="W103" s="19"/>
      <c r="X103" s="19"/>
    </row>
    <row r="104" spans="1:34">
      <c r="A104" s="17"/>
      <c r="B104" s="26">
        <v>44692</v>
      </c>
      <c r="C104" s="17"/>
      <c r="D104" s="25">
        <v>44721</v>
      </c>
      <c r="E104" s="20" t="s">
        <v>135</v>
      </c>
      <c r="F104" s="17"/>
      <c r="G104" s="17"/>
      <c r="H104" s="17"/>
      <c r="I104" s="21" t="s">
        <v>6</v>
      </c>
      <c r="J104" s="20">
        <v>83.333333333333329</v>
      </c>
      <c r="K104" s="17"/>
      <c r="L104" s="19"/>
      <c r="M104" s="21" t="s">
        <v>96</v>
      </c>
      <c r="N104" s="19"/>
      <c r="Q104" s="19"/>
      <c r="R104" s="20" t="s">
        <v>33</v>
      </c>
      <c r="S104" s="20" t="s">
        <v>34</v>
      </c>
      <c r="T104" s="19"/>
      <c r="U104" s="18"/>
      <c r="V104" s="19"/>
      <c r="W104" s="19"/>
      <c r="X104" s="19"/>
      <c r="Z104" s="19"/>
      <c r="AA104" s="19"/>
      <c r="AB104" s="19"/>
      <c r="AC104" s="19"/>
    </row>
    <row r="105" spans="1:34">
      <c r="A105" s="17"/>
      <c r="B105" s="26">
        <v>44721</v>
      </c>
      <c r="C105" s="17"/>
      <c r="D105" s="25">
        <v>44722</v>
      </c>
      <c r="E105" s="20" t="s">
        <v>135</v>
      </c>
      <c r="F105" s="17"/>
      <c r="G105" s="17"/>
      <c r="H105" s="17"/>
      <c r="I105" s="21" t="s">
        <v>38</v>
      </c>
      <c r="J105" s="20">
        <v>45.416666666666679</v>
      </c>
      <c r="K105" s="17"/>
      <c r="L105" s="19"/>
      <c r="M105" s="21" t="s">
        <v>99</v>
      </c>
      <c r="N105" s="19"/>
      <c r="Q105" s="19"/>
      <c r="R105" s="21" t="s">
        <v>6</v>
      </c>
      <c r="S105" s="20">
        <v>29.499999999999996</v>
      </c>
      <c r="T105" s="19"/>
      <c r="U105" s="18"/>
      <c r="V105" s="19"/>
      <c r="W105" s="22" t="s">
        <v>24</v>
      </c>
      <c r="X105" s="19"/>
      <c r="Z105" s="19"/>
      <c r="AA105" s="19"/>
      <c r="AB105" s="19"/>
      <c r="AC105" s="19"/>
    </row>
    <row r="106" spans="1:34">
      <c r="A106" s="17"/>
      <c r="B106" s="26">
        <v>44722</v>
      </c>
      <c r="C106" s="17"/>
      <c r="D106" s="25">
        <v>44751</v>
      </c>
      <c r="E106" s="20" t="s">
        <v>195</v>
      </c>
      <c r="F106" s="17"/>
      <c r="G106" s="17"/>
      <c r="H106" s="17"/>
      <c r="I106" s="21" t="s">
        <v>40</v>
      </c>
      <c r="J106" s="20">
        <v>3</v>
      </c>
      <c r="K106" s="17"/>
      <c r="L106" s="19"/>
      <c r="M106" s="21" t="s">
        <v>157</v>
      </c>
      <c r="N106" s="19"/>
      <c r="Q106" s="19"/>
      <c r="R106" s="21" t="s">
        <v>20</v>
      </c>
      <c r="S106" s="20">
        <v>14.933333333333332</v>
      </c>
      <c r="T106" s="19"/>
      <c r="U106" s="18"/>
      <c r="V106" s="19"/>
      <c r="W106" s="23" t="s">
        <v>141</v>
      </c>
      <c r="X106" s="19"/>
      <c r="Z106" s="19"/>
      <c r="AA106" s="19"/>
      <c r="AB106" s="19"/>
      <c r="AC106" s="19"/>
    </row>
    <row r="107" spans="1:34">
      <c r="A107" s="17"/>
      <c r="B107" s="26">
        <v>44751</v>
      </c>
      <c r="C107" s="17"/>
      <c r="D107" s="25">
        <v>44752</v>
      </c>
      <c r="E107" s="20" t="s">
        <v>196</v>
      </c>
      <c r="F107" s="17"/>
      <c r="G107" s="17"/>
      <c r="H107" s="17"/>
      <c r="I107" s="21" t="s">
        <v>35</v>
      </c>
      <c r="J107" s="20">
        <v>138.41666666666669</v>
      </c>
      <c r="K107" s="17"/>
      <c r="L107" s="19"/>
      <c r="M107" s="21" t="s">
        <v>142</v>
      </c>
      <c r="N107" s="19"/>
      <c r="Q107" s="19"/>
      <c r="R107" s="21" t="s">
        <v>10</v>
      </c>
      <c r="S107" s="20">
        <v>43.083333333333364</v>
      </c>
      <c r="T107" s="19"/>
      <c r="U107" s="18"/>
      <c r="V107" s="19"/>
      <c r="W107" s="23" t="s">
        <v>140</v>
      </c>
      <c r="X107" s="19"/>
      <c r="Z107" s="19"/>
      <c r="AA107" s="19"/>
      <c r="AB107" s="19"/>
      <c r="AC107" s="19"/>
    </row>
    <row r="108" spans="1:34">
      <c r="A108" s="17"/>
      <c r="B108" s="26">
        <v>44752</v>
      </c>
      <c r="C108" s="17"/>
      <c r="D108" s="25">
        <v>44753</v>
      </c>
      <c r="E108" s="20" t="s">
        <v>196</v>
      </c>
      <c r="F108" s="17"/>
      <c r="G108" s="17"/>
      <c r="H108" s="17"/>
      <c r="I108" s="21" t="s">
        <v>36</v>
      </c>
      <c r="J108" s="20">
        <v>52.666666666666671</v>
      </c>
      <c r="K108" s="17"/>
      <c r="L108" s="19"/>
      <c r="M108" s="21" t="s">
        <v>159</v>
      </c>
      <c r="N108" s="19"/>
      <c r="Q108" s="19"/>
      <c r="R108" s="21" t="s">
        <v>39</v>
      </c>
      <c r="S108" s="20">
        <v>13.916666666666666</v>
      </c>
      <c r="T108" s="19"/>
      <c r="U108" s="18"/>
      <c r="V108" s="19"/>
      <c r="W108" s="23" t="s">
        <v>25</v>
      </c>
      <c r="X108" s="19"/>
      <c r="Z108" s="19"/>
      <c r="AA108" s="19"/>
      <c r="AB108" s="19"/>
      <c r="AC108" s="19"/>
    </row>
    <row r="109" spans="1:34">
      <c r="A109" s="17"/>
      <c r="B109" s="26">
        <v>44753</v>
      </c>
      <c r="C109" s="17"/>
      <c r="D109" s="25">
        <v>44782</v>
      </c>
      <c r="E109" s="20" t="s">
        <v>197</v>
      </c>
      <c r="F109" s="17"/>
      <c r="G109" s="17"/>
      <c r="H109" s="17"/>
      <c r="I109" s="21" t="s">
        <v>52</v>
      </c>
      <c r="J109" s="20">
        <v>10.666666666666666</v>
      </c>
      <c r="K109" s="17"/>
      <c r="L109" s="19"/>
      <c r="M109" s="21" t="s">
        <v>160</v>
      </c>
      <c r="N109" s="19"/>
      <c r="Q109" s="19"/>
      <c r="R109" s="21" t="s">
        <v>42</v>
      </c>
      <c r="S109" s="20">
        <v>16.916666666666671</v>
      </c>
      <c r="T109" s="19"/>
      <c r="U109" s="18"/>
      <c r="V109" s="19"/>
      <c r="W109" s="18"/>
      <c r="X109" s="19"/>
      <c r="Z109" s="19"/>
      <c r="AA109" s="20" t="s">
        <v>26</v>
      </c>
      <c r="AB109" s="20" t="s">
        <v>27</v>
      </c>
      <c r="AC109" s="19"/>
    </row>
    <row r="110" spans="1:34">
      <c r="A110" s="17"/>
      <c r="B110" s="26">
        <v>44782</v>
      </c>
      <c r="C110" s="17"/>
      <c r="D110" s="25">
        <v>44783</v>
      </c>
      <c r="E110" s="20" t="s">
        <v>197</v>
      </c>
      <c r="F110" s="17"/>
      <c r="G110" s="17"/>
      <c r="H110" s="17"/>
      <c r="I110" s="21" t="s">
        <v>41</v>
      </c>
      <c r="J110" s="20">
        <v>3.6666666666666665</v>
      </c>
      <c r="K110" s="17"/>
      <c r="L110" s="19"/>
      <c r="M110" s="21" t="s">
        <v>144</v>
      </c>
      <c r="N110" s="19"/>
      <c r="Q110" s="19"/>
      <c r="R110" s="21" t="s">
        <v>36</v>
      </c>
      <c r="S110" s="20">
        <v>61.916666666666664</v>
      </c>
      <c r="T110" s="19"/>
      <c r="U110" s="18"/>
      <c r="V110" s="19"/>
      <c r="W110" s="19"/>
      <c r="X110" s="19"/>
      <c r="Z110" s="19"/>
      <c r="AA110" s="20">
        <v>68561</v>
      </c>
      <c r="AB110" s="20">
        <v>1142.6833333333357</v>
      </c>
      <c r="AC110" s="19"/>
    </row>
    <row r="111" spans="1:34">
      <c r="A111" s="17"/>
      <c r="B111" s="26">
        <v>44783</v>
      </c>
      <c r="C111" s="17"/>
      <c r="D111" s="25">
        <v>44784</v>
      </c>
      <c r="E111" s="20" t="s">
        <v>197</v>
      </c>
      <c r="F111" s="17"/>
      <c r="G111" s="17"/>
      <c r="H111" s="17"/>
      <c r="I111" s="21" t="s">
        <v>56</v>
      </c>
      <c r="J111" s="20">
        <v>1.1666666666666667</v>
      </c>
      <c r="K111" s="17"/>
      <c r="L111" s="19"/>
      <c r="M111" s="21" t="s">
        <v>152</v>
      </c>
      <c r="N111" s="19"/>
      <c r="Q111" s="19"/>
      <c r="R111" s="21" t="s">
        <v>96</v>
      </c>
      <c r="S111" s="20">
        <v>5.9999999999999982</v>
      </c>
      <c r="T111" s="19"/>
      <c r="U111" s="18"/>
      <c r="V111" s="19"/>
      <c r="W111" s="19"/>
      <c r="X111" s="19"/>
      <c r="Z111" s="19"/>
      <c r="AA111" s="22"/>
      <c r="AB111" s="22"/>
      <c r="AC111" s="19"/>
    </row>
    <row r="112" spans="1:34">
      <c r="A112" s="17"/>
      <c r="B112" s="26">
        <v>44784</v>
      </c>
      <c r="C112" s="17"/>
      <c r="D112" s="25">
        <v>44813</v>
      </c>
      <c r="E112" s="20" t="s">
        <v>198</v>
      </c>
      <c r="F112" s="17"/>
      <c r="G112" s="17"/>
      <c r="H112" s="17"/>
      <c r="I112" s="21" t="s">
        <v>57</v>
      </c>
      <c r="J112" s="20">
        <v>2</v>
      </c>
      <c r="K112" s="17"/>
      <c r="L112" s="19"/>
      <c r="M112" s="21" t="s">
        <v>158</v>
      </c>
      <c r="N112" s="19"/>
      <c r="Q112" s="19"/>
      <c r="R112" s="21" t="s">
        <v>99</v>
      </c>
      <c r="S112" s="20">
        <v>0.5</v>
      </c>
      <c r="T112" s="19"/>
      <c r="Z112" s="19"/>
      <c r="AA112" s="19"/>
      <c r="AB112" s="19"/>
      <c r="AC112" s="19"/>
      <c r="AF112" s="19"/>
      <c r="AG112" s="19"/>
      <c r="AH112" s="19"/>
    </row>
    <row r="113" spans="1:34">
      <c r="A113" s="17"/>
      <c r="B113" s="26">
        <v>44813</v>
      </c>
      <c r="C113" s="17"/>
      <c r="D113" s="25">
        <v>44815</v>
      </c>
      <c r="E113" s="20" t="s">
        <v>199</v>
      </c>
      <c r="F113" s="17"/>
      <c r="G113" s="17"/>
      <c r="H113" s="17"/>
      <c r="I113" s="21" t="s">
        <v>51</v>
      </c>
      <c r="J113" s="20">
        <v>1.1666666666666667</v>
      </c>
      <c r="K113" s="17"/>
      <c r="L113" s="19"/>
      <c r="M113" s="21" t="s">
        <v>154</v>
      </c>
      <c r="N113" s="19"/>
      <c r="Q113" s="19"/>
      <c r="R113" s="21" t="s">
        <v>157</v>
      </c>
      <c r="S113" s="20">
        <v>164.91666666666657</v>
      </c>
      <c r="T113" s="19"/>
      <c r="Z113" s="19"/>
      <c r="AA113" s="19"/>
      <c r="AB113" s="19"/>
      <c r="AC113" s="19"/>
      <c r="AF113" s="19"/>
      <c r="AG113" s="19"/>
      <c r="AH113" s="19"/>
    </row>
    <row r="114" spans="1:34">
      <c r="A114" s="17"/>
      <c r="B114" s="26">
        <v>44815</v>
      </c>
      <c r="C114" s="17"/>
      <c r="D114" s="25">
        <v>44842</v>
      </c>
      <c r="E114" s="20" t="s">
        <v>200</v>
      </c>
      <c r="F114" s="17"/>
      <c r="G114" s="17"/>
      <c r="H114" s="17"/>
      <c r="I114" s="21" t="s">
        <v>62</v>
      </c>
      <c r="J114" s="20">
        <v>0.5</v>
      </c>
      <c r="K114" s="17"/>
      <c r="L114" s="19"/>
      <c r="M114" s="21" t="s">
        <v>151</v>
      </c>
      <c r="N114" s="19"/>
      <c r="Q114" s="19"/>
      <c r="R114" s="21" t="s">
        <v>142</v>
      </c>
      <c r="S114" s="20">
        <v>257.00000000000006</v>
      </c>
      <c r="T114" s="19"/>
      <c r="Z114" s="19"/>
      <c r="AA114" s="19"/>
      <c r="AB114" s="19"/>
      <c r="AC114" s="19"/>
    </row>
    <row r="115" spans="1:34">
      <c r="A115" s="17"/>
      <c r="B115" s="26">
        <v>44842</v>
      </c>
      <c r="C115" s="17"/>
      <c r="D115" s="25">
        <v>44843</v>
      </c>
      <c r="E115" s="20" t="s">
        <v>201</v>
      </c>
      <c r="F115" s="17"/>
      <c r="G115" s="17"/>
      <c r="H115" s="17"/>
      <c r="I115" s="21" t="s">
        <v>55</v>
      </c>
      <c r="J115" s="20">
        <v>2.0833333333333335</v>
      </c>
      <c r="K115" s="17"/>
      <c r="L115" s="19"/>
      <c r="M115" s="21" t="s">
        <v>150</v>
      </c>
      <c r="N115" s="19"/>
      <c r="Q115" s="19"/>
      <c r="R115" s="21" t="s">
        <v>159</v>
      </c>
      <c r="S115" s="20">
        <v>362.3333333333332</v>
      </c>
      <c r="T115" s="19"/>
      <c r="Z115" s="19"/>
      <c r="AA115" s="19"/>
      <c r="AB115" s="19"/>
      <c r="AC115" s="19"/>
    </row>
    <row r="116" spans="1:34">
      <c r="A116" s="17"/>
      <c r="B116" s="26">
        <v>44843</v>
      </c>
      <c r="C116" s="17"/>
      <c r="D116" s="25">
        <v>44844</v>
      </c>
      <c r="E116" s="20" t="s">
        <v>201</v>
      </c>
      <c r="F116" s="17"/>
      <c r="G116" s="17"/>
      <c r="H116" s="17"/>
      <c r="I116" s="21" t="s">
        <v>63</v>
      </c>
      <c r="J116" s="20">
        <v>0.66666666666666663</v>
      </c>
      <c r="K116" s="17"/>
      <c r="L116" s="19"/>
      <c r="M116" s="21" t="s">
        <v>143</v>
      </c>
      <c r="N116" s="19"/>
      <c r="Q116" s="19"/>
      <c r="R116" s="21" t="s">
        <v>160</v>
      </c>
      <c r="S116" s="20">
        <v>67.000000000000014</v>
      </c>
      <c r="T116" s="19"/>
      <c r="Z116" s="19"/>
      <c r="AA116" s="19"/>
      <c r="AB116" s="19"/>
      <c r="AC116" s="19"/>
    </row>
    <row r="117" spans="1:34">
      <c r="A117" s="17"/>
      <c r="B117" s="26">
        <v>44844</v>
      </c>
      <c r="C117" s="17"/>
      <c r="D117" s="25">
        <v>44845</v>
      </c>
      <c r="E117" s="20" t="s">
        <v>201</v>
      </c>
      <c r="F117" s="17"/>
      <c r="G117" s="17"/>
      <c r="H117" s="17"/>
      <c r="I117" s="21" t="s">
        <v>64</v>
      </c>
      <c r="J117" s="20">
        <v>0.58333333333333337</v>
      </c>
      <c r="K117" s="17"/>
      <c r="L117" s="19"/>
      <c r="M117" s="21" t="s">
        <v>147</v>
      </c>
      <c r="N117" s="19"/>
      <c r="Q117" s="19"/>
      <c r="R117" s="21" t="s">
        <v>144</v>
      </c>
      <c r="S117" s="20">
        <v>32.75</v>
      </c>
      <c r="T117" s="19"/>
      <c r="Z117" s="19"/>
      <c r="AA117" s="19"/>
      <c r="AB117" s="19"/>
      <c r="AC117" s="19"/>
    </row>
    <row r="118" spans="1:34">
      <c r="A118" s="17"/>
      <c r="B118" s="26">
        <v>44845</v>
      </c>
      <c r="C118" s="17"/>
      <c r="D118" s="25">
        <v>44875</v>
      </c>
      <c r="E118" s="20" t="s">
        <v>202</v>
      </c>
      <c r="F118" s="17"/>
      <c r="G118" s="17"/>
      <c r="H118" s="17"/>
      <c r="I118" s="21" t="s">
        <v>65</v>
      </c>
      <c r="J118" s="20">
        <v>1</v>
      </c>
      <c r="K118" s="17"/>
      <c r="L118" s="19"/>
      <c r="M118" s="21" t="s">
        <v>146</v>
      </c>
      <c r="N118" s="19"/>
      <c r="Q118" s="19"/>
      <c r="R118" s="21" t="s">
        <v>152</v>
      </c>
      <c r="S118" s="20">
        <v>24.416666666666671</v>
      </c>
      <c r="T118" s="19"/>
      <c r="Z118" s="19"/>
      <c r="AA118" s="19"/>
      <c r="AB118" s="19"/>
      <c r="AC118" s="19"/>
    </row>
    <row r="119" spans="1:34">
      <c r="A119" s="17"/>
      <c r="B119" s="26">
        <v>44875</v>
      </c>
      <c r="C119" s="17"/>
      <c r="D119" s="25">
        <v>44876</v>
      </c>
      <c r="E119" s="20" t="s">
        <v>202</v>
      </c>
      <c r="F119" s="17"/>
      <c r="G119" s="17"/>
      <c r="H119" s="17"/>
      <c r="I119" s="21" t="s">
        <v>71</v>
      </c>
      <c r="J119" s="20">
        <v>7.583333333333333</v>
      </c>
      <c r="K119" s="17"/>
      <c r="L119" s="19"/>
      <c r="M119" s="21" t="s">
        <v>165</v>
      </c>
      <c r="N119" s="19"/>
      <c r="Q119" s="19"/>
      <c r="R119" s="21" t="s">
        <v>158</v>
      </c>
      <c r="S119" s="20">
        <v>12.916666666666668</v>
      </c>
      <c r="T119" s="19"/>
      <c r="Z119" s="19"/>
      <c r="AA119" s="19"/>
      <c r="AB119" s="19"/>
      <c r="AC119" s="19"/>
    </row>
    <row r="120" spans="1:34">
      <c r="A120" s="17"/>
      <c r="B120" s="26">
        <v>44876</v>
      </c>
      <c r="C120" s="17"/>
      <c r="D120" s="25">
        <v>44904</v>
      </c>
      <c r="E120" s="20" t="s">
        <v>203</v>
      </c>
      <c r="F120" s="17"/>
      <c r="G120" s="17"/>
      <c r="H120" s="17"/>
      <c r="I120" s="21" t="s">
        <v>72</v>
      </c>
      <c r="J120" s="20">
        <v>4.5833333333333339</v>
      </c>
      <c r="K120" s="17"/>
      <c r="L120" s="19"/>
      <c r="M120" s="21" t="s">
        <v>148</v>
      </c>
      <c r="N120" s="19"/>
      <c r="Q120" s="19"/>
      <c r="R120" s="21" t="s">
        <v>154</v>
      </c>
      <c r="S120" s="20">
        <v>17.583333333333332</v>
      </c>
      <c r="T120" s="19"/>
      <c r="Z120" s="19"/>
      <c r="AA120" s="19"/>
      <c r="AB120" s="19"/>
      <c r="AC120" s="19"/>
    </row>
    <row r="121" spans="1:34">
      <c r="A121" s="17"/>
      <c r="B121" s="26">
        <v>44904</v>
      </c>
      <c r="C121" s="17"/>
      <c r="D121" s="25">
        <v>44905</v>
      </c>
      <c r="E121" s="20" t="s">
        <v>203</v>
      </c>
      <c r="F121" s="17"/>
      <c r="G121" s="17"/>
      <c r="H121" s="17"/>
      <c r="I121" s="21" t="s">
        <v>75</v>
      </c>
      <c r="J121" s="20">
        <v>83.583333333333314</v>
      </c>
      <c r="K121" s="17"/>
      <c r="L121" s="19"/>
      <c r="M121" s="21" t="s">
        <v>149</v>
      </c>
      <c r="N121" s="19"/>
      <c r="Q121" s="19"/>
      <c r="R121" s="21" t="s">
        <v>151</v>
      </c>
      <c r="S121" s="20">
        <v>0.83333333333333337</v>
      </c>
      <c r="T121" s="19"/>
      <c r="Z121" s="19"/>
      <c r="AA121" s="19"/>
      <c r="AB121" s="19"/>
      <c r="AC121" s="19"/>
      <c r="AG121" s="20" t="s">
        <v>0</v>
      </c>
      <c r="AH121" s="20" t="s">
        <v>27</v>
      </c>
    </row>
    <row r="122" spans="1:34">
      <c r="A122" s="17"/>
      <c r="B122" s="26">
        <v>44905</v>
      </c>
      <c r="C122" s="17"/>
      <c r="D122" s="25">
        <v>44906</v>
      </c>
      <c r="E122" s="20" t="s">
        <v>204</v>
      </c>
      <c r="F122" s="17"/>
      <c r="G122" s="17"/>
      <c r="H122" s="17"/>
      <c r="I122" s="21" t="s">
        <v>76</v>
      </c>
      <c r="J122" s="20">
        <v>0.41666666666666669</v>
      </c>
      <c r="K122" s="17"/>
      <c r="L122" s="19"/>
      <c r="M122" s="21" t="s">
        <v>145</v>
      </c>
      <c r="N122" s="19"/>
      <c r="Q122" s="19"/>
      <c r="R122" s="21" t="s">
        <v>150</v>
      </c>
      <c r="S122" s="20">
        <v>7.416666666666667</v>
      </c>
      <c r="T122" s="19"/>
      <c r="AG122" s="20" t="s">
        <v>141</v>
      </c>
      <c r="AH122" s="20">
        <v>560.88333333333321</v>
      </c>
    </row>
    <row r="123" spans="1:34">
      <c r="A123" s="17"/>
      <c r="B123" s="26">
        <v>44906</v>
      </c>
      <c r="C123" s="17"/>
      <c r="D123" s="25">
        <v>44817</v>
      </c>
      <c r="E123" s="20" t="s">
        <v>199</v>
      </c>
      <c r="F123" s="17"/>
      <c r="G123" s="17"/>
      <c r="H123" s="17"/>
      <c r="I123" s="21" t="s">
        <v>70</v>
      </c>
      <c r="J123" s="20">
        <v>1.1666666666666667</v>
      </c>
      <c r="K123" s="17"/>
      <c r="L123" s="19"/>
      <c r="M123" s="21" t="s">
        <v>25</v>
      </c>
      <c r="N123" s="19"/>
      <c r="Q123" s="19"/>
      <c r="R123" s="21" t="s">
        <v>143</v>
      </c>
      <c r="S123" s="20">
        <v>1.4166666666666665</v>
      </c>
      <c r="T123" s="19"/>
      <c r="AG123" s="20" t="s">
        <v>140</v>
      </c>
      <c r="AH123" s="20">
        <v>581.79999999999905</v>
      </c>
    </row>
    <row r="124" spans="1:34">
      <c r="A124" s="17"/>
      <c r="B124" s="26">
        <v>44817</v>
      </c>
      <c r="C124" s="17"/>
      <c r="D124" s="25">
        <v>44847</v>
      </c>
      <c r="E124" s="20" t="s">
        <v>201</v>
      </c>
      <c r="F124" s="17"/>
      <c r="G124" s="17"/>
      <c r="H124" s="17"/>
      <c r="I124" s="21" t="s">
        <v>66</v>
      </c>
      <c r="J124" s="20">
        <v>4.7499999999999991</v>
      </c>
      <c r="K124" s="17"/>
      <c r="L124" s="19"/>
      <c r="M124" s="19"/>
      <c r="N124" s="19"/>
      <c r="Q124" s="19"/>
      <c r="R124" s="21" t="s">
        <v>147</v>
      </c>
      <c r="S124" s="20">
        <v>1.3333333333333333</v>
      </c>
      <c r="T124" s="19"/>
      <c r="AG124" s="18"/>
      <c r="AH124" s="18"/>
    </row>
    <row r="125" spans="1:34">
      <c r="A125" s="17"/>
      <c r="B125" s="26">
        <v>44847</v>
      </c>
      <c r="C125" s="17"/>
      <c r="D125" s="25">
        <v>44818</v>
      </c>
      <c r="E125" s="20" t="s">
        <v>199</v>
      </c>
      <c r="F125" s="17"/>
      <c r="G125" s="17"/>
      <c r="H125" s="17"/>
      <c r="I125" s="21" t="s">
        <v>81</v>
      </c>
      <c r="J125" s="20">
        <v>0.5</v>
      </c>
      <c r="K125" s="17"/>
      <c r="L125" s="19"/>
      <c r="M125" s="19"/>
      <c r="N125" s="19"/>
      <c r="Q125" s="19"/>
      <c r="R125" s="21" t="s">
        <v>146</v>
      </c>
      <c r="S125" s="20">
        <v>2.5</v>
      </c>
      <c r="T125" s="19"/>
    </row>
    <row r="126" spans="1:34">
      <c r="A126" s="17"/>
      <c r="B126" s="26">
        <v>44818</v>
      </c>
      <c r="C126" s="17"/>
      <c r="D126" s="25">
        <v>44848</v>
      </c>
      <c r="E126" s="20" t="s">
        <v>201</v>
      </c>
      <c r="F126" s="17"/>
      <c r="G126" s="17"/>
      <c r="H126" s="17"/>
      <c r="I126" s="21" t="s">
        <v>82</v>
      </c>
      <c r="J126" s="20">
        <v>0.33333333333333331</v>
      </c>
      <c r="K126" s="17"/>
      <c r="Q126" s="19"/>
      <c r="R126" s="21" t="s">
        <v>165</v>
      </c>
      <c r="S126" s="20">
        <v>0.5</v>
      </c>
      <c r="T126" s="19"/>
    </row>
    <row r="127" spans="1:34">
      <c r="A127" s="17"/>
      <c r="B127" s="26">
        <v>44848</v>
      </c>
      <c r="C127" s="17"/>
      <c r="D127" s="25">
        <v>44879</v>
      </c>
      <c r="E127" s="20" t="s">
        <v>205</v>
      </c>
      <c r="F127" s="17"/>
      <c r="G127" s="17"/>
      <c r="H127" s="17"/>
      <c r="I127" s="21" t="s">
        <v>85</v>
      </c>
      <c r="J127" s="20">
        <v>3.4166666666666665</v>
      </c>
      <c r="K127" s="17"/>
      <c r="Q127" s="19"/>
      <c r="R127" s="21" t="s">
        <v>148</v>
      </c>
      <c r="S127" s="20">
        <v>1.3333333333333333</v>
      </c>
      <c r="T127" s="19"/>
    </row>
    <row r="128" spans="1:34">
      <c r="A128" s="17"/>
      <c r="B128" s="26">
        <v>44879</v>
      </c>
      <c r="C128" s="17"/>
      <c r="D128" s="25">
        <v>44819</v>
      </c>
      <c r="E128" s="20" t="s">
        <v>199</v>
      </c>
      <c r="F128" s="17"/>
      <c r="G128" s="17"/>
      <c r="H128" s="17"/>
      <c r="I128" s="21" t="s">
        <v>88</v>
      </c>
      <c r="J128" s="20">
        <v>19.250000000000004</v>
      </c>
      <c r="K128" s="17"/>
      <c r="Q128" s="19"/>
      <c r="R128" s="21" t="s">
        <v>149</v>
      </c>
      <c r="S128" s="20">
        <v>1.3333333333333333</v>
      </c>
      <c r="T128" s="19"/>
    </row>
    <row r="129" spans="1:34">
      <c r="A129" s="17"/>
      <c r="B129" s="26">
        <v>44819</v>
      </c>
      <c r="C129" s="17"/>
      <c r="D129" s="25">
        <v>44849</v>
      </c>
      <c r="E129" s="20" t="s">
        <v>201</v>
      </c>
      <c r="F129" s="17"/>
      <c r="G129" s="17"/>
      <c r="H129" s="17"/>
      <c r="I129" s="21" t="s">
        <v>31</v>
      </c>
      <c r="J129" s="20">
        <v>1.6666666666666665</v>
      </c>
      <c r="K129" s="17"/>
      <c r="R129" s="21" t="s">
        <v>145</v>
      </c>
      <c r="S129" s="20">
        <v>0.33333333333333331</v>
      </c>
    </row>
    <row r="130" spans="1:34">
      <c r="A130" s="17"/>
      <c r="B130" s="26">
        <v>44849</v>
      </c>
      <c r="C130" s="17"/>
      <c r="D130" s="25">
        <v>44880</v>
      </c>
      <c r="E130" s="20" t="s">
        <v>205</v>
      </c>
      <c r="F130" s="17"/>
      <c r="G130" s="17"/>
      <c r="H130" s="17"/>
      <c r="I130" s="21" t="s">
        <v>95</v>
      </c>
      <c r="J130" s="20">
        <v>1.5</v>
      </c>
      <c r="K130" s="17"/>
    </row>
    <row r="131" spans="1:34">
      <c r="A131" s="17"/>
      <c r="B131" s="26">
        <v>44880</v>
      </c>
      <c r="C131" s="17"/>
      <c r="D131" s="25">
        <v>44820</v>
      </c>
      <c r="E131" s="20" t="s">
        <v>199</v>
      </c>
      <c r="F131" s="17"/>
      <c r="G131" s="17"/>
      <c r="H131" s="17"/>
      <c r="I131" s="21" t="s">
        <v>96</v>
      </c>
      <c r="J131" s="20">
        <v>2.1666666666666665</v>
      </c>
      <c r="K131" s="17"/>
    </row>
    <row r="132" spans="1:34">
      <c r="A132" s="17"/>
      <c r="B132" s="26">
        <v>44820</v>
      </c>
      <c r="C132" s="17"/>
      <c r="D132" s="25">
        <v>44881</v>
      </c>
      <c r="E132" s="20" t="s">
        <v>205</v>
      </c>
      <c r="F132" s="17"/>
      <c r="G132" s="17"/>
      <c r="H132" s="17"/>
      <c r="I132" s="21" t="s">
        <v>100</v>
      </c>
      <c r="J132" s="20">
        <v>0.66666666666666663</v>
      </c>
      <c r="K132" s="17"/>
    </row>
    <row r="133" spans="1:34">
      <c r="A133" s="17"/>
      <c r="B133" s="26">
        <v>44881</v>
      </c>
      <c r="C133" s="17"/>
      <c r="D133" s="25">
        <v>44821</v>
      </c>
      <c r="E133" s="20" t="s">
        <v>199</v>
      </c>
      <c r="F133" s="17"/>
      <c r="G133" s="17"/>
      <c r="H133" s="17"/>
      <c r="I133" s="21" t="s">
        <v>114</v>
      </c>
      <c r="J133" s="20">
        <v>1</v>
      </c>
      <c r="K133" s="17"/>
    </row>
    <row r="134" spans="1:34">
      <c r="A134" s="17"/>
      <c r="B134" s="26">
        <v>44821</v>
      </c>
      <c r="C134" s="17"/>
      <c r="D134" s="25">
        <v>44851</v>
      </c>
      <c r="E134" s="20" t="s">
        <v>206</v>
      </c>
      <c r="F134" s="17"/>
      <c r="G134" s="17"/>
      <c r="H134" s="17"/>
      <c r="I134" s="21" t="s">
        <v>115</v>
      </c>
      <c r="J134" s="20">
        <v>0.91666666666666663</v>
      </c>
      <c r="K134" s="17"/>
    </row>
    <row r="135" spans="1:34">
      <c r="A135" s="17"/>
      <c r="B135" s="26">
        <v>44851</v>
      </c>
      <c r="C135" s="17"/>
      <c r="D135" s="25">
        <v>44882</v>
      </c>
      <c r="E135" s="20" t="s">
        <v>205</v>
      </c>
      <c r="F135" s="17"/>
      <c r="G135" s="17"/>
      <c r="H135" s="17"/>
      <c r="I135" s="21" t="s">
        <v>103</v>
      </c>
      <c r="J135" s="20">
        <v>3.9166666666666665</v>
      </c>
      <c r="K135" s="17"/>
      <c r="AF135" s="19"/>
      <c r="AG135" s="19"/>
      <c r="AH135" s="19"/>
    </row>
    <row r="136" spans="1:34">
      <c r="A136" s="17"/>
      <c r="B136" s="26">
        <v>44882</v>
      </c>
      <c r="C136" s="17"/>
      <c r="D136" s="25">
        <v>44852</v>
      </c>
      <c r="E136" s="20" t="s">
        <v>206</v>
      </c>
      <c r="F136" s="17"/>
      <c r="G136" s="17"/>
      <c r="H136" s="17"/>
      <c r="I136" s="21" t="s">
        <v>124</v>
      </c>
      <c r="J136" s="20">
        <v>1.1666666666666667</v>
      </c>
      <c r="K136" s="17"/>
    </row>
    <row r="137" spans="1:34">
      <c r="A137" s="17"/>
      <c r="B137" s="26">
        <v>44852</v>
      </c>
      <c r="C137" s="17"/>
      <c r="D137" s="25">
        <v>44883</v>
      </c>
      <c r="E137" s="20" t="s">
        <v>205</v>
      </c>
      <c r="F137" s="17"/>
      <c r="G137" s="17"/>
      <c r="H137" s="17"/>
      <c r="I137" s="21" t="s">
        <v>125</v>
      </c>
      <c r="J137" s="20">
        <v>23.166666666666661</v>
      </c>
      <c r="K137" s="17"/>
    </row>
    <row r="138" spans="1:34">
      <c r="A138" s="17"/>
      <c r="B138" s="26">
        <v>44883</v>
      </c>
      <c r="C138" s="17"/>
      <c r="D138" s="25">
        <v>44823</v>
      </c>
      <c r="E138" s="20" t="s">
        <v>207</v>
      </c>
      <c r="F138" s="17"/>
      <c r="G138" s="17"/>
      <c r="H138" s="17"/>
      <c r="I138" s="21" t="s">
        <v>128</v>
      </c>
      <c r="J138" s="20">
        <v>2</v>
      </c>
      <c r="K138" s="17"/>
    </row>
    <row r="139" spans="1:34">
      <c r="A139" s="17"/>
      <c r="B139" s="26">
        <v>44823</v>
      </c>
      <c r="C139" s="17"/>
      <c r="D139" s="25">
        <v>44853</v>
      </c>
      <c r="E139" s="20" t="s">
        <v>206</v>
      </c>
      <c r="F139" s="17"/>
      <c r="G139" s="17"/>
      <c r="H139" s="17"/>
      <c r="I139" s="21" t="s">
        <v>129</v>
      </c>
      <c r="J139" s="20">
        <v>0.41666666666666669</v>
      </c>
      <c r="K139" s="17"/>
    </row>
    <row r="140" spans="1:34">
      <c r="A140" s="17"/>
      <c r="B140" s="26">
        <v>44853</v>
      </c>
      <c r="C140" s="17"/>
      <c r="D140" s="25">
        <v>44884</v>
      </c>
      <c r="E140" s="20" t="s">
        <v>205</v>
      </c>
      <c r="F140" s="17"/>
      <c r="G140" s="17"/>
      <c r="H140" s="17"/>
      <c r="I140" s="21" t="s">
        <v>132</v>
      </c>
      <c r="J140" s="20">
        <v>1.1666666666666665</v>
      </c>
      <c r="K140" s="17"/>
    </row>
    <row r="141" spans="1:34">
      <c r="A141" s="17"/>
      <c r="B141" s="26">
        <v>44884</v>
      </c>
      <c r="C141" s="17"/>
      <c r="D141" s="25">
        <v>44824</v>
      </c>
      <c r="E141" s="20" t="s">
        <v>207</v>
      </c>
      <c r="F141" s="17"/>
      <c r="G141" s="17"/>
      <c r="H141" s="17"/>
      <c r="I141" s="21" t="s">
        <v>133</v>
      </c>
      <c r="J141" s="20">
        <v>0.58333333333333337</v>
      </c>
      <c r="K141" s="17"/>
    </row>
    <row r="142" spans="1:34">
      <c r="A142" s="17"/>
      <c r="B142" s="26">
        <v>44824</v>
      </c>
      <c r="C142" s="17"/>
      <c r="D142" s="25">
        <v>44854</v>
      </c>
      <c r="E142" s="20" t="s">
        <v>206</v>
      </c>
      <c r="F142" s="17"/>
      <c r="G142" s="17"/>
      <c r="H142" s="17"/>
      <c r="I142" s="21" t="s">
        <v>134</v>
      </c>
      <c r="J142" s="20">
        <v>3.5</v>
      </c>
      <c r="K142" s="17"/>
    </row>
    <row r="143" spans="1:34">
      <c r="A143" s="17"/>
      <c r="B143" s="26">
        <v>44854</v>
      </c>
      <c r="C143" s="17"/>
      <c r="D143" s="25">
        <v>44825</v>
      </c>
      <c r="E143" s="20" t="s">
        <v>207</v>
      </c>
      <c r="F143" s="17"/>
      <c r="G143" s="17"/>
      <c r="H143" s="17"/>
      <c r="I143" s="21" t="s">
        <v>175</v>
      </c>
      <c r="J143" s="20">
        <v>13.749999999999998</v>
      </c>
      <c r="K143" s="17"/>
    </row>
    <row r="144" spans="1:34">
      <c r="A144" s="17"/>
      <c r="B144" s="26">
        <v>44825</v>
      </c>
      <c r="C144" s="17"/>
      <c r="D144" s="25">
        <v>44855</v>
      </c>
      <c r="E144" s="20" t="s">
        <v>206</v>
      </c>
      <c r="F144" s="17"/>
      <c r="G144" s="17"/>
      <c r="H144" s="17"/>
      <c r="I144" s="21" t="s">
        <v>176</v>
      </c>
      <c r="J144" s="20">
        <v>1.75</v>
      </c>
      <c r="K144" s="17"/>
    </row>
    <row r="145" spans="1:23">
      <c r="A145" s="17"/>
      <c r="B145" s="26">
        <v>44855</v>
      </c>
      <c r="C145" s="17"/>
      <c r="D145" s="25">
        <v>44886</v>
      </c>
      <c r="E145" s="20" t="s">
        <v>208</v>
      </c>
      <c r="F145" s="17"/>
      <c r="G145" s="17"/>
      <c r="H145" s="17"/>
      <c r="I145" s="21" t="s">
        <v>171</v>
      </c>
      <c r="J145" s="20">
        <v>0.91666666666666674</v>
      </c>
      <c r="K145" s="17"/>
    </row>
    <row r="146" spans="1:23">
      <c r="A146" s="17"/>
      <c r="B146" s="26">
        <v>44886</v>
      </c>
      <c r="C146" s="17"/>
      <c r="D146" s="25">
        <v>44826</v>
      </c>
      <c r="E146" s="20" t="s">
        <v>207</v>
      </c>
      <c r="F146" s="17"/>
      <c r="G146" s="17"/>
      <c r="H146" s="17"/>
      <c r="I146" s="21" t="s">
        <v>174</v>
      </c>
      <c r="J146" s="20">
        <v>0.75</v>
      </c>
      <c r="K146" s="17"/>
    </row>
    <row r="147" spans="1:23">
      <c r="A147" s="17"/>
      <c r="B147" s="26">
        <v>44826</v>
      </c>
      <c r="C147" s="17"/>
      <c r="D147" s="25">
        <v>44856</v>
      </c>
      <c r="E147" s="20" t="s">
        <v>206</v>
      </c>
      <c r="F147" s="17"/>
      <c r="G147" s="17"/>
      <c r="H147" s="17"/>
      <c r="I147" s="21" t="s">
        <v>168</v>
      </c>
      <c r="J147" s="20">
        <v>0.91666666666666663</v>
      </c>
      <c r="K147" s="17"/>
    </row>
    <row r="148" spans="1:23">
      <c r="A148" s="17"/>
      <c r="B148" s="26">
        <v>44856</v>
      </c>
      <c r="C148" s="17"/>
      <c r="D148" s="25">
        <v>44887</v>
      </c>
      <c r="E148" s="20" t="s">
        <v>208</v>
      </c>
      <c r="F148" s="17"/>
      <c r="G148" s="17"/>
      <c r="H148" s="17"/>
      <c r="I148" s="21" t="s">
        <v>166</v>
      </c>
      <c r="J148" s="20">
        <v>0.83333333333333337</v>
      </c>
      <c r="K148" s="17"/>
    </row>
    <row r="149" spans="1:23">
      <c r="A149" s="17"/>
      <c r="B149" s="26">
        <v>44887</v>
      </c>
      <c r="C149" s="17"/>
      <c r="D149" s="25">
        <v>44827</v>
      </c>
      <c r="E149" s="20" t="s">
        <v>207</v>
      </c>
      <c r="F149" s="17"/>
      <c r="G149" s="17"/>
      <c r="H149" s="17"/>
      <c r="I149" s="21" t="s">
        <v>148</v>
      </c>
      <c r="J149" s="20">
        <v>1.3333333333333333</v>
      </c>
      <c r="K149" s="17"/>
      <c r="U149" s="19"/>
      <c r="V149" s="19"/>
      <c r="W149" s="19"/>
    </row>
    <row r="150" spans="1:23">
      <c r="A150" s="17"/>
      <c r="B150" s="26">
        <v>44827</v>
      </c>
      <c r="C150" s="17"/>
      <c r="D150" s="25">
        <v>44828</v>
      </c>
      <c r="E150" s="20" t="s">
        <v>207</v>
      </c>
      <c r="F150" s="17"/>
      <c r="G150" s="17"/>
      <c r="H150" s="17"/>
      <c r="I150" s="21" t="s">
        <v>149</v>
      </c>
      <c r="J150" s="20">
        <v>1.3333333333333333</v>
      </c>
      <c r="K150" s="17"/>
      <c r="U150" s="19"/>
      <c r="V150" s="19"/>
      <c r="W150" s="19"/>
    </row>
    <row r="151" spans="1:23">
      <c r="A151" s="17"/>
      <c r="B151" s="26">
        <v>44828</v>
      </c>
      <c r="C151" s="17"/>
      <c r="D151" s="25">
        <v>44859</v>
      </c>
      <c r="E151" s="20" t="s">
        <v>209</v>
      </c>
      <c r="F151" s="17"/>
      <c r="G151" s="17"/>
      <c r="H151" s="17"/>
      <c r="I151" s="21" t="s">
        <v>25</v>
      </c>
      <c r="J151" s="20">
        <v>1142.6833333333341</v>
      </c>
      <c r="K151" s="17"/>
      <c r="U151" s="19"/>
      <c r="V151" s="19"/>
      <c r="W151" s="19"/>
    </row>
    <row r="152" spans="1:23">
      <c r="A152" s="17"/>
      <c r="B152" s="26">
        <v>44859</v>
      </c>
      <c r="C152" s="17"/>
      <c r="D152" s="25">
        <v>44830</v>
      </c>
      <c r="E152" s="20" t="s">
        <v>210</v>
      </c>
      <c r="F152" s="17"/>
      <c r="G152" s="17"/>
      <c r="H152" s="17"/>
      <c r="I152"/>
      <c r="J152"/>
      <c r="K152" s="17"/>
      <c r="U152" s="19"/>
      <c r="V152" s="19"/>
      <c r="W152" s="19"/>
    </row>
    <row r="153" spans="1:23">
      <c r="A153" s="17"/>
      <c r="B153" s="26">
        <v>44830</v>
      </c>
      <c r="C153" s="17"/>
      <c r="D153" s="25">
        <v>44860</v>
      </c>
      <c r="E153" s="20" t="s">
        <v>209</v>
      </c>
      <c r="F153" s="17"/>
      <c r="G153" s="17"/>
      <c r="H153" s="17"/>
      <c r="I153" s="18"/>
      <c r="J153" s="18"/>
      <c r="K153" s="17"/>
      <c r="U153" s="19"/>
      <c r="V153" s="19"/>
      <c r="W153" s="19"/>
    </row>
    <row r="154" spans="1:23">
      <c r="A154" s="17"/>
      <c r="B154" s="26">
        <v>44860</v>
      </c>
      <c r="C154" s="17"/>
      <c r="D154" s="25">
        <v>44831</v>
      </c>
      <c r="E154" s="20" t="s">
        <v>210</v>
      </c>
      <c r="F154" s="17"/>
      <c r="G154" s="17"/>
      <c r="H154" s="17"/>
      <c r="I154" s="18"/>
      <c r="J154" s="18"/>
      <c r="K154" s="17"/>
    </row>
    <row r="155" spans="1:23">
      <c r="A155" s="17"/>
      <c r="B155" s="26">
        <v>44831</v>
      </c>
      <c r="C155" s="17"/>
      <c r="D155" s="25">
        <v>44861</v>
      </c>
      <c r="E155" s="20" t="s">
        <v>209</v>
      </c>
      <c r="F155" s="17"/>
      <c r="G155" s="17"/>
      <c r="H155" s="17"/>
      <c r="I155" s="18"/>
      <c r="J155" s="18"/>
      <c r="K155" s="17"/>
    </row>
    <row r="156" spans="1:23">
      <c r="A156" s="17"/>
      <c r="B156" s="26">
        <v>44861</v>
      </c>
      <c r="C156" s="17"/>
      <c r="D156" s="25">
        <v>44832</v>
      </c>
      <c r="E156" s="20" t="s">
        <v>210</v>
      </c>
      <c r="F156" s="17"/>
      <c r="G156" s="17"/>
      <c r="H156" s="17"/>
      <c r="I156" s="18"/>
      <c r="J156" s="18"/>
      <c r="K156" s="17"/>
    </row>
    <row r="157" spans="1:23">
      <c r="A157" s="17"/>
      <c r="B157" s="26">
        <v>44832</v>
      </c>
      <c r="C157" s="17"/>
      <c r="D157" s="25">
        <v>44862</v>
      </c>
      <c r="E157" s="20" t="s">
        <v>209</v>
      </c>
      <c r="F157" s="17"/>
      <c r="G157" s="17"/>
      <c r="H157" s="17"/>
      <c r="I157" s="18"/>
      <c r="J157" s="18"/>
      <c r="K157" s="17"/>
    </row>
    <row r="158" spans="1:23">
      <c r="A158" s="17"/>
      <c r="B158" s="26">
        <v>44862</v>
      </c>
      <c r="C158" s="17"/>
      <c r="D158" s="25">
        <v>44833</v>
      </c>
      <c r="E158" s="20" t="s">
        <v>210</v>
      </c>
      <c r="F158" s="17"/>
      <c r="G158" s="17"/>
      <c r="H158" s="17"/>
      <c r="I158" s="18"/>
      <c r="J158" s="18"/>
      <c r="K158" s="17"/>
    </row>
    <row r="159" spans="1:23">
      <c r="A159" s="17"/>
      <c r="B159" s="26">
        <v>44833</v>
      </c>
      <c r="C159" s="17"/>
      <c r="D159" s="25">
        <v>44863</v>
      </c>
      <c r="E159" s="20" t="s">
        <v>209</v>
      </c>
      <c r="F159" s="17"/>
      <c r="G159" s="17"/>
      <c r="H159" s="17"/>
      <c r="I159" s="17"/>
      <c r="J159" s="17"/>
      <c r="K159" s="17"/>
    </row>
    <row r="160" spans="1:23">
      <c r="A160" s="17"/>
      <c r="B160" s="26">
        <v>44863</v>
      </c>
      <c r="C160" s="17"/>
      <c r="D160" s="25">
        <v>44834</v>
      </c>
      <c r="E160" s="20" t="s">
        <v>210</v>
      </c>
      <c r="F160" s="17"/>
      <c r="G160" s="17"/>
      <c r="H160" s="17"/>
      <c r="I160" s="17"/>
      <c r="J160" s="17"/>
      <c r="K160" s="17"/>
    </row>
    <row r="161" spans="1:11">
      <c r="A161" s="17"/>
      <c r="B161" s="26">
        <v>44834</v>
      </c>
      <c r="C161" s="17"/>
      <c r="D161" s="25">
        <v>44865</v>
      </c>
      <c r="E161" s="20" t="s">
        <v>211</v>
      </c>
      <c r="F161" s="17"/>
      <c r="G161" s="17"/>
      <c r="H161" s="17"/>
      <c r="I161" s="17"/>
      <c r="J161" s="17"/>
      <c r="K161" s="17"/>
    </row>
    <row r="162" spans="1:11">
      <c r="A162" s="17"/>
      <c r="B162" s="26">
        <v>44865</v>
      </c>
      <c r="C162" s="17"/>
      <c r="D162" s="17"/>
      <c r="E162" s="17"/>
      <c r="F162" s="17"/>
      <c r="G162" s="17"/>
      <c r="H162" s="17"/>
    </row>
    <row r="163" spans="1:11">
      <c r="A163" s="17"/>
      <c r="B163" s="21" t="s">
        <v>25</v>
      </c>
      <c r="F163" s="17"/>
      <c r="G163" s="17"/>
      <c r="H163" s="17"/>
    </row>
    <row r="164" spans="1:11">
      <c r="A164" s="17"/>
      <c r="F164" s="17"/>
      <c r="G164" s="17"/>
      <c r="H164" s="17"/>
    </row>
    <row r="165" spans="1:11">
      <c r="A165" s="17"/>
      <c r="F165" s="17"/>
      <c r="G165" s="17"/>
      <c r="H165" s="17"/>
    </row>
    <row r="166" spans="1:11">
      <c r="A166" s="17"/>
    </row>
    <row r="183" spans="3:23">
      <c r="C183"/>
      <c r="D183"/>
      <c r="E183"/>
      <c r="G183" s="17"/>
      <c r="H183" s="17"/>
      <c r="I183" s="17"/>
      <c r="J183" s="17"/>
    </row>
    <row r="184" spans="3:23">
      <c r="C184"/>
      <c r="D184"/>
      <c r="E184"/>
      <c r="G184" s="17"/>
      <c r="H184" s="17"/>
      <c r="I184" s="17"/>
      <c r="J184" s="17"/>
    </row>
    <row r="185" spans="3:23">
      <c r="G185" s="17"/>
      <c r="H185" s="17"/>
      <c r="I185" s="17"/>
      <c r="J185" s="17"/>
      <c r="U185" s="19"/>
      <c r="V185" s="19"/>
      <c r="W185" s="19"/>
    </row>
    <row r="186" spans="3:23">
      <c r="G186" s="17"/>
      <c r="H186" s="17"/>
      <c r="I186" s="17"/>
      <c r="J186" s="17"/>
      <c r="U186" s="19"/>
      <c r="V186" s="19"/>
      <c r="W186" s="19"/>
    </row>
    <row r="187" spans="3:23">
      <c r="G187" s="17"/>
      <c r="H187" s="17"/>
      <c r="I187" s="17"/>
      <c r="J187" s="17"/>
      <c r="U187" s="19"/>
      <c r="V187" s="19"/>
      <c r="W187" s="19"/>
    </row>
    <row r="188" spans="3:23">
      <c r="G188" s="17"/>
      <c r="H188" s="17"/>
      <c r="I188" s="17"/>
      <c r="J188" s="17"/>
      <c r="U188" s="19"/>
      <c r="V188" s="19"/>
      <c r="W188" s="19"/>
    </row>
    <row r="189" spans="3:23">
      <c r="G189" s="17"/>
      <c r="H189" s="17"/>
      <c r="I189" s="17"/>
      <c r="J189" s="17"/>
      <c r="U189" s="19"/>
      <c r="V189" s="19"/>
      <c r="W189" s="19"/>
    </row>
    <row r="190" spans="3:23">
      <c r="G190" s="17"/>
      <c r="H190" s="17"/>
      <c r="I190" s="17"/>
      <c r="J190" s="17"/>
      <c r="U190" s="19"/>
      <c r="V190" s="19"/>
      <c r="W190" s="19"/>
    </row>
    <row r="191" spans="3:23">
      <c r="U191" s="19"/>
      <c r="V191" s="19"/>
      <c r="W191" s="19"/>
    </row>
    <row r="192" spans="3:23">
      <c r="U192" s="19"/>
      <c r="V192" s="19"/>
      <c r="W192" s="19"/>
    </row>
    <row r="208" s="17" customFormat="1"/>
    <row r="209" spans="2:3" s="17" customFormat="1"/>
    <row r="210" spans="2:3" s="17" customFormat="1"/>
    <row r="211" spans="2:3" s="17" customFormat="1"/>
    <row r="212" spans="2:3" s="17" customFormat="1"/>
    <row r="213" spans="2:3" s="17" customFormat="1"/>
    <row r="214" spans="2:3" s="17" customFormat="1"/>
    <row r="215" spans="2:3" s="17" customFormat="1"/>
    <row r="216" spans="2:3" s="17" customFormat="1"/>
    <row r="217" spans="2:3" s="17" customFormat="1"/>
    <row r="218" spans="2:3" s="17" customFormat="1"/>
    <row r="219" spans="2:3" s="17" customFormat="1"/>
    <row r="220" spans="2:3" s="17" customFormat="1"/>
    <row r="221" spans="2:3" s="17" customFormat="1"/>
    <row r="222" spans="2:3" s="17" customFormat="1"/>
    <row r="223" spans="2:3" s="17" customFormat="1"/>
    <row r="224" spans="2:3" s="17" customFormat="1">
      <c r="B224"/>
      <c r="C224"/>
    </row>
    <row r="225" spans="2:72">
      <c r="E225" s="17"/>
      <c r="F225" s="17"/>
      <c r="G225" s="17"/>
      <c r="K225" s="17"/>
    </row>
    <row r="226" spans="2:72">
      <c r="B226" s="20"/>
      <c r="C226" s="20" t="s">
        <v>5</v>
      </c>
      <c r="D226" s="20"/>
      <c r="E226" s="20"/>
      <c r="F226" s="20"/>
      <c r="G226" s="20"/>
      <c r="H226" s="20"/>
      <c r="I226" s="20"/>
      <c r="J226" s="20"/>
      <c r="K226" s="20"/>
      <c r="L226" s="20"/>
      <c r="M226" s="20"/>
      <c r="N226" s="20"/>
      <c r="O226" s="20"/>
      <c r="P226" s="20"/>
      <c r="Q226" s="20"/>
      <c r="R226" s="20"/>
      <c r="S226" s="20"/>
      <c r="T226" s="20"/>
      <c r="U226" s="20"/>
      <c r="V226" s="20"/>
      <c r="W226" s="20"/>
      <c r="X226" s="20"/>
      <c r="Y226" s="20"/>
      <c r="Z226" s="20"/>
      <c r="AA226" s="20"/>
      <c r="AB226" s="20"/>
      <c r="AC226" s="20"/>
      <c r="AD226" s="20"/>
      <c r="AE226" s="20"/>
      <c r="AF226" s="20"/>
      <c r="AG226" s="20"/>
      <c r="AH226" s="20"/>
      <c r="AI226" s="20"/>
      <c r="AJ226" s="20"/>
      <c r="AK226" s="20"/>
      <c r="AL226" s="20"/>
      <c r="AM226" s="20"/>
      <c r="AN226" s="20"/>
      <c r="AO226" s="20"/>
      <c r="AP226" s="20"/>
      <c r="AQ226" s="20"/>
      <c r="AR226" s="20"/>
      <c r="AS226" s="20"/>
      <c r="AT226" s="20"/>
      <c r="AU226" s="20"/>
      <c r="AV226" s="20"/>
      <c r="AW226" s="20"/>
      <c r="AX226" s="20"/>
      <c r="AY226" s="20"/>
      <c r="AZ226" s="20"/>
      <c r="BA226" s="20"/>
      <c r="BB226" s="20"/>
      <c r="BC226" s="20"/>
      <c r="BD226" s="20"/>
      <c r="BE226" s="20"/>
      <c r="BF226" s="20"/>
      <c r="BG226" s="20"/>
      <c r="BH226" s="20"/>
      <c r="BI226" s="20"/>
      <c r="BJ226" s="20"/>
      <c r="BK226" s="20"/>
      <c r="BL226" s="20"/>
      <c r="BM226" s="20"/>
      <c r="BN226" s="20"/>
      <c r="BO226" s="20"/>
      <c r="BP226" s="20"/>
      <c r="BQ226" s="20"/>
      <c r="BR226" s="20"/>
      <c r="BS226" s="20"/>
      <c r="BT226" s="20"/>
    </row>
    <row r="227" spans="2:72">
      <c r="B227" s="20" t="s">
        <v>177</v>
      </c>
      <c r="C227" s="25">
        <v>44570</v>
      </c>
      <c r="D227" s="25">
        <v>44571</v>
      </c>
      <c r="E227" s="25">
        <v>44572</v>
      </c>
      <c r="F227" s="25">
        <v>44601</v>
      </c>
      <c r="G227" s="25">
        <v>44603</v>
      </c>
      <c r="H227" s="25">
        <v>44629</v>
      </c>
      <c r="I227" s="20">
        <v>44630</v>
      </c>
      <c r="J227" s="25">
        <v>44631</v>
      </c>
      <c r="K227" s="25">
        <v>44661</v>
      </c>
      <c r="L227" s="25">
        <v>44662</v>
      </c>
      <c r="M227" s="25">
        <v>44690</v>
      </c>
      <c r="N227" s="25">
        <v>44692</v>
      </c>
      <c r="O227" s="25">
        <v>44721</v>
      </c>
      <c r="P227" s="25">
        <v>44722</v>
      </c>
      <c r="Q227" s="25">
        <v>44751</v>
      </c>
      <c r="R227" s="25">
        <v>44752</v>
      </c>
      <c r="S227" s="25">
        <v>44753</v>
      </c>
      <c r="T227" s="25">
        <v>44782</v>
      </c>
      <c r="U227" s="25">
        <v>44783</v>
      </c>
      <c r="V227" s="25">
        <v>44784</v>
      </c>
      <c r="W227" s="25">
        <v>44813</v>
      </c>
      <c r="X227" s="25">
        <v>44815</v>
      </c>
      <c r="Y227" s="20">
        <v>44842</v>
      </c>
      <c r="Z227" s="25">
        <v>44843</v>
      </c>
      <c r="AA227" s="25">
        <v>44844</v>
      </c>
      <c r="AB227" s="25">
        <v>44845</v>
      </c>
      <c r="AC227" s="25">
        <v>44875</v>
      </c>
      <c r="AD227" s="25">
        <v>44876</v>
      </c>
      <c r="AE227" s="25">
        <v>44904</v>
      </c>
      <c r="AF227" s="25">
        <v>44905</v>
      </c>
      <c r="AG227" s="25">
        <v>44906</v>
      </c>
      <c r="AH227" s="25">
        <v>44817</v>
      </c>
      <c r="AI227" s="25">
        <v>44847</v>
      </c>
      <c r="AJ227" s="25">
        <v>44818</v>
      </c>
      <c r="AK227" s="25">
        <v>44848</v>
      </c>
      <c r="AL227" s="25">
        <v>44879</v>
      </c>
      <c r="AM227" s="25">
        <v>44819</v>
      </c>
      <c r="AN227" s="25">
        <v>44849</v>
      </c>
      <c r="AO227" s="25">
        <v>44880</v>
      </c>
      <c r="AP227" s="25">
        <v>44820</v>
      </c>
      <c r="AQ227" s="25">
        <v>44881</v>
      </c>
      <c r="AR227" s="25">
        <v>44821</v>
      </c>
      <c r="AS227" s="25">
        <v>44851</v>
      </c>
      <c r="AT227" s="25">
        <v>44882</v>
      </c>
      <c r="AU227" s="25">
        <v>44852</v>
      </c>
      <c r="AV227" s="25">
        <v>44883</v>
      </c>
      <c r="AW227" s="25">
        <v>44823</v>
      </c>
      <c r="AX227" s="25">
        <v>44853</v>
      </c>
      <c r="AY227" s="20">
        <v>44884</v>
      </c>
      <c r="AZ227" s="25">
        <v>44824</v>
      </c>
      <c r="BA227" s="25">
        <v>44854</v>
      </c>
      <c r="BB227" s="25">
        <v>44825</v>
      </c>
      <c r="BC227" s="25">
        <v>44855</v>
      </c>
      <c r="BD227" s="25">
        <v>44886</v>
      </c>
      <c r="BE227" s="25">
        <v>44826</v>
      </c>
      <c r="BF227" s="25">
        <v>44856</v>
      </c>
      <c r="BG227" s="25">
        <v>44887</v>
      </c>
      <c r="BH227" s="25">
        <v>44827</v>
      </c>
      <c r="BI227" s="25">
        <v>44828</v>
      </c>
      <c r="BJ227" s="25">
        <v>44859</v>
      </c>
      <c r="BK227" s="25">
        <v>44830</v>
      </c>
      <c r="BL227" s="25">
        <v>44860</v>
      </c>
      <c r="BM227" s="25">
        <v>44831</v>
      </c>
      <c r="BN227" s="25">
        <v>44861</v>
      </c>
      <c r="BO227" s="25">
        <v>44832</v>
      </c>
      <c r="BP227" s="25">
        <v>44862</v>
      </c>
      <c r="BQ227" s="25">
        <v>44833</v>
      </c>
      <c r="BR227" s="25">
        <v>44863</v>
      </c>
      <c r="BS227" s="25">
        <v>44834</v>
      </c>
      <c r="BT227" s="25">
        <v>44865</v>
      </c>
    </row>
    <row r="228" spans="2:72">
      <c r="B228" s="20" t="s">
        <v>179</v>
      </c>
      <c r="C228" s="20"/>
      <c r="D228" s="20"/>
      <c r="E228" s="20"/>
      <c r="F228" s="20"/>
      <c r="G228" s="20"/>
      <c r="H228" s="20"/>
      <c r="I228" s="20"/>
      <c r="J228" s="20"/>
      <c r="K228" s="20"/>
      <c r="L228" s="20"/>
      <c r="M228" s="20"/>
      <c r="N228" s="20"/>
      <c r="O228" s="20"/>
      <c r="P228" s="20"/>
      <c r="Q228" s="20"/>
      <c r="R228" s="20"/>
      <c r="S228" s="20"/>
      <c r="T228" s="20"/>
      <c r="U228" s="20"/>
      <c r="V228" s="20"/>
      <c r="W228" s="20"/>
      <c r="X228" s="20"/>
      <c r="Y228" s="20"/>
      <c r="Z228" s="20"/>
      <c r="AA228" s="20"/>
      <c r="AB228" s="20"/>
      <c r="AC228" s="20"/>
      <c r="AD228" s="20"/>
      <c r="AE228" s="20"/>
      <c r="AF228" s="20"/>
      <c r="AG228" s="20"/>
      <c r="AH228" s="20"/>
      <c r="AI228" s="20"/>
      <c r="AJ228" s="20"/>
      <c r="AK228" s="20"/>
      <c r="AL228" s="20"/>
      <c r="AM228" s="20"/>
      <c r="AN228" s="20"/>
      <c r="AO228" s="20"/>
      <c r="AP228" s="20"/>
      <c r="AQ228" s="20"/>
      <c r="AR228" s="20"/>
      <c r="AS228" s="20"/>
      <c r="AT228" s="20"/>
      <c r="AU228" s="20"/>
      <c r="AV228" s="20"/>
      <c r="AW228" s="20"/>
      <c r="AX228" s="20"/>
      <c r="AY228" s="20"/>
      <c r="AZ228" s="20"/>
      <c r="BA228" s="20"/>
      <c r="BB228" s="20"/>
      <c r="BC228" s="20"/>
      <c r="BD228" s="20"/>
      <c r="BE228" s="20"/>
      <c r="BF228" s="20"/>
      <c r="BG228" s="20"/>
      <c r="BH228" s="20"/>
      <c r="BI228" s="20"/>
      <c r="BJ228" s="20"/>
      <c r="BK228" s="20"/>
      <c r="BL228" s="20"/>
      <c r="BM228" s="20"/>
      <c r="BN228" s="20"/>
      <c r="BO228" s="20"/>
      <c r="BP228" s="20"/>
      <c r="BQ228" s="20"/>
      <c r="BR228" s="20"/>
      <c r="BS228" s="20"/>
      <c r="BT228" s="20"/>
    </row>
    <row r="229" spans="2:72">
      <c r="B229" s="20" t="s">
        <v>180</v>
      </c>
      <c r="C229" s="20"/>
      <c r="D229" s="20"/>
      <c r="E229" s="20"/>
      <c r="F229" s="20"/>
      <c r="G229" s="20"/>
      <c r="H229" s="20"/>
      <c r="I229" s="20"/>
      <c r="J229" s="20"/>
      <c r="K229" s="20"/>
      <c r="L229" s="20"/>
      <c r="M229" s="20"/>
      <c r="N229" s="20"/>
      <c r="O229" s="20"/>
      <c r="P229" s="20"/>
      <c r="Q229" s="20"/>
      <c r="R229" s="20"/>
      <c r="S229" s="20"/>
      <c r="T229" s="20"/>
      <c r="U229" s="20"/>
      <c r="V229" s="20"/>
      <c r="W229" s="20"/>
      <c r="X229" s="20"/>
      <c r="Y229" s="20"/>
      <c r="Z229" s="20"/>
      <c r="AA229" s="20"/>
      <c r="AB229" s="20"/>
      <c r="AC229" s="20"/>
      <c r="AD229" s="20"/>
      <c r="AE229" s="20"/>
      <c r="AF229" s="20"/>
      <c r="AG229" s="20"/>
      <c r="AH229" s="20"/>
      <c r="AI229" s="20"/>
      <c r="AJ229" s="20"/>
      <c r="AK229" s="20"/>
      <c r="AL229" s="20"/>
      <c r="AM229" s="20"/>
      <c r="AN229" s="20"/>
      <c r="AO229" s="20"/>
      <c r="AP229" s="20"/>
      <c r="AQ229" s="20"/>
      <c r="AR229" s="20"/>
      <c r="AS229" s="20"/>
      <c r="AT229" s="20"/>
      <c r="AU229" s="20"/>
      <c r="AV229" s="20"/>
      <c r="AW229" s="20"/>
      <c r="AX229" s="20"/>
      <c r="AY229" s="20"/>
      <c r="AZ229" s="20"/>
      <c r="BA229" s="20"/>
      <c r="BB229" s="20"/>
      <c r="BC229" s="20"/>
      <c r="BD229" s="20"/>
      <c r="BE229" s="20"/>
      <c r="BF229" s="20"/>
      <c r="BG229" s="20"/>
      <c r="BH229" s="20"/>
      <c r="BI229" s="20"/>
      <c r="BJ229" s="20"/>
      <c r="BK229" s="20"/>
      <c r="BL229" s="20"/>
      <c r="BM229" s="20"/>
      <c r="BN229" s="20"/>
      <c r="BO229" s="20"/>
      <c r="BP229" s="20"/>
      <c r="BQ229" s="20"/>
      <c r="BR229" s="20"/>
      <c r="BS229" s="20"/>
      <c r="BT229" s="20"/>
    </row>
    <row r="230" spans="2:72">
      <c r="B230" s="20" t="s">
        <v>181</v>
      </c>
      <c r="C230" s="20"/>
      <c r="D230" s="20"/>
      <c r="E230" s="20"/>
      <c r="F230" s="20"/>
      <c r="G230" s="20"/>
      <c r="H230" s="20"/>
      <c r="I230" s="20"/>
      <c r="J230" s="20"/>
      <c r="K230" s="20"/>
      <c r="L230" s="20"/>
      <c r="M230" s="20"/>
      <c r="N230" s="20"/>
      <c r="O230" s="20"/>
      <c r="P230" s="20"/>
      <c r="Q230" s="20"/>
      <c r="R230" s="20"/>
      <c r="S230" s="20"/>
      <c r="T230" s="20"/>
      <c r="U230" s="20"/>
      <c r="V230" s="20"/>
      <c r="W230" s="20"/>
      <c r="X230" s="20"/>
      <c r="Y230" s="20"/>
      <c r="Z230" s="20"/>
      <c r="AA230" s="20"/>
      <c r="AB230" s="20"/>
      <c r="AC230" s="20"/>
      <c r="AD230" s="20"/>
      <c r="AE230" s="20"/>
      <c r="AF230" s="20"/>
      <c r="AG230" s="20"/>
      <c r="AH230" s="20"/>
      <c r="AI230" s="20"/>
      <c r="AJ230" s="20"/>
      <c r="AK230" s="20"/>
      <c r="AL230" s="20"/>
      <c r="AM230" s="20"/>
      <c r="AN230" s="20"/>
      <c r="AO230" s="20"/>
      <c r="AP230" s="20"/>
      <c r="AQ230" s="20"/>
      <c r="AR230" s="20"/>
      <c r="AS230" s="20"/>
      <c r="AT230" s="20"/>
      <c r="AU230" s="20"/>
      <c r="AV230" s="20"/>
      <c r="AW230" s="20"/>
      <c r="AX230" s="20"/>
      <c r="AY230" s="20"/>
      <c r="AZ230" s="20"/>
      <c r="BA230" s="20"/>
      <c r="BB230" s="20"/>
      <c r="BC230" s="20"/>
      <c r="BD230" s="20"/>
      <c r="BE230" s="20"/>
      <c r="BF230" s="20"/>
      <c r="BG230" s="20"/>
      <c r="BH230" s="20"/>
      <c r="BI230" s="20"/>
      <c r="BJ230" s="20"/>
      <c r="BK230" s="20"/>
      <c r="BL230" s="20"/>
      <c r="BM230" s="20"/>
      <c r="BN230" s="20"/>
      <c r="BO230" s="20"/>
      <c r="BP230" s="20"/>
      <c r="BQ230" s="20"/>
      <c r="BR230" s="20"/>
      <c r="BS230" s="20"/>
      <c r="BT230" s="20"/>
    </row>
    <row r="231" spans="2:72">
      <c r="B231" s="20" t="s">
        <v>182</v>
      </c>
      <c r="C231" s="20"/>
      <c r="D231" s="20"/>
      <c r="E231" s="20"/>
      <c r="F231" s="20"/>
      <c r="G231" s="20"/>
      <c r="H231" s="20"/>
      <c r="I231" s="20"/>
      <c r="J231" s="20"/>
      <c r="K231" s="20"/>
      <c r="L231" s="20"/>
      <c r="M231" s="20"/>
      <c r="N231" s="20"/>
      <c r="O231" s="20"/>
      <c r="P231" s="20"/>
      <c r="Q231" s="20"/>
      <c r="R231" s="20"/>
      <c r="S231" s="20"/>
      <c r="T231" s="20"/>
      <c r="U231" s="20"/>
      <c r="V231" s="20"/>
      <c r="W231" s="20"/>
      <c r="X231" s="20"/>
      <c r="Y231" s="20"/>
      <c r="Z231" s="20"/>
      <c r="AA231" s="20"/>
      <c r="AB231" s="20"/>
      <c r="AC231" s="20"/>
      <c r="AD231" s="20"/>
      <c r="AE231" s="20"/>
      <c r="AF231" s="20"/>
      <c r="AG231" s="20"/>
      <c r="AH231" s="20"/>
      <c r="AI231" s="20"/>
      <c r="AJ231" s="20"/>
      <c r="AK231" s="20"/>
      <c r="AL231" s="20"/>
      <c r="AM231" s="20"/>
      <c r="AN231" s="20"/>
      <c r="AO231" s="20"/>
      <c r="AP231" s="20"/>
      <c r="AQ231" s="20"/>
      <c r="AR231" s="20"/>
      <c r="AS231" s="20"/>
      <c r="AT231" s="20"/>
      <c r="AU231" s="20"/>
      <c r="AV231" s="20"/>
      <c r="AW231" s="20"/>
      <c r="AX231" s="20"/>
      <c r="AY231" s="20"/>
      <c r="AZ231" s="20"/>
      <c r="BA231" s="20"/>
      <c r="BB231" s="20"/>
      <c r="BC231" s="20"/>
      <c r="BD231" s="20"/>
      <c r="BE231" s="20"/>
      <c r="BF231" s="20"/>
      <c r="BG231" s="20"/>
      <c r="BH231" s="20"/>
      <c r="BI231" s="20"/>
      <c r="BJ231" s="20"/>
      <c r="BK231" s="20"/>
      <c r="BL231" s="20"/>
      <c r="BM231" s="20"/>
      <c r="BN231" s="20"/>
      <c r="BO231" s="20"/>
      <c r="BP231" s="20"/>
      <c r="BQ231" s="20"/>
      <c r="BR231" s="20"/>
      <c r="BS231" s="20"/>
      <c r="BT231" s="20"/>
    </row>
    <row r="232" spans="2:72">
      <c r="B232" s="20" t="s">
        <v>183</v>
      </c>
      <c r="C232" s="20"/>
      <c r="D232" s="20"/>
      <c r="E232" s="20"/>
      <c r="F232" s="20"/>
      <c r="G232" s="20"/>
      <c r="H232" s="20"/>
      <c r="I232" s="20"/>
      <c r="J232" s="20"/>
      <c r="K232" s="20"/>
      <c r="L232" s="20"/>
      <c r="M232" s="20"/>
      <c r="N232" s="20"/>
      <c r="O232" s="20"/>
      <c r="P232" s="20"/>
      <c r="Q232" s="20"/>
      <c r="R232" s="20"/>
      <c r="S232" s="20"/>
      <c r="T232" s="20"/>
      <c r="U232" s="20"/>
      <c r="V232" s="20"/>
      <c r="W232" s="20"/>
      <c r="X232" s="20"/>
      <c r="Y232" s="20"/>
      <c r="Z232" s="20"/>
      <c r="AA232" s="20"/>
      <c r="AB232" s="20"/>
      <c r="AC232" s="20"/>
      <c r="AD232" s="20"/>
      <c r="AE232" s="20"/>
      <c r="AF232" s="20"/>
      <c r="AG232" s="20"/>
      <c r="AH232" s="20"/>
      <c r="AI232" s="20"/>
      <c r="AJ232" s="20"/>
      <c r="AK232" s="20"/>
      <c r="AL232" s="20"/>
      <c r="AM232" s="20"/>
      <c r="AN232" s="20"/>
      <c r="AO232" s="20"/>
      <c r="AP232" s="20"/>
      <c r="AQ232" s="20"/>
      <c r="AR232" s="20"/>
      <c r="AS232" s="20"/>
      <c r="AT232" s="20"/>
      <c r="AU232" s="20"/>
      <c r="AV232" s="20"/>
      <c r="AW232" s="20"/>
      <c r="AX232" s="20"/>
      <c r="AY232" s="20"/>
      <c r="AZ232" s="20"/>
      <c r="BA232" s="20"/>
      <c r="BB232" s="20"/>
      <c r="BC232" s="20"/>
      <c r="BD232" s="20"/>
      <c r="BE232" s="20"/>
      <c r="BF232" s="20"/>
      <c r="BG232" s="20"/>
      <c r="BH232" s="20"/>
      <c r="BI232" s="20"/>
      <c r="BJ232" s="20"/>
      <c r="BK232" s="20"/>
      <c r="BL232" s="20"/>
      <c r="BM232" s="20"/>
      <c r="BN232" s="20"/>
      <c r="BO232" s="20"/>
      <c r="BP232" s="20"/>
      <c r="BQ232" s="20"/>
      <c r="BR232" s="20"/>
      <c r="BS232" s="20"/>
      <c r="BT232" s="20"/>
    </row>
    <row r="233" spans="2:72">
      <c r="B233" s="20" t="s">
        <v>178</v>
      </c>
      <c r="C233" s="20"/>
      <c r="D233" s="20"/>
      <c r="E233" s="20"/>
      <c r="F233" s="20"/>
      <c r="G233" s="20"/>
      <c r="H233" s="20"/>
      <c r="I233" s="20"/>
      <c r="J233" s="20"/>
      <c r="K233" s="20"/>
      <c r="L233" s="20"/>
      <c r="M233" s="20"/>
      <c r="N233" s="20"/>
      <c r="O233" s="20"/>
      <c r="P233" s="20"/>
      <c r="Q233" s="20"/>
      <c r="R233" s="20"/>
      <c r="S233" s="20"/>
      <c r="T233" s="20"/>
      <c r="U233" s="20"/>
      <c r="V233" s="20"/>
      <c r="W233" s="20"/>
      <c r="X233" s="20"/>
      <c r="Y233" s="20"/>
      <c r="Z233" s="20"/>
      <c r="AA233" s="20"/>
      <c r="AB233" s="20"/>
      <c r="AC233" s="20"/>
      <c r="AD233" s="20"/>
      <c r="AE233" s="20"/>
      <c r="AF233" s="20"/>
      <c r="AG233" s="20"/>
      <c r="AH233" s="20"/>
      <c r="AI233" s="20"/>
      <c r="AJ233" s="20"/>
      <c r="AK233" s="20"/>
      <c r="AL233" s="20"/>
      <c r="AM233" s="20"/>
      <c r="AN233" s="20"/>
      <c r="AO233" s="20"/>
      <c r="AP233" s="20"/>
      <c r="AQ233" s="20"/>
      <c r="AR233" s="20"/>
      <c r="AS233" s="20"/>
      <c r="AT233" s="20"/>
      <c r="AU233" s="20"/>
      <c r="AV233" s="20"/>
      <c r="AW233" s="20"/>
      <c r="AX233" s="20"/>
      <c r="AY233" s="20"/>
      <c r="AZ233" s="20"/>
      <c r="BA233" s="20"/>
      <c r="BB233" s="20"/>
      <c r="BC233" s="20"/>
      <c r="BD233" s="20"/>
      <c r="BE233" s="20"/>
      <c r="BF233" s="20"/>
      <c r="BG233" s="20"/>
      <c r="BH233" s="20"/>
      <c r="BI233" s="20"/>
      <c r="BJ233" s="20"/>
      <c r="BK233" s="20"/>
      <c r="BL233" s="20"/>
      <c r="BM233" s="20"/>
      <c r="BN233" s="20"/>
      <c r="BO233" s="20"/>
      <c r="BP233" s="20"/>
      <c r="BQ233" s="20"/>
      <c r="BR233" s="20"/>
      <c r="BS233" s="20"/>
      <c r="BT233" s="20"/>
    </row>
    <row r="234" spans="2:72">
      <c r="B234" s="20" t="s">
        <v>184</v>
      </c>
      <c r="C234" s="20"/>
      <c r="D234" s="20"/>
      <c r="E234" s="20"/>
      <c r="F234" s="20"/>
      <c r="G234" s="20"/>
      <c r="H234" s="20"/>
      <c r="I234" s="20"/>
      <c r="J234" s="20"/>
      <c r="K234" s="20"/>
      <c r="L234" s="20"/>
      <c r="M234" s="20"/>
      <c r="N234" s="20"/>
      <c r="O234" s="20"/>
      <c r="P234" s="20"/>
      <c r="Q234" s="20"/>
      <c r="R234" s="20"/>
      <c r="S234" s="20"/>
      <c r="T234" s="20"/>
      <c r="U234" s="20"/>
      <c r="V234" s="20"/>
      <c r="W234" s="20"/>
      <c r="X234" s="20"/>
      <c r="Y234" s="20"/>
      <c r="Z234" s="20"/>
      <c r="AA234" s="20"/>
      <c r="AB234" s="20"/>
      <c r="AC234" s="20"/>
      <c r="AD234" s="20"/>
      <c r="AE234" s="20"/>
      <c r="AF234" s="20"/>
      <c r="AG234" s="20"/>
      <c r="AH234" s="20"/>
      <c r="AI234" s="20"/>
      <c r="AJ234" s="20"/>
      <c r="AK234" s="20"/>
      <c r="AL234" s="20"/>
      <c r="AM234" s="20"/>
      <c r="AN234" s="20"/>
      <c r="AO234" s="20"/>
      <c r="AP234" s="20"/>
      <c r="AQ234" s="20"/>
      <c r="AR234" s="20"/>
      <c r="AS234" s="20"/>
      <c r="AT234" s="20"/>
      <c r="AU234" s="20"/>
      <c r="AV234" s="20"/>
      <c r="AW234" s="20"/>
      <c r="AX234" s="20"/>
      <c r="AY234" s="20"/>
      <c r="AZ234" s="20"/>
      <c r="BA234" s="20"/>
      <c r="BB234" s="20"/>
      <c r="BC234" s="20"/>
      <c r="BD234" s="20"/>
      <c r="BE234" s="20"/>
      <c r="BF234" s="20"/>
      <c r="BG234" s="20"/>
      <c r="BH234" s="20"/>
      <c r="BI234" s="20"/>
      <c r="BJ234" s="20"/>
      <c r="BK234" s="20"/>
      <c r="BL234" s="20"/>
      <c r="BM234" s="20"/>
      <c r="BN234" s="20"/>
      <c r="BO234" s="20"/>
      <c r="BP234" s="20"/>
      <c r="BQ234" s="20"/>
      <c r="BR234" s="20"/>
      <c r="BS234" s="20"/>
      <c r="BT234" s="20"/>
    </row>
    <row r="235" spans="2:72">
      <c r="B235" s="20" t="s">
        <v>185</v>
      </c>
      <c r="C235" s="20"/>
      <c r="D235" s="20"/>
      <c r="E235" s="20"/>
      <c r="F235" s="20"/>
      <c r="G235" s="20"/>
      <c r="H235" s="20"/>
      <c r="I235" s="20"/>
      <c r="J235" s="20"/>
      <c r="K235" s="20"/>
      <c r="L235" s="20"/>
      <c r="M235" s="20"/>
      <c r="N235" s="20"/>
      <c r="O235" s="20"/>
      <c r="P235" s="20"/>
      <c r="Q235" s="20"/>
      <c r="R235" s="20"/>
      <c r="S235" s="20"/>
      <c r="T235" s="20"/>
      <c r="U235" s="20"/>
      <c r="V235" s="20"/>
      <c r="W235" s="20"/>
      <c r="X235" s="20"/>
      <c r="Y235" s="20"/>
      <c r="Z235" s="20"/>
      <c r="AA235" s="20"/>
      <c r="AB235" s="20"/>
      <c r="AC235" s="20"/>
      <c r="AD235" s="20"/>
      <c r="AE235" s="20"/>
      <c r="AF235" s="20"/>
      <c r="AG235" s="20"/>
      <c r="AH235" s="20"/>
      <c r="AI235" s="20"/>
      <c r="AJ235" s="20"/>
      <c r="AK235" s="20"/>
      <c r="AL235" s="20"/>
      <c r="AM235" s="20"/>
      <c r="AN235" s="20"/>
      <c r="AO235" s="20"/>
      <c r="AP235" s="20"/>
      <c r="AQ235" s="20"/>
      <c r="AR235" s="20"/>
      <c r="AS235" s="20"/>
      <c r="AT235" s="20"/>
      <c r="AU235" s="20"/>
      <c r="AV235" s="20"/>
      <c r="AW235" s="20"/>
      <c r="AX235" s="20"/>
      <c r="AY235" s="20"/>
      <c r="AZ235" s="20"/>
      <c r="BA235" s="20"/>
      <c r="BB235" s="20"/>
      <c r="BC235" s="20"/>
      <c r="BD235" s="20"/>
      <c r="BE235" s="20"/>
      <c r="BF235" s="20"/>
      <c r="BG235" s="20"/>
      <c r="BH235" s="20"/>
      <c r="BI235" s="20"/>
      <c r="BJ235" s="20"/>
      <c r="BK235" s="20"/>
      <c r="BL235" s="20"/>
      <c r="BM235" s="20"/>
      <c r="BN235" s="20"/>
      <c r="BO235" s="20"/>
      <c r="BP235" s="20"/>
      <c r="BQ235" s="20"/>
      <c r="BR235" s="20"/>
      <c r="BS235" s="20"/>
      <c r="BT235" s="20"/>
    </row>
    <row r="236" spans="2:72">
      <c r="B236" s="20" t="s">
        <v>186</v>
      </c>
      <c r="C236" s="20"/>
      <c r="D236" s="20"/>
      <c r="E236" s="20"/>
      <c r="F236" s="20"/>
      <c r="G236" s="20"/>
      <c r="H236" s="20"/>
      <c r="I236" s="20"/>
      <c r="J236" s="20"/>
      <c r="K236" s="20"/>
      <c r="L236" s="20"/>
      <c r="M236" s="20"/>
      <c r="N236" s="20"/>
      <c r="O236" s="20"/>
      <c r="P236" s="20"/>
      <c r="Q236" s="20"/>
      <c r="R236" s="20"/>
      <c r="S236" s="20"/>
      <c r="T236" s="20"/>
      <c r="U236" s="20"/>
      <c r="V236" s="20"/>
      <c r="W236" s="20"/>
      <c r="X236" s="20"/>
      <c r="Y236" s="20"/>
      <c r="Z236" s="20"/>
      <c r="AA236" s="20"/>
      <c r="AB236" s="20"/>
      <c r="AC236" s="20"/>
      <c r="AD236" s="20"/>
      <c r="AE236" s="20"/>
      <c r="AF236" s="20"/>
      <c r="AG236" s="20"/>
      <c r="AH236" s="20"/>
      <c r="AI236" s="20"/>
      <c r="AJ236" s="20"/>
      <c r="AK236" s="20"/>
      <c r="AL236" s="20"/>
      <c r="AM236" s="20"/>
      <c r="AN236" s="20"/>
      <c r="AO236" s="20"/>
      <c r="AP236" s="20"/>
      <c r="AQ236" s="20"/>
      <c r="AR236" s="20"/>
      <c r="AS236" s="20"/>
      <c r="AT236" s="20"/>
      <c r="AU236" s="20"/>
      <c r="AV236" s="20"/>
      <c r="AW236" s="20"/>
      <c r="AX236" s="20"/>
      <c r="AY236" s="20"/>
      <c r="AZ236" s="20"/>
      <c r="BA236" s="20"/>
      <c r="BB236" s="20"/>
      <c r="BC236" s="20"/>
      <c r="BD236" s="20"/>
      <c r="BE236" s="20"/>
      <c r="BF236" s="20"/>
      <c r="BG236" s="20"/>
      <c r="BH236" s="20"/>
      <c r="BI236" s="20"/>
      <c r="BJ236" s="20"/>
      <c r="BK236" s="20"/>
      <c r="BL236" s="20"/>
      <c r="BM236" s="20"/>
      <c r="BN236" s="20"/>
      <c r="BO236" s="20"/>
      <c r="BP236" s="20"/>
      <c r="BQ236" s="20"/>
      <c r="BR236" s="20"/>
      <c r="BS236" s="20"/>
      <c r="BT236" s="20"/>
    </row>
    <row r="237" spans="2:72">
      <c r="B237" s="20" t="s">
        <v>187</v>
      </c>
      <c r="C237" s="20"/>
      <c r="D237" s="20"/>
      <c r="E237" s="20"/>
      <c r="F237" s="20"/>
      <c r="G237" s="20"/>
      <c r="H237" s="20"/>
      <c r="I237" s="20"/>
      <c r="J237" s="20"/>
      <c r="K237" s="20"/>
      <c r="L237" s="20"/>
      <c r="M237" s="20"/>
      <c r="N237" s="20"/>
      <c r="O237" s="20"/>
      <c r="P237" s="20"/>
      <c r="Q237" s="20"/>
      <c r="R237" s="20"/>
      <c r="S237" s="20"/>
      <c r="T237" s="20"/>
      <c r="U237" s="20"/>
      <c r="V237" s="20"/>
      <c r="W237" s="20"/>
      <c r="X237" s="20"/>
      <c r="Y237" s="20"/>
      <c r="Z237" s="20"/>
      <c r="AA237" s="20"/>
      <c r="AB237" s="20"/>
      <c r="AC237" s="20"/>
      <c r="AD237" s="20"/>
      <c r="AE237" s="20"/>
      <c r="AF237" s="20"/>
      <c r="AG237" s="20"/>
      <c r="AH237" s="20"/>
      <c r="AI237" s="20"/>
      <c r="AJ237" s="20"/>
      <c r="AK237" s="20"/>
      <c r="AL237" s="20"/>
      <c r="AM237" s="20"/>
      <c r="AN237" s="20"/>
      <c r="AO237" s="20"/>
      <c r="AP237" s="20"/>
      <c r="AQ237" s="20"/>
      <c r="AR237" s="20"/>
      <c r="AS237" s="20"/>
      <c r="AT237" s="20"/>
      <c r="AU237" s="20"/>
      <c r="AV237" s="20"/>
      <c r="AW237" s="20"/>
      <c r="AX237" s="20"/>
      <c r="AY237" s="20"/>
      <c r="AZ237" s="20"/>
      <c r="BA237" s="20"/>
      <c r="BB237" s="20"/>
      <c r="BC237" s="20"/>
      <c r="BD237" s="20"/>
      <c r="BE237" s="20"/>
      <c r="BF237" s="20"/>
      <c r="BG237" s="20"/>
      <c r="BH237" s="20"/>
      <c r="BI237" s="20"/>
      <c r="BJ237" s="20"/>
      <c r="BK237" s="20"/>
      <c r="BL237" s="20"/>
      <c r="BM237" s="20"/>
      <c r="BN237" s="20"/>
      <c r="BO237" s="20"/>
      <c r="BP237" s="20"/>
      <c r="BQ237" s="20"/>
      <c r="BR237" s="20"/>
      <c r="BS237" s="20"/>
      <c r="BT237" s="20"/>
    </row>
    <row r="238" spans="2:72">
      <c r="B238" s="20" t="s">
        <v>188</v>
      </c>
      <c r="C238" s="20"/>
      <c r="D238" s="20"/>
      <c r="E238" s="20"/>
      <c r="F238" s="20"/>
      <c r="G238" s="20"/>
      <c r="H238" s="20"/>
      <c r="I238" s="20"/>
      <c r="J238" s="20"/>
      <c r="K238" s="20"/>
      <c r="L238" s="20"/>
      <c r="M238" s="20"/>
      <c r="N238" s="20"/>
      <c r="O238" s="20"/>
      <c r="P238" s="20"/>
      <c r="Q238" s="20"/>
      <c r="R238" s="20"/>
      <c r="S238" s="20"/>
      <c r="T238" s="20"/>
      <c r="U238" s="20"/>
      <c r="V238" s="20"/>
      <c r="W238" s="20"/>
      <c r="X238" s="20"/>
      <c r="Y238" s="20"/>
      <c r="Z238" s="20"/>
      <c r="AA238" s="20"/>
      <c r="AB238" s="20"/>
      <c r="AC238" s="20"/>
      <c r="AD238" s="20"/>
      <c r="AE238" s="20"/>
      <c r="AF238" s="20"/>
      <c r="AG238" s="20"/>
      <c r="AH238" s="20"/>
      <c r="AI238" s="20"/>
      <c r="AJ238" s="20"/>
      <c r="AK238" s="20"/>
      <c r="AL238" s="20"/>
      <c r="AM238" s="20"/>
      <c r="AN238" s="20"/>
      <c r="AO238" s="20"/>
      <c r="AP238" s="20"/>
      <c r="AQ238" s="20"/>
      <c r="AR238" s="20"/>
      <c r="AS238" s="20"/>
      <c r="AT238" s="20"/>
      <c r="AU238" s="20"/>
      <c r="AV238" s="20"/>
      <c r="AW238" s="20"/>
      <c r="AX238" s="20"/>
      <c r="AY238" s="20"/>
      <c r="AZ238" s="20"/>
      <c r="BA238" s="20"/>
      <c r="BB238" s="20"/>
      <c r="BC238" s="20"/>
      <c r="BD238" s="20"/>
      <c r="BE238" s="20"/>
      <c r="BF238" s="20"/>
      <c r="BG238" s="20"/>
      <c r="BH238" s="20"/>
      <c r="BI238" s="20"/>
      <c r="BJ238" s="20"/>
      <c r="BK238" s="20"/>
      <c r="BL238" s="20"/>
      <c r="BM238" s="20"/>
      <c r="BN238" s="20"/>
      <c r="BO238" s="20"/>
      <c r="BP238" s="20"/>
      <c r="BQ238" s="20"/>
      <c r="BR238" s="20"/>
      <c r="BS238" s="20"/>
      <c r="BT238" s="20"/>
    </row>
    <row r="239" spans="2:72">
      <c r="B239" s="20" t="s">
        <v>189</v>
      </c>
      <c r="C239" s="20"/>
      <c r="D239" s="20"/>
      <c r="E239" s="20"/>
      <c r="F239" s="20"/>
      <c r="G239" s="20"/>
      <c r="H239" s="20"/>
      <c r="I239" s="20"/>
      <c r="J239" s="20"/>
      <c r="K239" s="20"/>
      <c r="L239" s="20"/>
      <c r="M239" s="20"/>
      <c r="N239" s="20"/>
      <c r="O239" s="20"/>
      <c r="P239" s="20"/>
      <c r="Q239" s="20"/>
      <c r="R239" s="20"/>
      <c r="S239" s="20"/>
      <c r="T239" s="20"/>
      <c r="U239" s="20"/>
      <c r="V239" s="20"/>
      <c r="W239" s="20"/>
      <c r="X239" s="20"/>
      <c r="Y239" s="20"/>
      <c r="Z239" s="20"/>
      <c r="AA239" s="20"/>
      <c r="AB239" s="20"/>
      <c r="AC239" s="20"/>
      <c r="AD239" s="20"/>
      <c r="AE239" s="20"/>
      <c r="AF239" s="20"/>
      <c r="AG239" s="20"/>
      <c r="AH239" s="20"/>
      <c r="AI239" s="20"/>
      <c r="AJ239" s="20"/>
      <c r="AK239" s="20"/>
      <c r="AL239" s="20"/>
      <c r="AM239" s="20"/>
      <c r="AN239" s="20"/>
      <c r="AO239" s="20"/>
      <c r="AP239" s="20"/>
      <c r="AQ239" s="20"/>
      <c r="AR239" s="20"/>
      <c r="AS239" s="20"/>
      <c r="AT239" s="20"/>
      <c r="AU239" s="20"/>
      <c r="AV239" s="20"/>
      <c r="AW239" s="20"/>
      <c r="AX239" s="20"/>
      <c r="AY239" s="20"/>
      <c r="AZ239" s="20"/>
      <c r="BA239" s="20"/>
      <c r="BB239" s="20"/>
      <c r="BC239" s="20"/>
      <c r="BD239" s="20"/>
      <c r="BE239" s="20"/>
      <c r="BF239" s="20"/>
      <c r="BG239" s="20"/>
      <c r="BH239" s="20"/>
      <c r="BI239" s="20"/>
      <c r="BJ239" s="20"/>
      <c r="BK239" s="20"/>
      <c r="BL239" s="20"/>
      <c r="BM239" s="20"/>
      <c r="BN239" s="20"/>
      <c r="BO239" s="20"/>
      <c r="BP239" s="20"/>
      <c r="BQ239" s="20"/>
      <c r="BR239" s="20"/>
      <c r="BS239" s="20"/>
      <c r="BT239" s="20"/>
    </row>
    <row r="240" spans="2:72">
      <c r="B240"/>
      <c r="C240"/>
      <c r="D240"/>
      <c r="E240"/>
      <c r="F240"/>
      <c r="G240"/>
      <c r="H240"/>
      <c r="I240"/>
      <c r="J240"/>
      <c r="K240"/>
      <c r="L240"/>
      <c r="M240"/>
      <c r="N240"/>
    </row>
    <row r="241" spans="2:14">
      <c r="B241"/>
      <c r="C241"/>
      <c r="D241"/>
      <c r="E241"/>
      <c r="F241"/>
      <c r="G241"/>
      <c r="H241"/>
      <c r="I241"/>
      <c r="J241"/>
      <c r="K241"/>
      <c r="L241"/>
      <c r="M241"/>
      <c r="N241"/>
    </row>
    <row r="242" spans="2:14">
      <c r="B242"/>
      <c r="C242"/>
      <c r="D242"/>
      <c r="E242"/>
      <c r="F242"/>
      <c r="G242"/>
      <c r="H242"/>
      <c r="I242"/>
      <c r="J242"/>
      <c r="K242"/>
      <c r="L242"/>
      <c r="M242"/>
      <c r="N242"/>
    </row>
    <row r="243" spans="2:14">
      <c r="B243"/>
      <c r="C243"/>
      <c r="D243"/>
      <c r="E243"/>
      <c r="F243"/>
      <c r="G243"/>
      <c r="H243"/>
      <c r="I243"/>
      <c r="J243"/>
      <c r="K243"/>
      <c r="L243"/>
      <c r="M243"/>
      <c r="N243"/>
    </row>
    <row r="244" spans="2:14">
      <c r="B244"/>
      <c r="C244"/>
      <c r="D244"/>
      <c r="E244"/>
      <c r="F244"/>
      <c r="G244"/>
      <c r="H244"/>
      <c r="I244"/>
      <c r="J244"/>
      <c r="K244"/>
      <c r="L244"/>
      <c r="M244"/>
      <c r="N244"/>
    </row>
    <row r="245" spans="2:14">
      <c r="B245"/>
      <c r="C245"/>
      <c r="D245"/>
      <c r="E245"/>
      <c r="F245"/>
      <c r="G245"/>
      <c r="H245"/>
      <c r="I245"/>
      <c r="J245"/>
      <c r="K245"/>
      <c r="L245"/>
      <c r="M245"/>
      <c r="N245"/>
    </row>
    <row r="246" spans="2:14">
      <c r="B246"/>
      <c r="C246"/>
      <c r="D246"/>
      <c r="E246"/>
      <c r="F246"/>
      <c r="G246"/>
      <c r="H246"/>
      <c r="I246"/>
      <c r="J246"/>
      <c r="K246"/>
      <c r="L246"/>
      <c r="M246"/>
      <c r="N246"/>
    </row>
    <row r="247" spans="2:14">
      <c r="B247"/>
      <c r="C247"/>
      <c r="D247"/>
      <c r="E247"/>
      <c r="F247"/>
      <c r="G247"/>
      <c r="H247"/>
      <c r="I247"/>
      <c r="J247"/>
      <c r="K247"/>
      <c r="L247"/>
      <c r="M247"/>
      <c r="N247"/>
    </row>
    <row r="248" spans="2:14">
      <c r="B248"/>
      <c r="C248"/>
      <c r="D248"/>
      <c r="E248"/>
      <c r="F248"/>
      <c r="G248"/>
      <c r="H248"/>
      <c r="I248"/>
      <c r="J248"/>
      <c r="K248"/>
      <c r="L248"/>
      <c r="M248"/>
      <c r="N248"/>
    </row>
    <row r="249" spans="2:14">
      <c r="B249"/>
      <c r="C249"/>
      <c r="D249"/>
      <c r="E249"/>
      <c r="F249"/>
      <c r="G249"/>
      <c r="H249"/>
      <c r="I249"/>
      <c r="J249"/>
      <c r="K249"/>
      <c r="L249"/>
      <c r="M249"/>
      <c r="N249"/>
    </row>
    <row r="250" spans="2:14">
      <c r="B250"/>
      <c r="C250"/>
      <c r="D250"/>
      <c r="E250"/>
      <c r="F250"/>
      <c r="G250"/>
      <c r="H250"/>
      <c r="I250"/>
      <c r="J250"/>
      <c r="K250"/>
      <c r="L250"/>
      <c r="M250"/>
      <c r="N250"/>
    </row>
    <row r="251" spans="2:14">
      <c r="B251"/>
      <c r="C251"/>
      <c r="D251"/>
      <c r="E251"/>
      <c r="F251"/>
      <c r="G251"/>
      <c r="H251"/>
      <c r="I251"/>
      <c r="J251"/>
      <c r="K251"/>
      <c r="L251"/>
      <c r="M251"/>
      <c r="N251"/>
    </row>
    <row r="252" spans="2:14">
      <c r="B252"/>
      <c r="C252"/>
      <c r="D252"/>
      <c r="E252"/>
      <c r="F252"/>
      <c r="G252"/>
      <c r="H252"/>
      <c r="I252"/>
      <c r="J252"/>
      <c r="K252"/>
      <c r="L252"/>
      <c r="M252"/>
      <c r="N252"/>
    </row>
    <row r="253" spans="2:14">
      <c r="B253"/>
      <c r="C253"/>
      <c r="D253"/>
      <c r="E253"/>
      <c r="F253"/>
      <c r="G253"/>
      <c r="H253"/>
      <c r="I253"/>
      <c r="J253"/>
      <c r="K253"/>
      <c r="L253"/>
      <c r="M253"/>
      <c r="N253"/>
    </row>
    <row r="254" spans="2:14">
      <c r="B254"/>
      <c r="C254"/>
      <c r="D254"/>
      <c r="E254"/>
      <c r="F254"/>
      <c r="G254"/>
      <c r="H254"/>
      <c r="I254"/>
      <c r="J254"/>
      <c r="K254"/>
      <c r="L254"/>
      <c r="M254"/>
      <c r="N254"/>
    </row>
    <row r="255" spans="2:14">
      <c r="B255"/>
      <c r="C255"/>
      <c r="D255"/>
      <c r="E255"/>
      <c r="F255"/>
      <c r="G255"/>
      <c r="H255"/>
      <c r="I255"/>
      <c r="J255"/>
      <c r="K255"/>
      <c r="L255"/>
      <c r="M255"/>
      <c r="N255"/>
    </row>
    <row r="256" spans="2:14">
      <c r="B256"/>
      <c r="C256"/>
      <c r="D256"/>
      <c r="E256"/>
      <c r="F256"/>
      <c r="G256"/>
      <c r="H256"/>
      <c r="I256"/>
      <c r="J256"/>
      <c r="K256"/>
      <c r="L256"/>
      <c r="M256"/>
      <c r="N256"/>
    </row>
    <row r="257" spans="2:14">
      <c r="B257"/>
      <c r="C257"/>
      <c r="D257"/>
      <c r="E257"/>
      <c r="F257"/>
      <c r="G257"/>
      <c r="H257"/>
      <c r="I257"/>
      <c r="J257"/>
      <c r="K257"/>
      <c r="L257"/>
      <c r="M257"/>
      <c r="N257"/>
    </row>
    <row r="258" spans="2:14">
      <c r="B258"/>
      <c r="C258"/>
      <c r="D258"/>
      <c r="E258"/>
      <c r="F258"/>
      <c r="G258"/>
      <c r="H258"/>
      <c r="I258"/>
      <c r="J258"/>
      <c r="K258"/>
      <c r="L258"/>
      <c r="M258"/>
      <c r="N258"/>
    </row>
    <row r="259" spans="2:14">
      <c r="B259"/>
      <c r="C259"/>
      <c r="D259"/>
      <c r="E259"/>
      <c r="F259"/>
      <c r="G259"/>
      <c r="H259"/>
      <c r="I259"/>
      <c r="J259"/>
      <c r="K259"/>
      <c r="L259"/>
      <c r="M259"/>
      <c r="N259"/>
    </row>
    <row r="260" spans="2:14">
      <c r="B260"/>
      <c r="C260"/>
      <c r="D260"/>
      <c r="E260"/>
      <c r="F260"/>
      <c r="G260"/>
      <c r="H260"/>
      <c r="I260"/>
      <c r="J260"/>
      <c r="K260"/>
      <c r="L260"/>
      <c r="M260"/>
      <c r="N260"/>
    </row>
    <row r="261" spans="2:14">
      <c r="B261"/>
      <c r="C261"/>
      <c r="D261"/>
      <c r="E261"/>
      <c r="F261"/>
      <c r="G261"/>
      <c r="H261"/>
      <c r="I261"/>
      <c r="J261"/>
      <c r="K261"/>
      <c r="L261"/>
      <c r="M261"/>
      <c r="N261"/>
    </row>
    <row r="262" spans="2:14">
      <c r="B262"/>
      <c r="C262"/>
      <c r="D262"/>
      <c r="E262"/>
      <c r="F262"/>
      <c r="G262"/>
      <c r="H262"/>
      <c r="I262"/>
      <c r="J262"/>
      <c r="K262"/>
      <c r="L262"/>
      <c r="M262"/>
      <c r="N262"/>
    </row>
    <row r="263" spans="2:14">
      <c r="B263"/>
      <c r="C263"/>
      <c r="D263"/>
      <c r="E263"/>
      <c r="F263"/>
      <c r="G263"/>
      <c r="H263"/>
      <c r="I263"/>
      <c r="J263"/>
      <c r="K263"/>
      <c r="L263"/>
      <c r="M263"/>
      <c r="N263"/>
    </row>
    <row r="264" spans="2:14">
      <c r="B264"/>
      <c r="C264"/>
      <c r="D264"/>
      <c r="E264"/>
      <c r="F264"/>
      <c r="G264"/>
      <c r="H264"/>
      <c r="I264"/>
      <c r="J264"/>
      <c r="K264"/>
      <c r="L264"/>
      <c r="M264"/>
      <c r="N264"/>
    </row>
    <row r="265" spans="2:14">
      <c r="B265"/>
      <c r="C265"/>
      <c r="D265"/>
      <c r="E265"/>
      <c r="F265"/>
      <c r="G265"/>
      <c r="H265"/>
      <c r="I265"/>
      <c r="J265"/>
      <c r="K265"/>
      <c r="L265"/>
      <c r="M265"/>
      <c r="N265"/>
    </row>
    <row r="266" spans="2:14">
      <c r="B266"/>
      <c r="C266"/>
      <c r="D266"/>
      <c r="E266"/>
      <c r="F266"/>
      <c r="G266"/>
      <c r="H266"/>
      <c r="I266"/>
      <c r="J266"/>
      <c r="K266"/>
      <c r="L266"/>
      <c r="M266"/>
      <c r="N266"/>
    </row>
    <row r="267" spans="2:14">
      <c r="B267"/>
      <c r="C267"/>
      <c r="D267"/>
      <c r="E267"/>
      <c r="F267"/>
      <c r="G267"/>
      <c r="H267"/>
      <c r="I267"/>
      <c r="J267"/>
      <c r="K267"/>
      <c r="L267"/>
      <c r="M267"/>
      <c r="N267"/>
    </row>
    <row r="268" spans="2:14">
      <c r="B268"/>
      <c r="C268"/>
      <c r="D268"/>
      <c r="E268"/>
      <c r="F268"/>
      <c r="G268"/>
      <c r="H268"/>
      <c r="I268"/>
      <c r="J268"/>
      <c r="K268"/>
      <c r="L268"/>
      <c r="M268"/>
      <c r="N268"/>
    </row>
    <row r="269" spans="2:14">
      <c r="B269"/>
      <c r="C269"/>
      <c r="D269"/>
      <c r="E269"/>
      <c r="F269"/>
      <c r="G269"/>
      <c r="H269"/>
      <c r="I269"/>
      <c r="J269"/>
      <c r="K269"/>
      <c r="L269"/>
      <c r="M269"/>
      <c r="N269"/>
    </row>
    <row r="270" spans="2:14">
      <c r="B270"/>
      <c r="C270"/>
      <c r="D270"/>
      <c r="E270"/>
      <c r="F270"/>
      <c r="G270"/>
      <c r="H270"/>
      <c r="I270"/>
      <c r="J270"/>
      <c r="K270"/>
      <c r="L270"/>
      <c r="M270"/>
      <c r="N270"/>
    </row>
    <row r="271" spans="2:14">
      <c r="B271"/>
      <c r="C271"/>
      <c r="D271"/>
      <c r="E271"/>
      <c r="F271"/>
      <c r="G271"/>
      <c r="H271"/>
      <c r="I271"/>
      <c r="J271"/>
      <c r="K271"/>
      <c r="L271"/>
      <c r="M271"/>
      <c r="N271"/>
    </row>
    <row r="272" spans="2:14">
      <c r="B272"/>
      <c r="C272"/>
      <c r="D272"/>
      <c r="E272"/>
      <c r="F272"/>
      <c r="G272"/>
      <c r="H272"/>
      <c r="I272"/>
      <c r="J272"/>
      <c r="K272"/>
      <c r="L272"/>
      <c r="M272"/>
      <c r="N272"/>
    </row>
    <row r="273" spans="2:14">
      <c r="B273"/>
      <c r="C273"/>
      <c r="D273"/>
      <c r="E273"/>
      <c r="F273"/>
      <c r="G273"/>
      <c r="H273"/>
      <c r="I273"/>
      <c r="J273"/>
      <c r="K273"/>
      <c r="L273"/>
      <c r="M273"/>
      <c r="N273"/>
    </row>
    <row r="274" spans="2:14">
      <c r="B274"/>
      <c r="C274"/>
      <c r="D274"/>
      <c r="E274"/>
      <c r="F274"/>
      <c r="G274"/>
      <c r="H274"/>
      <c r="I274"/>
      <c r="J274"/>
      <c r="K274"/>
      <c r="L274"/>
      <c r="M274"/>
      <c r="N274"/>
    </row>
    <row r="275" spans="2:14">
      <c r="B275"/>
      <c r="C275"/>
      <c r="D275"/>
      <c r="E275"/>
      <c r="F275"/>
      <c r="G275"/>
      <c r="H275"/>
      <c r="I275"/>
      <c r="J275"/>
      <c r="K275"/>
      <c r="L275"/>
      <c r="M275"/>
      <c r="N275"/>
    </row>
    <row r="276" spans="2:14">
      <c r="B276"/>
      <c r="C276"/>
      <c r="D276"/>
      <c r="E276"/>
      <c r="F276"/>
      <c r="G276"/>
      <c r="H276"/>
      <c r="I276"/>
      <c r="J276"/>
      <c r="K276"/>
      <c r="L276"/>
      <c r="M276"/>
      <c r="N276"/>
    </row>
    <row r="277" spans="2:14">
      <c r="B277"/>
      <c r="C277"/>
      <c r="D277"/>
      <c r="E277"/>
      <c r="F277"/>
      <c r="G277"/>
      <c r="H277"/>
      <c r="I277"/>
      <c r="J277"/>
      <c r="K277"/>
      <c r="L277"/>
      <c r="M277"/>
      <c r="N277"/>
    </row>
    <row r="278" spans="2:14">
      <c r="B278"/>
      <c r="C278"/>
      <c r="D278"/>
      <c r="E278"/>
      <c r="F278"/>
      <c r="G278"/>
      <c r="H278"/>
      <c r="I278"/>
      <c r="J278"/>
      <c r="K278"/>
      <c r="L278"/>
      <c r="M278"/>
      <c r="N278"/>
    </row>
    <row r="279" spans="2:14">
      <c r="B279"/>
      <c r="C279"/>
      <c r="D279"/>
      <c r="E279"/>
      <c r="F279"/>
      <c r="G279"/>
      <c r="H279"/>
      <c r="I279"/>
      <c r="J279"/>
      <c r="K279"/>
      <c r="L279"/>
      <c r="M279"/>
      <c r="N279"/>
    </row>
    <row r="280" spans="2:14">
      <c r="B280"/>
      <c r="C280"/>
      <c r="D280"/>
      <c r="E280"/>
      <c r="F280"/>
      <c r="G280"/>
      <c r="H280"/>
      <c r="I280"/>
      <c r="J280"/>
      <c r="K280"/>
      <c r="L280"/>
      <c r="M280"/>
      <c r="N280"/>
    </row>
    <row r="281" spans="2:14">
      <c r="B281"/>
      <c r="C281"/>
      <c r="D281"/>
      <c r="E281"/>
      <c r="F281"/>
      <c r="G281"/>
      <c r="H281"/>
      <c r="I281"/>
      <c r="J281"/>
      <c r="K281"/>
      <c r="L281"/>
      <c r="M281"/>
      <c r="N281"/>
    </row>
    <row r="282" spans="2:14">
      <c r="B282"/>
      <c r="C282"/>
      <c r="D282"/>
      <c r="E282"/>
      <c r="F282"/>
      <c r="G282"/>
      <c r="H282"/>
      <c r="I282"/>
      <c r="J282"/>
      <c r="K282"/>
      <c r="L282"/>
      <c r="M282"/>
      <c r="N282"/>
    </row>
    <row r="283" spans="2:14">
      <c r="B283"/>
      <c r="C283"/>
      <c r="D283"/>
      <c r="E283"/>
      <c r="F283"/>
      <c r="G283"/>
      <c r="H283"/>
      <c r="I283"/>
      <c r="J283"/>
      <c r="K283"/>
      <c r="L283"/>
      <c r="M283"/>
      <c r="N283"/>
    </row>
    <row r="284" spans="2:14">
      <c r="B284"/>
      <c r="C284"/>
      <c r="D284"/>
      <c r="E284"/>
      <c r="F284"/>
      <c r="G284"/>
      <c r="H284"/>
      <c r="I284"/>
      <c r="J284"/>
      <c r="K284"/>
      <c r="L284"/>
      <c r="M284"/>
      <c r="N284"/>
    </row>
    <row r="285" spans="2:14">
      <c r="B285"/>
      <c r="C285"/>
      <c r="D285"/>
      <c r="E285"/>
      <c r="F285"/>
      <c r="G285"/>
      <c r="H285"/>
      <c r="I285"/>
      <c r="J285"/>
      <c r="K285"/>
      <c r="L285"/>
      <c r="M285"/>
      <c r="N285"/>
    </row>
    <row r="286" spans="2:14">
      <c r="B286"/>
      <c r="C286"/>
      <c r="D286"/>
      <c r="E286"/>
      <c r="F286"/>
      <c r="G286"/>
      <c r="H286"/>
      <c r="I286"/>
      <c r="J286"/>
      <c r="K286"/>
      <c r="L286"/>
      <c r="M286"/>
      <c r="N286"/>
    </row>
    <row r="287" spans="2:14">
      <c r="B287"/>
      <c r="C287"/>
      <c r="D287"/>
      <c r="E287"/>
      <c r="F287"/>
      <c r="G287"/>
      <c r="H287"/>
      <c r="I287"/>
      <c r="J287"/>
      <c r="K287"/>
      <c r="L287"/>
      <c r="M287"/>
      <c r="N287"/>
    </row>
    <row r="288" spans="2:14">
      <c r="B288"/>
      <c r="C288"/>
      <c r="D288"/>
      <c r="E288"/>
      <c r="F288"/>
      <c r="G288"/>
      <c r="H288"/>
      <c r="I288"/>
      <c r="J288"/>
      <c r="K288"/>
      <c r="L288"/>
      <c r="M288"/>
      <c r="N288"/>
    </row>
    <row r="289" spans="2:22">
      <c r="B289"/>
      <c r="C289"/>
      <c r="D289"/>
      <c r="E289"/>
      <c r="F289"/>
      <c r="G289"/>
      <c r="H289"/>
      <c r="I289"/>
      <c r="J289"/>
      <c r="K289"/>
      <c r="L289"/>
      <c r="M289"/>
      <c r="N289"/>
    </row>
    <row r="290" spans="2:22">
      <c r="B290"/>
      <c r="C290"/>
      <c r="D290"/>
      <c r="E290"/>
      <c r="F290"/>
      <c r="G290"/>
      <c r="H290"/>
      <c r="I290"/>
      <c r="J290"/>
      <c r="K290"/>
      <c r="L290"/>
      <c r="M290"/>
      <c r="N290"/>
    </row>
    <row r="291" spans="2:22">
      <c r="B291"/>
      <c r="C291"/>
      <c r="D291"/>
      <c r="E291"/>
      <c r="F291"/>
      <c r="G291"/>
      <c r="H291"/>
      <c r="I291"/>
      <c r="J291"/>
      <c r="K291"/>
      <c r="L291"/>
      <c r="M291"/>
      <c r="N291"/>
    </row>
    <row r="292" spans="2:22">
      <c r="B292"/>
      <c r="C292"/>
      <c r="D292"/>
      <c r="E292"/>
      <c r="F292"/>
      <c r="G292"/>
      <c r="H292"/>
      <c r="I292"/>
      <c r="J292"/>
      <c r="K292"/>
      <c r="L292"/>
      <c r="M292"/>
      <c r="N292"/>
    </row>
    <row r="293" spans="2:22">
      <c r="B293"/>
      <c r="C293"/>
      <c r="D293"/>
      <c r="E293"/>
      <c r="F293"/>
      <c r="G293"/>
      <c r="H293"/>
      <c r="I293"/>
      <c r="J293"/>
      <c r="K293"/>
      <c r="L293"/>
      <c r="M293"/>
      <c r="N293"/>
    </row>
    <row r="294" spans="2:22">
      <c r="B294"/>
      <c r="C294"/>
      <c r="D294"/>
      <c r="E294"/>
      <c r="F294"/>
      <c r="G294"/>
      <c r="H294"/>
      <c r="I294"/>
      <c r="J294"/>
      <c r="K294"/>
      <c r="L294"/>
      <c r="M294"/>
      <c r="N294"/>
    </row>
    <row r="295" spans="2:22">
      <c r="B295"/>
      <c r="C295"/>
      <c r="D295"/>
      <c r="E295"/>
      <c r="F295"/>
      <c r="G295"/>
      <c r="H295"/>
      <c r="I295"/>
      <c r="J295"/>
      <c r="K295"/>
      <c r="L295"/>
      <c r="M295"/>
      <c r="N295"/>
    </row>
    <row r="296" spans="2:22">
      <c r="B296"/>
      <c r="C296"/>
      <c r="D296"/>
      <c r="E296"/>
      <c r="F296"/>
      <c r="G296"/>
      <c r="H296"/>
      <c r="I296"/>
      <c r="J296"/>
      <c r="K296"/>
      <c r="L296"/>
      <c r="M296"/>
      <c r="N296"/>
    </row>
    <row r="297" spans="2:22">
      <c r="B297"/>
      <c r="C297"/>
      <c r="D297"/>
      <c r="E297"/>
      <c r="F297"/>
      <c r="G297"/>
      <c r="H297"/>
      <c r="I297"/>
      <c r="J297"/>
      <c r="K297"/>
      <c r="L297"/>
      <c r="M297"/>
      <c r="N297"/>
    </row>
    <row r="298" spans="2:22">
      <c r="B298"/>
      <c r="C298"/>
      <c r="D298" s="17"/>
      <c r="I298" s="17"/>
      <c r="J298" s="17"/>
      <c r="K298" s="17"/>
    </row>
    <row r="299" spans="2:22">
      <c r="B299"/>
      <c r="C299"/>
      <c r="D299" s="17"/>
      <c r="I299" s="17"/>
      <c r="J299" s="17"/>
      <c r="K299" s="17"/>
    </row>
    <row r="300" spans="2:22">
      <c r="B300"/>
      <c r="C300"/>
      <c r="D300" s="17"/>
      <c r="I300" s="17"/>
      <c r="J300" s="17"/>
      <c r="K300" s="17"/>
    </row>
    <row r="301" spans="2:22">
      <c r="B301"/>
      <c r="C301"/>
      <c r="D301" s="17"/>
      <c r="I301" s="17"/>
      <c r="J301" s="17"/>
      <c r="K301" s="17"/>
      <c r="S301" s="19"/>
      <c r="T301" s="19"/>
      <c r="U301" s="19"/>
      <c r="V301" s="19"/>
    </row>
    <row r="302" spans="2:22">
      <c r="B302"/>
      <c r="C302"/>
      <c r="D302" s="17"/>
      <c r="I302" s="17"/>
      <c r="J302" s="17"/>
      <c r="K302" s="17"/>
      <c r="S302" s="19"/>
      <c r="T302" s="19"/>
      <c r="U302" s="19"/>
      <c r="V302" s="19"/>
    </row>
    <row r="303" spans="2:22">
      <c r="B303"/>
      <c r="C303"/>
      <c r="D303" s="17"/>
      <c r="I303" s="17"/>
      <c r="J303" s="17"/>
      <c r="K303" s="17"/>
      <c r="S303" s="19"/>
      <c r="T303" s="19"/>
      <c r="U303" s="19"/>
      <c r="V303" s="19"/>
    </row>
    <row r="304" spans="2:22">
      <c r="B304"/>
      <c r="C304"/>
      <c r="D304" s="17"/>
      <c r="I304" s="17"/>
      <c r="J304" s="17"/>
      <c r="K304" s="17"/>
      <c r="S304" s="19"/>
      <c r="T304" s="19"/>
      <c r="U304" s="19"/>
      <c r="V304" s="19"/>
    </row>
    <row r="305" spans="2:22">
      <c r="B305"/>
      <c r="C305"/>
      <c r="D305" s="17"/>
      <c r="I305" s="17"/>
      <c r="J305" s="17"/>
      <c r="K305" s="17"/>
      <c r="S305" s="19"/>
      <c r="T305" s="19"/>
      <c r="U305" s="19"/>
      <c r="V305" s="19"/>
    </row>
    <row r="306" spans="2:22">
      <c r="B306"/>
      <c r="C306"/>
      <c r="D306" s="17"/>
      <c r="I306" s="17"/>
      <c r="J306" s="17"/>
      <c r="K306" s="17"/>
      <c r="S306" s="19"/>
      <c r="T306" s="19"/>
      <c r="U306" s="19"/>
      <c r="V306" s="19"/>
    </row>
    <row r="307" spans="2:22">
      <c r="B307"/>
      <c r="C307"/>
      <c r="D307" s="17"/>
      <c r="I307" s="17"/>
      <c r="J307" s="17"/>
      <c r="K307" s="17"/>
    </row>
    <row r="308" spans="2:22">
      <c r="B308"/>
      <c r="C308"/>
      <c r="D308" s="17"/>
      <c r="I308" s="17"/>
      <c r="J308" s="17"/>
      <c r="K308" s="17"/>
    </row>
    <row r="309" spans="2:22">
      <c r="B309" s="17"/>
      <c r="C309" s="17"/>
      <c r="D309" s="17"/>
      <c r="I309" s="17"/>
      <c r="J309" s="17"/>
      <c r="K309" s="17"/>
    </row>
    <row r="310" spans="2:22">
      <c r="B310" s="17"/>
      <c r="C310" s="17"/>
      <c r="D310" s="17"/>
      <c r="I310" s="17"/>
      <c r="J310" s="17"/>
      <c r="K310" s="17"/>
    </row>
    <row r="311" spans="2:22">
      <c r="B311" s="17"/>
      <c r="C311" s="17"/>
      <c r="D311" s="17"/>
      <c r="I311" s="17"/>
      <c r="J311" s="17"/>
      <c r="K311" s="17"/>
    </row>
    <row r="312" spans="2:22">
      <c r="B312" s="17"/>
      <c r="C312" s="17"/>
      <c r="D312" s="17"/>
      <c r="I312" s="17"/>
      <c r="J312" s="17"/>
      <c r="K312" s="17"/>
    </row>
    <row r="313" spans="2:22">
      <c r="B313" s="17"/>
      <c r="C313" s="17"/>
      <c r="D313" s="17"/>
      <c r="I313" s="17"/>
      <c r="J313" s="17"/>
      <c r="K313" s="17"/>
    </row>
    <row r="314" spans="2:22">
      <c r="B314" s="17"/>
      <c r="C314" s="17"/>
      <c r="D314" s="17"/>
      <c r="I314" s="17"/>
      <c r="J314" s="17"/>
      <c r="K314" s="17"/>
    </row>
    <row r="315" spans="2:22">
      <c r="B315" s="17"/>
      <c r="C315" s="17"/>
      <c r="D315" s="17"/>
      <c r="I315" s="17"/>
      <c r="J315" s="17"/>
      <c r="K315" s="17"/>
    </row>
    <row r="316" spans="2:22">
      <c r="B316" s="17"/>
      <c r="C316" s="17"/>
      <c r="D316" s="17"/>
      <c r="I316" s="17"/>
      <c r="J316" s="17"/>
      <c r="K316" s="17"/>
    </row>
    <row r="317" spans="2:22">
      <c r="B317" s="17"/>
      <c r="C317" s="17"/>
      <c r="D317" s="17"/>
      <c r="I317" s="17"/>
      <c r="J317" s="17"/>
      <c r="K317" s="17"/>
    </row>
    <row r="318" spans="2:22">
      <c r="B318" s="17"/>
      <c r="C318" s="17"/>
      <c r="D318" s="17"/>
      <c r="I318" s="17"/>
      <c r="J318" s="17"/>
      <c r="K318" s="17"/>
    </row>
    <row r="319" spans="2:22">
      <c r="B319" s="17"/>
      <c r="C319" s="17"/>
      <c r="D319" s="17"/>
      <c r="I319" s="17"/>
      <c r="J319" s="17"/>
      <c r="K319" s="17"/>
    </row>
    <row r="320" spans="2:22">
      <c r="B320" s="17"/>
      <c r="C320" s="17"/>
      <c r="D320" s="17"/>
      <c r="I320" s="17"/>
      <c r="J320" s="17"/>
      <c r="K320" s="17"/>
    </row>
    <row r="321" spans="2:11">
      <c r="B321" s="17"/>
      <c r="C321" s="17"/>
      <c r="D321" s="17"/>
      <c r="I321" s="17"/>
      <c r="J321" s="17"/>
      <c r="K321" s="17"/>
    </row>
    <row r="322" spans="2:11">
      <c r="B322" s="17"/>
      <c r="C322" s="17"/>
      <c r="D322" s="17"/>
      <c r="I322" s="17"/>
      <c r="J322" s="17"/>
      <c r="K322" s="17"/>
    </row>
    <row r="323" spans="2:11">
      <c r="B323" s="17"/>
      <c r="C323" s="17"/>
      <c r="D323" s="17"/>
      <c r="I323" s="17"/>
      <c r="J323" s="17"/>
      <c r="K323" s="17"/>
    </row>
    <row r="324" spans="2:11">
      <c r="B324" s="17"/>
      <c r="C324" s="17"/>
      <c r="D324" s="17"/>
      <c r="I324" s="17"/>
      <c r="J324" s="17"/>
      <c r="K324" s="17"/>
    </row>
    <row r="325" spans="2:11">
      <c r="B325" s="17"/>
      <c r="C325" s="17"/>
      <c r="D325" s="17"/>
      <c r="I325" s="17"/>
      <c r="J325" s="17"/>
      <c r="K325" s="17"/>
    </row>
    <row r="326" spans="2:11">
      <c r="B326" s="17"/>
      <c r="C326" s="17"/>
      <c r="D326" s="17"/>
      <c r="I326" s="17"/>
      <c r="J326" s="17"/>
      <c r="K326" s="17"/>
    </row>
    <row r="327" spans="2:11">
      <c r="B327" s="17"/>
      <c r="C327" s="17"/>
      <c r="D327" s="17"/>
      <c r="I327" s="17"/>
      <c r="J327" s="17"/>
      <c r="K327" s="17"/>
    </row>
    <row r="328" spans="2:11">
      <c r="B328" s="17"/>
      <c r="C328" s="17"/>
      <c r="D328" s="17"/>
      <c r="I328" s="17"/>
      <c r="J328" s="17"/>
      <c r="K328" s="17"/>
    </row>
    <row r="329" spans="2:11">
      <c r="B329" s="17"/>
      <c r="C329" s="17"/>
      <c r="D329" s="17"/>
      <c r="I329" s="17"/>
      <c r="J329" s="17"/>
      <c r="K329" s="17"/>
    </row>
    <row r="330" spans="2:11">
      <c r="B330" s="17"/>
      <c r="C330" s="17"/>
      <c r="D330" s="17"/>
      <c r="I330" s="17"/>
      <c r="J330" s="17"/>
      <c r="K330" s="17"/>
    </row>
    <row r="331" spans="2:11">
      <c r="B331" s="17"/>
      <c r="C331" s="17"/>
      <c r="D331" s="17"/>
      <c r="I331" s="17"/>
      <c r="J331" s="17"/>
      <c r="K331" s="17"/>
    </row>
    <row r="332" spans="2:11">
      <c r="B332" s="17"/>
      <c r="C332" s="17"/>
      <c r="D332" s="17"/>
      <c r="I332" s="17"/>
      <c r="J332" s="17"/>
      <c r="K332" s="17"/>
    </row>
    <row r="333" spans="2:11">
      <c r="B333" s="17"/>
      <c r="C333" s="17"/>
      <c r="D333" s="17"/>
      <c r="I333" s="17"/>
      <c r="J333" s="17"/>
      <c r="K333" s="17"/>
    </row>
    <row r="334" spans="2:11">
      <c r="B334" s="17"/>
      <c r="C334" s="17"/>
      <c r="D334" s="17"/>
      <c r="I334" s="17"/>
      <c r="J334" s="17"/>
      <c r="K334" s="17"/>
    </row>
    <row r="335" spans="2:11">
      <c r="B335" s="17"/>
      <c r="C335" s="17"/>
      <c r="D335" s="17"/>
      <c r="I335" s="17"/>
      <c r="J335" s="17"/>
      <c r="K335" s="17"/>
    </row>
    <row r="336" spans="2:11">
      <c r="B336" s="17"/>
      <c r="C336" s="17"/>
      <c r="D336" s="17"/>
      <c r="I336" s="17"/>
      <c r="J336" s="17"/>
      <c r="K336" s="17"/>
    </row>
    <row r="337" spans="2:11">
      <c r="B337" s="17"/>
      <c r="C337" s="17"/>
      <c r="D337" s="17"/>
      <c r="I337" s="17"/>
      <c r="J337" s="17"/>
      <c r="K337" s="17"/>
    </row>
    <row r="338" spans="2:11">
      <c r="B338" s="17"/>
      <c r="C338" s="17"/>
      <c r="D338" s="17"/>
      <c r="I338" s="17"/>
      <c r="J338" s="17"/>
      <c r="K338" s="17"/>
    </row>
    <row r="339" spans="2:11">
      <c r="B339" s="17"/>
      <c r="C339" s="17"/>
      <c r="D339" s="17"/>
      <c r="I339" s="17"/>
      <c r="J339" s="17"/>
      <c r="K339" s="17"/>
    </row>
    <row r="340" spans="2:11">
      <c r="B340" s="17"/>
      <c r="C340" s="17"/>
      <c r="D340" s="17"/>
      <c r="I340" s="17"/>
      <c r="J340" s="17"/>
      <c r="K340" s="17"/>
    </row>
    <row r="341" spans="2:11">
      <c r="B341" s="17"/>
      <c r="C341" s="17"/>
      <c r="D341" s="17"/>
      <c r="I341" s="17"/>
      <c r="J341" s="17"/>
      <c r="K341" s="17"/>
    </row>
    <row r="342" spans="2:11">
      <c r="B342" s="17"/>
      <c r="C342" s="17"/>
      <c r="D342" s="17"/>
      <c r="I342" s="17"/>
      <c r="J342" s="17"/>
      <c r="K342" s="17"/>
    </row>
    <row r="343" spans="2:11">
      <c r="B343" s="17"/>
      <c r="C343" s="17"/>
      <c r="D343" s="17"/>
      <c r="I343" s="17"/>
      <c r="J343" s="17"/>
      <c r="K343" s="17"/>
    </row>
    <row r="344" spans="2:11">
      <c r="B344" s="17"/>
      <c r="C344" s="17"/>
      <c r="D344" s="17"/>
      <c r="I344" s="17"/>
      <c r="J344" s="17"/>
      <c r="K344" s="17"/>
    </row>
    <row r="345" spans="2:11">
      <c r="B345" s="17"/>
      <c r="C345" s="17"/>
      <c r="D345" s="17"/>
      <c r="I345" s="17"/>
      <c r="J345" s="17"/>
      <c r="K345" s="17"/>
    </row>
    <row r="346" spans="2:11">
      <c r="B346" s="17"/>
      <c r="C346" s="17"/>
      <c r="D346" s="17"/>
      <c r="I346" s="17"/>
      <c r="J346" s="17"/>
      <c r="K346" s="17"/>
    </row>
    <row r="347" spans="2:11">
      <c r="B347" s="17"/>
      <c r="C347" s="17"/>
      <c r="D347" s="17"/>
      <c r="I347" s="17"/>
      <c r="J347" s="17"/>
      <c r="K347" s="17"/>
    </row>
    <row r="348" spans="2:11">
      <c r="B348" s="17"/>
      <c r="C348" s="17"/>
      <c r="D348" s="17"/>
      <c r="I348" s="17"/>
      <c r="J348" s="17"/>
      <c r="K348" s="17"/>
    </row>
    <row r="349" spans="2:11">
      <c r="B349" s="17"/>
      <c r="C349" s="17"/>
      <c r="D349" s="17"/>
      <c r="I349" s="17"/>
      <c r="J349" s="17"/>
      <c r="K349" s="17"/>
    </row>
    <row r="350" spans="2:11">
      <c r="B350" s="17"/>
      <c r="C350" s="17"/>
      <c r="D350" s="17"/>
      <c r="I350" s="17"/>
      <c r="J350" s="17"/>
      <c r="K350" s="17"/>
    </row>
    <row r="351" spans="2:11">
      <c r="B351" s="17"/>
      <c r="C351" s="17"/>
      <c r="D351" s="17"/>
      <c r="I351" s="17"/>
      <c r="J351" s="17"/>
      <c r="K351" s="17"/>
    </row>
    <row r="352" spans="2:11">
      <c r="B352" s="17"/>
      <c r="C352" s="17"/>
      <c r="D352" s="17"/>
      <c r="I352" s="17"/>
      <c r="J352" s="17"/>
      <c r="K352" s="17"/>
    </row>
    <row r="353" spans="2:11">
      <c r="B353" s="17"/>
      <c r="C353" s="17"/>
      <c r="D353" s="17"/>
      <c r="I353" s="17"/>
      <c r="J353" s="17"/>
      <c r="K353" s="17"/>
    </row>
    <row r="354" spans="2:11">
      <c r="B354" s="17"/>
      <c r="C354" s="17"/>
      <c r="D354" s="17"/>
      <c r="I354" s="17"/>
      <c r="J354" s="17"/>
      <c r="K354" s="17"/>
    </row>
    <row r="355" spans="2:11">
      <c r="B355" s="17"/>
      <c r="C355" s="17"/>
      <c r="D355" s="17"/>
      <c r="I355" s="17"/>
      <c r="J355" s="17"/>
      <c r="K355" s="17"/>
    </row>
    <row r="356" spans="2:11">
      <c r="B356" s="17"/>
      <c r="C356" s="17"/>
      <c r="D356" s="17"/>
      <c r="I356" s="17"/>
      <c r="J356" s="17"/>
      <c r="K356" s="17"/>
    </row>
    <row r="357" spans="2:11">
      <c r="B357" s="17"/>
      <c r="C357" s="17"/>
      <c r="D357" s="17"/>
      <c r="I357" s="17"/>
      <c r="J357" s="17"/>
      <c r="K357" s="17"/>
    </row>
    <row r="358" spans="2:11">
      <c r="B358" s="17"/>
      <c r="C358" s="17"/>
      <c r="D358" s="17"/>
      <c r="I358" s="17"/>
      <c r="J358" s="17"/>
      <c r="K358" s="17"/>
    </row>
    <row r="359" spans="2:11">
      <c r="B359" s="17"/>
      <c r="C359" s="17"/>
      <c r="D359" s="17"/>
      <c r="I359" s="17"/>
      <c r="J359" s="17"/>
      <c r="K359" s="17"/>
    </row>
    <row r="360" spans="2:11">
      <c r="B360" s="17"/>
      <c r="C360" s="17"/>
      <c r="D360" s="17"/>
      <c r="I360" s="17"/>
      <c r="J360" s="17"/>
      <c r="K360" s="17"/>
    </row>
    <row r="361" spans="2:11">
      <c r="B361" s="17"/>
      <c r="C361" s="17"/>
      <c r="D361" s="17"/>
      <c r="I361" s="17"/>
      <c r="J361" s="17"/>
      <c r="K361" s="17"/>
    </row>
    <row r="362" spans="2:11">
      <c r="I362" s="17"/>
      <c r="J362" s="17"/>
      <c r="K362" s="17"/>
    </row>
    <row r="363" spans="2:11">
      <c r="I363" s="17"/>
      <c r="J363" s="17"/>
      <c r="K363" s="17"/>
    </row>
    <row r="364" spans="2:11">
      <c r="I364" s="17"/>
      <c r="J364" s="17"/>
      <c r="K364" s="17"/>
    </row>
    <row r="365" spans="2:11">
      <c r="I365" s="17"/>
      <c r="J365" s="17"/>
      <c r="K365" s="17"/>
    </row>
    <row r="366" spans="2:11">
      <c r="I366" s="17"/>
      <c r="J366" s="17"/>
      <c r="K366" s="17"/>
    </row>
    <row r="367" spans="2:11">
      <c r="I367" s="17"/>
      <c r="J367" s="17"/>
      <c r="K367" s="17"/>
    </row>
    <row r="368" spans="2:11">
      <c r="I368" s="17"/>
      <c r="J368" s="17"/>
      <c r="K368" s="17"/>
    </row>
    <row r="369" spans="9:11">
      <c r="I369" s="17"/>
      <c r="J369" s="17"/>
      <c r="K369" s="17"/>
    </row>
    <row r="370" spans="9:11">
      <c r="I370" s="17"/>
      <c r="J370" s="17"/>
      <c r="K370" s="17"/>
    </row>
    <row r="371" spans="9:11">
      <c r="I371" s="17"/>
      <c r="J371" s="17"/>
      <c r="K371" s="17"/>
    </row>
    <row r="372" spans="9:11">
      <c r="I372" s="17"/>
      <c r="J372" s="17"/>
      <c r="K372" s="17"/>
    </row>
    <row r="373" spans="9:11">
      <c r="I373" s="17"/>
      <c r="J373" s="17"/>
      <c r="K373" s="17"/>
    </row>
    <row r="374" spans="9:11">
      <c r="I374" s="17"/>
      <c r="J374" s="17"/>
      <c r="K374" s="17"/>
    </row>
    <row r="375" spans="9:11">
      <c r="I375" s="17"/>
      <c r="J375" s="17"/>
      <c r="K375" s="17"/>
    </row>
    <row r="376" spans="9:11">
      <c r="I376" s="17"/>
      <c r="J376" s="17"/>
      <c r="K376" s="17"/>
    </row>
    <row r="377" spans="9:11">
      <c r="I377" s="17"/>
      <c r="J377" s="17"/>
      <c r="K377" s="17"/>
    </row>
    <row r="378" spans="9:11">
      <c r="I378" s="17"/>
      <c r="J378" s="17"/>
      <c r="K378" s="17"/>
    </row>
    <row r="379" spans="9:11">
      <c r="I379" s="17"/>
      <c r="J379" s="17"/>
      <c r="K379" s="17"/>
    </row>
  </sheetData>
  <pageMargins left="0.7" right="0.7" top="0.75" bottom="0.75" header="0.3" footer="0.3"/>
  <pageSetup orientation="portrait" r:id="rId1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4991F-FA2A-42F6-A513-74958826E426}">
  <sheetPr codeName="Sheet3">
    <outlinePr summaryBelow="0" summaryRight="0"/>
  </sheetPr>
  <dimension ref="A1:J1288"/>
  <sheetViews>
    <sheetView topLeftCell="B1" workbookViewId="0">
      <selection activeCell="E6" sqref="E6"/>
    </sheetView>
  </sheetViews>
  <sheetFormatPr defaultColWidth="12.5703125" defaultRowHeight="15" customHeight="1"/>
  <cols>
    <col min="1" max="1" width="16.42578125" style="8" bestFit="1" customWidth="1"/>
    <col min="2" max="2" width="24.7109375" style="9" customWidth="1"/>
    <col min="3" max="3" width="54.7109375" style="9" customWidth="1"/>
    <col min="4" max="4" width="22.28515625" style="9" customWidth="1"/>
    <col min="5" max="5" width="56" style="9" bestFit="1" customWidth="1"/>
    <col min="6" max="6" width="19.140625" style="8" bestFit="1" customWidth="1"/>
    <col min="7" max="7" width="13" style="10" bestFit="1" customWidth="1"/>
    <col min="8" max="8" width="14.28515625" style="11" bestFit="1" customWidth="1"/>
    <col min="9" max="9" width="32" style="10" bestFit="1" customWidth="1"/>
    <col min="10" max="16384" width="12.5703125" style="1"/>
  </cols>
  <sheetData>
    <row r="1" spans="1:10" ht="16.5">
      <c r="A1" s="2" t="s">
        <v>0</v>
      </c>
      <c r="B1" s="2" t="s">
        <v>1</v>
      </c>
      <c r="C1" s="2" t="s">
        <v>136</v>
      </c>
      <c r="D1" s="2" t="s">
        <v>2</v>
      </c>
      <c r="E1" s="2" t="s">
        <v>3</v>
      </c>
      <c r="F1" s="3" t="s">
        <v>4</v>
      </c>
      <c r="G1" s="2" t="s">
        <v>5</v>
      </c>
      <c r="H1" s="4" t="s">
        <v>21</v>
      </c>
      <c r="I1" s="5" t="s">
        <v>29</v>
      </c>
      <c r="J1" s="5" t="s">
        <v>177</v>
      </c>
    </row>
    <row r="2" spans="1:10" ht="16.5">
      <c r="A2" s="14" t="s">
        <v>141</v>
      </c>
      <c r="B2" s="15" t="s">
        <v>157</v>
      </c>
      <c r="C2" s="15" t="s">
        <v>16</v>
      </c>
      <c r="D2" s="15" t="s">
        <v>8</v>
      </c>
      <c r="E2" s="15" t="s">
        <v>6</v>
      </c>
      <c r="F2" s="14">
        <v>15</v>
      </c>
      <c r="G2" s="16">
        <v>44570</v>
      </c>
      <c r="H2" s="7">
        <f t="shared" ref="H2:H65" si="0">IFERROR(IF(ISBLANK(F2)=TRUE(),"",F2/60),"")</f>
        <v>0.25</v>
      </c>
      <c r="I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09-Jan-22 - to - 15-Jan-22</v>
      </c>
      <c r="J2" s="24" t="str">
        <f>TEXT(Table1[[#This Row],[Date]],"mmm")</f>
        <v>Jan</v>
      </c>
    </row>
    <row r="3" spans="1:10" ht="16.5">
      <c r="A3" s="14" t="s">
        <v>141</v>
      </c>
      <c r="B3" s="15" t="s">
        <v>142</v>
      </c>
      <c r="C3" s="15" t="s">
        <v>38</v>
      </c>
      <c r="D3" s="15" t="s">
        <v>11</v>
      </c>
      <c r="E3" s="15" t="s">
        <v>38</v>
      </c>
      <c r="F3" s="14">
        <v>50</v>
      </c>
      <c r="G3" s="16">
        <v>44570</v>
      </c>
      <c r="H3" s="7">
        <f t="shared" si="0"/>
        <v>0.83333333333333337</v>
      </c>
      <c r="I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09-Jan-22 - to - 15-Jan-22</v>
      </c>
      <c r="J3" s="24" t="str">
        <f>TEXT(Table1[[#This Row],[Date]],"mmm")</f>
        <v>Jan</v>
      </c>
    </row>
    <row r="4" spans="1:10" ht="16.5">
      <c r="A4" s="14" t="s">
        <v>141</v>
      </c>
      <c r="B4" s="15" t="s">
        <v>39</v>
      </c>
      <c r="C4" s="15" t="s">
        <v>40</v>
      </c>
      <c r="D4" s="15" t="s">
        <v>8</v>
      </c>
      <c r="E4" s="15" t="s">
        <v>40</v>
      </c>
      <c r="F4" s="14">
        <v>20</v>
      </c>
      <c r="G4" s="16">
        <v>44570</v>
      </c>
      <c r="H4" s="7">
        <f t="shared" si="0"/>
        <v>0.33333333333333331</v>
      </c>
      <c r="I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09-Jan-22 - to - 15-Jan-22</v>
      </c>
      <c r="J4" s="24" t="str">
        <f>TEXT(Table1[[#This Row],[Date]],"mmm")</f>
        <v>Jan</v>
      </c>
    </row>
    <row r="5" spans="1:10" ht="16.5">
      <c r="A5" s="14" t="s">
        <v>141</v>
      </c>
      <c r="B5" s="15" t="s">
        <v>157</v>
      </c>
      <c r="C5" s="15" t="s">
        <v>44</v>
      </c>
      <c r="D5" s="15" t="s">
        <v>8</v>
      </c>
      <c r="E5" s="15" t="s">
        <v>12</v>
      </c>
      <c r="F5" s="14">
        <v>90</v>
      </c>
      <c r="G5" s="16">
        <v>44570</v>
      </c>
      <c r="H5" s="7">
        <f t="shared" si="0"/>
        <v>1.5</v>
      </c>
      <c r="I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09-Jan-22 - to - 15-Jan-22</v>
      </c>
      <c r="J5" s="24" t="str">
        <f>TEXT(Table1[[#This Row],[Date]],"mmm")</f>
        <v>Jan</v>
      </c>
    </row>
    <row r="6" spans="1:10" ht="16.5">
      <c r="A6" s="14" t="s">
        <v>141</v>
      </c>
      <c r="B6" s="15" t="s">
        <v>142</v>
      </c>
      <c r="C6" s="15" t="s">
        <v>137</v>
      </c>
      <c r="D6" s="15" t="s">
        <v>11</v>
      </c>
      <c r="E6" s="15" t="s">
        <v>35</v>
      </c>
      <c r="F6" s="14">
        <v>60</v>
      </c>
      <c r="G6" s="16">
        <v>44570</v>
      </c>
      <c r="H6" s="7">
        <f t="shared" si="0"/>
        <v>1</v>
      </c>
      <c r="I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09-Jan-22 - to - 15-Jan-22</v>
      </c>
      <c r="J6" s="24" t="str">
        <f>TEXT(Table1[[#This Row],[Date]],"mmm")</f>
        <v>Jan</v>
      </c>
    </row>
    <row r="7" spans="1:10" ht="16.5">
      <c r="A7" s="14" t="s">
        <v>141</v>
      </c>
      <c r="B7" s="15" t="s">
        <v>142</v>
      </c>
      <c r="C7" s="15" t="s">
        <v>17</v>
      </c>
      <c r="D7" s="15" t="s">
        <v>11</v>
      </c>
      <c r="E7" s="15" t="s">
        <v>17</v>
      </c>
      <c r="F7" s="14">
        <v>60</v>
      </c>
      <c r="G7" s="16">
        <v>44570</v>
      </c>
      <c r="H7" s="7">
        <f t="shared" si="0"/>
        <v>1</v>
      </c>
      <c r="I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09-Jan-22 - to - 15-Jan-22</v>
      </c>
      <c r="J7" s="24" t="str">
        <f>TEXT(Table1[[#This Row],[Date]],"mmm")</f>
        <v>Jan</v>
      </c>
    </row>
    <row r="8" spans="1:10" ht="16.5">
      <c r="A8" s="14" t="s">
        <v>140</v>
      </c>
      <c r="B8" s="15" t="s">
        <v>159</v>
      </c>
      <c r="C8" s="15" t="s">
        <v>41</v>
      </c>
      <c r="D8" s="15" t="s">
        <v>13</v>
      </c>
      <c r="E8" s="15" t="s">
        <v>6</v>
      </c>
      <c r="F8" s="14">
        <v>150</v>
      </c>
      <c r="G8" s="16">
        <v>44570</v>
      </c>
      <c r="H8" s="7">
        <f t="shared" si="0"/>
        <v>2.5</v>
      </c>
      <c r="I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09-Jan-22 - to - 15-Jan-22</v>
      </c>
      <c r="J8" s="24" t="str">
        <f>TEXT(Table1[[#This Row],[Date]],"mmm")</f>
        <v>Jan</v>
      </c>
    </row>
    <row r="9" spans="1:10" ht="16.5">
      <c r="A9" s="14" t="s">
        <v>140</v>
      </c>
      <c r="B9" s="15" t="s">
        <v>42</v>
      </c>
      <c r="C9" s="15" t="s">
        <v>43</v>
      </c>
      <c r="D9" s="15" t="s">
        <v>8</v>
      </c>
      <c r="E9" s="15" t="s">
        <v>6</v>
      </c>
      <c r="F9" s="14">
        <v>45</v>
      </c>
      <c r="G9" s="16">
        <v>44570</v>
      </c>
      <c r="H9" s="7">
        <f t="shared" si="0"/>
        <v>0.75</v>
      </c>
      <c r="I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09-Jan-22 - to - 15-Jan-22</v>
      </c>
      <c r="J9" s="24" t="str">
        <f>TEXT(Table1[[#This Row],[Date]],"mmm")</f>
        <v>Jan</v>
      </c>
    </row>
    <row r="10" spans="1:10" ht="16.5">
      <c r="A10" s="14" t="s">
        <v>140</v>
      </c>
      <c r="B10" s="15" t="s">
        <v>160</v>
      </c>
      <c r="C10" s="15" t="s">
        <v>17</v>
      </c>
      <c r="D10" s="15" t="s">
        <v>11</v>
      </c>
      <c r="E10" s="15" t="s">
        <v>17</v>
      </c>
      <c r="F10" s="14">
        <v>55</v>
      </c>
      <c r="G10" s="16">
        <v>44570</v>
      </c>
      <c r="H10" s="7">
        <f t="shared" si="0"/>
        <v>0.91666666666666663</v>
      </c>
      <c r="I1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09-Jan-22 - to - 15-Jan-22</v>
      </c>
      <c r="J10" s="24" t="str">
        <f>TEXT(Table1[[#This Row],[Date]],"mmm")</f>
        <v>Jan</v>
      </c>
    </row>
    <row r="11" spans="1:10" ht="16.5">
      <c r="A11" s="14" t="s">
        <v>140</v>
      </c>
      <c r="B11" s="15" t="s">
        <v>159</v>
      </c>
      <c r="C11" s="15" t="s">
        <v>44</v>
      </c>
      <c r="D11" s="15" t="s">
        <v>8</v>
      </c>
      <c r="E11" s="15" t="s">
        <v>12</v>
      </c>
      <c r="F11" s="14">
        <v>120</v>
      </c>
      <c r="G11" s="16">
        <v>44570</v>
      </c>
      <c r="H11" s="7">
        <f t="shared" si="0"/>
        <v>2</v>
      </c>
      <c r="I1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09-Jan-22 - to - 15-Jan-22</v>
      </c>
      <c r="J11" s="24" t="str">
        <f>TEXT(Table1[[#This Row],[Date]],"mmm")</f>
        <v>Jan</v>
      </c>
    </row>
    <row r="12" spans="1:10" ht="16.5">
      <c r="A12" s="14" t="s">
        <v>140</v>
      </c>
      <c r="B12" s="15" t="s">
        <v>160</v>
      </c>
      <c r="C12" s="15" t="s">
        <v>14</v>
      </c>
      <c r="D12" s="15" t="s">
        <v>138</v>
      </c>
      <c r="E12" s="15" t="s">
        <v>14</v>
      </c>
      <c r="F12" s="14">
        <v>45</v>
      </c>
      <c r="G12" s="16">
        <v>44570</v>
      </c>
      <c r="H12" s="7">
        <f t="shared" si="0"/>
        <v>0.75</v>
      </c>
      <c r="I1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09-Jan-22 - to - 15-Jan-22</v>
      </c>
      <c r="J12" s="24" t="str">
        <f>TEXT(Table1[[#This Row],[Date]],"mmm")</f>
        <v>Jan</v>
      </c>
    </row>
    <row r="13" spans="1:10" ht="16.5">
      <c r="A13" s="14" t="s">
        <v>140</v>
      </c>
      <c r="B13" s="15" t="s">
        <v>42</v>
      </c>
      <c r="C13" s="15" t="s">
        <v>10</v>
      </c>
      <c r="D13" s="15" t="s">
        <v>11</v>
      </c>
      <c r="E13" s="15" t="s">
        <v>6</v>
      </c>
      <c r="F13" s="14">
        <v>20</v>
      </c>
      <c r="G13" s="16">
        <v>44570</v>
      </c>
      <c r="H13" s="7">
        <f t="shared" si="0"/>
        <v>0.33333333333333331</v>
      </c>
      <c r="I1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09-Jan-22 - to - 15-Jan-22</v>
      </c>
      <c r="J13" s="24" t="str">
        <f>TEXT(Table1[[#This Row],[Date]],"mmm")</f>
        <v>Jan</v>
      </c>
    </row>
    <row r="14" spans="1:10" ht="16.5">
      <c r="A14" s="14" t="s">
        <v>140</v>
      </c>
      <c r="B14" s="15" t="s">
        <v>42</v>
      </c>
      <c r="C14" s="15" t="s">
        <v>45</v>
      </c>
      <c r="D14" s="15" t="s">
        <v>11</v>
      </c>
      <c r="E14" s="15" t="s">
        <v>6</v>
      </c>
      <c r="F14" s="14">
        <v>40</v>
      </c>
      <c r="G14" s="16">
        <v>44570</v>
      </c>
      <c r="H14" s="7">
        <f t="shared" si="0"/>
        <v>0.66666666666666663</v>
      </c>
      <c r="I1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09-Jan-22 - to - 15-Jan-22</v>
      </c>
      <c r="J14" s="24" t="str">
        <f>TEXT(Table1[[#This Row],[Date]],"mmm")</f>
        <v>Jan</v>
      </c>
    </row>
    <row r="15" spans="1:10" ht="16.5">
      <c r="A15" s="14" t="s">
        <v>140</v>
      </c>
      <c r="B15" s="15" t="s">
        <v>159</v>
      </c>
      <c r="C15" s="15" t="s">
        <v>46</v>
      </c>
      <c r="D15" s="15" t="s">
        <v>13</v>
      </c>
      <c r="E15" s="15" t="s">
        <v>6</v>
      </c>
      <c r="F15" s="14">
        <v>25</v>
      </c>
      <c r="G15" s="16">
        <v>44570</v>
      </c>
      <c r="H15" s="7">
        <f t="shared" si="0"/>
        <v>0.41666666666666669</v>
      </c>
      <c r="I1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09-Jan-22 - to - 15-Jan-22</v>
      </c>
      <c r="J15" s="24" t="str">
        <f>TEXT(Table1[[#This Row],[Date]],"mmm")</f>
        <v>Jan</v>
      </c>
    </row>
    <row r="16" spans="1:10" ht="16.5">
      <c r="A16" s="14" t="s">
        <v>141</v>
      </c>
      <c r="B16" s="15" t="s">
        <v>36</v>
      </c>
      <c r="C16" s="15" t="s">
        <v>37</v>
      </c>
      <c r="D16" s="15" t="s">
        <v>8</v>
      </c>
      <c r="E16" s="15" t="s">
        <v>36</v>
      </c>
      <c r="F16" s="14">
        <v>45</v>
      </c>
      <c r="G16" s="16">
        <v>44571</v>
      </c>
      <c r="H16" s="7">
        <f t="shared" si="0"/>
        <v>0.75</v>
      </c>
      <c r="I1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09-Jan-22 - to - 15-Jan-22</v>
      </c>
      <c r="J16" s="24" t="str">
        <f>TEXT(Table1[[#This Row],[Date]],"mmm")</f>
        <v>Jan</v>
      </c>
    </row>
    <row r="17" spans="1:10" ht="16.5">
      <c r="A17" s="14" t="s">
        <v>141</v>
      </c>
      <c r="B17" s="15" t="s">
        <v>157</v>
      </c>
      <c r="C17" s="15" t="s">
        <v>16</v>
      </c>
      <c r="D17" s="15" t="s">
        <v>8</v>
      </c>
      <c r="E17" s="15" t="s">
        <v>9</v>
      </c>
      <c r="F17" s="14">
        <v>30</v>
      </c>
      <c r="G17" s="16">
        <v>44571</v>
      </c>
      <c r="H17" s="7">
        <f t="shared" si="0"/>
        <v>0.5</v>
      </c>
      <c r="I1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09-Jan-22 - to - 15-Jan-22</v>
      </c>
      <c r="J17" s="24" t="str">
        <f>TEXT(Table1[[#This Row],[Date]],"mmm")</f>
        <v>Jan</v>
      </c>
    </row>
    <row r="18" spans="1:10" ht="16.5">
      <c r="A18" s="14" t="s">
        <v>141</v>
      </c>
      <c r="B18" s="15" t="s">
        <v>10</v>
      </c>
      <c r="C18" s="15" t="s">
        <v>10</v>
      </c>
      <c r="D18" s="15" t="s">
        <v>8</v>
      </c>
      <c r="E18" s="15" t="s">
        <v>10</v>
      </c>
      <c r="F18" s="14">
        <v>20</v>
      </c>
      <c r="G18" s="16">
        <v>44571</v>
      </c>
      <c r="H18" s="7">
        <f t="shared" si="0"/>
        <v>0.33333333333333331</v>
      </c>
      <c r="I1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09-Jan-22 - to - 15-Jan-22</v>
      </c>
      <c r="J18" s="24" t="str">
        <f>TEXT(Table1[[#This Row],[Date]],"mmm")</f>
        <v>Jan</v>
      </c>
    </row>
    <row r="19" spans="1:10" ht="16.5">
      <c r="A19" s="14" t="s">
        <v>141</v>
      </c>
      <c r="B19" s="15" t="s">
        <v>157</v>
      </c>
      <c r="C19" s="15" t="s">
        <v>44</v>
      </c>
      <c r="D19" s="15" t="s">
        <v>8</v>
      </c>
      <c r="E19" s="15" t="s">
        <v>12</v>
      </c>
      <c r="F19" s="14">
        <v>80</v>
      </c>
      <c r="G19" s="16">
        <v>44571</v>
      </c>
      <c r="H19" s="7">
        <f t="shared" si="0"/>
        <v>1.3333333333333333</v>
      </c>
      <c r="I1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09-Jan-22 - to - 15-Jan-22</v>
      </c>
      <c r="J19" s="24" t="str">
        <f>TEXT(Table1[[#This Row],[Date]],"mmm")</f>
        <v>Jan</v>
      </c>
    </row>
    <row r="20" spans="1:10" ht="16.5">
      <c r="A20" s="14" t="s">
        <v>141</v>
      </c>
      <c r="B20" s="15" t="s">
        <v>142</v>
      </c>
      <c r="C20" s="15" t="s">
        <v>17</v>
      </c>
      <c r="D20" s="15" t="s">
        <v>11</v>
      </c>
      <c r="E20" s="15" t="s">
        <v>17</v>
      </c>
      <c r="F20" s="14">
        <v>120</v>
      </c>
      <c r="G20" s="16">
        <v>44571</v>
      </c>
      <c r="H20" s="7">
        <f t="shared" si="0"/>
        <v>2</v>
      </c>
      <c r="I2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09-Jan-22 - to - 15-Jan-22</v>
      </c>
      <c r="J20" s="24" t="str">
        <f>TEXT(Table1[[#This Row],[Date]],"mmm")</f>
        <v>Jan</v>
      </c>
    </row>
    <row r="21" spans="1:10" ht="16.5">
      <c r="A21" s="14" t="s">
        <v>141</v>
      </c>
      <c r="B21" s="15" t="s">
        <v>142</v>
      </c>
      <c r="C21" s="15" t="s">
        <v>17</v>
      </c>
      <c r="D21" s="15" t="s">
        <v>11</v>
      </c>
      <c r="E21" s="15" t="s">
        <v>17</v>
      </c>
      <c r="F21" s="14">
        <v>90</v>
      </c>
      <c r="G21" s="16">
        <v>44571</v>
      </c>
      <c r="H21" s="7">
        <f t="shared" si="0"/>
        <v>1.5</v>
      </c>
      <c r="I2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09-Jan-22 - to - 15-Jan-22</v>
      </c>
      <c r="J21" s="24" t="str">
        <f>TEXT(Table1[[#This Row],[Date]],"mmm")</f>
        <v>Jan</v>
      </c>
    </row>
    <row r="22" spans="1:10" ht="16.5">
      <c r="A22" s="14" t="s">
        <v>141</v>
      </c>
      <c r="B22" s="15" t="s">
        <v>142</v>
      </c>
      <c r="C22" s="15" t="s">
        <v>137</v>
      </c>
      <c r="D22" s="15" t="s">
        <v>8</v>
      </c>
      <c r="E22" s="15" t="s">
        <v>35</v>
      </c>
      <c r="F22" s="14">
        <v>120</v>
      </c>
      <c r="G22" s="16">
        <v>44571</v>
      </c>
      <c r="H22" s="7">
        <f t="shared" si="0"/>
        <v>2</v>
      </c>
      <c r="I2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09-Jan-22 - to - 15-Jan-22</v>
      </c>
      <c r="J22" s="24" t="str">
        <f>TEXT(Table1[[#This Row],[Date]],"mmm")</f>
        <v>Jan</v>
      </c>
    </row>
    <row r="23" spans="1:10" ht="16.5">
      <c r="A23" s="14" t="s">
        <v>140</v>
      </c>
      <c r="B23" s="15" t="s">
        <v>159</v>
      </c>
      <c r="C23" s="15" t="s">
        <v>47</v>
      </c>
      <c r="D23" s="15" t="s">
        <v>8</v>
      </c>
      <c r="E23" s="15" t="s">
        <v>9</v>
      </c>
      <c r="F23" s="14">
        <v>30</v>
      </c>
      <c r="G23" s="16">
        <v>44571</v>
      </c>
      <c r="H23" s="7">
        <f t="shared" si="0"/>
        <v>0.5</v>
      </c>
      <c r="I2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09-Jan-22 - to - 15-Jan-22</v>
      </c>
      <c r="J23" s="24" t="str">
        <f>TEXT(Table1[[#This Row],[Date]],"mmm")</f>
        <v>Jan</v>
      </c>
    </row>
    <row r="24" spans="1:10" ht="16.5">
      <c r="A24" s="14" t="s">
        <v>140</v>
      </c>
      <c r="B24" s="15" t="s">
        <v>10</v>
      </c>
      <c r="C24" s="15" t="s">
        <v>10</v>
      </c>
      <c r="D24" s="15" t="s">
        <v>8</v>
      </c>
      <c r="E24" s="15" t="s">
        <v>10</v>
      </c>
      <c r="F24" s="14">
        <v>25</v>
      </c>
      <c r="G24" s="16">
        <v>44571</v>
      </c>
      <c r="H24" s="7">
        <f t="shared" si="0"/>
        <v>0.41666666666666669</v>
      </c>
      <c r="I2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09-Jan-22 - to - 15-Jan-22</v>
      </c>
      <c r="J24" s="24" t="str">
        <f>TEXT(Table1[[#This Row],[Date]],"mmm")</f>
        <v>Jan</v>
      </c>
    </row>
    <row r="25" spans="1:10" ht="16.5">
      <c r="A25" s="14" t="s">
        <v>140</v>
      </c>
      <c r="B25" s="15" t="s">
        <v>159</v>
      </c>
      <c r="C25" s="15" t="s">
        <v>48</v>
      </c>
      <c r="D25" s="15" t="s">
        <v>11</v>
      </c>
      <c r="E25" s="15" t="s">
        <v>88</v>
      </c>
      <c r="F25" s="14">
        <v>35</v>
      </c>
      <c r="G25" s="16">
        <v>44571</v>
      </c>
      <c r="H25" s="7">
        <f t="shared" si="0"/>
        <v>0.58333333333333337</v>
      </c>
      <c r="I2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09-Jan-22 - to - 15-Jan-22</v>
      </c>
      <c r="J25" s="24" t="str">
        <f>TEXT(Table1[[#This Row],[Date]],"mmm")</f>
        <v>Jan</v>
      </c>
    </row>
    <row r="26" spans="1:10" ht="16.5">
      <c r="A26" s="14" t="s">
        <v>140</v>
      </c>
      <c r="B26" s="15" t="s">
        <v>159</v>
      </c>
      <c r="C26" s="15" t="s">
        <v>23</v>
      </c>
      <c r="D26" s="15" t="s">
        <v>13</v>
      </c>
      <c r="E26" s="15" t="s">
        <v>134</v>
      </c>
      <c r="F26" s="14">
        <v>25</v>
      </c>
      <c r="G26" s="16">
        <v>44571</v>
      </c>
      <c r="H26" s="7">
        <f t="shared" si="0"/>
        <v>0.41666666666666669</v>
      </c>
      <c r="I2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09-Jan-22 - to - 15-Jan-22</v>
      </c>
      <c r="J26" s="24" t="str">
        <f>TEXT(Table1[[#This Row],[Date]],"mmm")</f>
        <v>Jan</v>
      </c>
    </row>
    <row r="27" spans="1:10" ht="16.5">
      <c r="A27" s="14" t="s">
        <v>140</v>
      </c>
      <c r="B27" s="15" t="s">
        <v>159</v>
      </c>
      <c r="C27" s="15" t="s">
        <v>161</v>
      </c>
      <c r="D27" s="15" t="s">
        <v>8</v>
      </c>
      <c r="E27" s="15" t="s">
        <v>175</v>
      </c>
      <c r="F27" s="14">
        <v>30</v>
      </c>
      <c r="G27" s="16">
        <v>44571</v>
      </c>
      <c r="H27" s="7">
        <f t="shared" si="0"/>
        <v>0.5</v>
      </c>
      <c r="I2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09-Jan-22 - to - 15-Jan-22</v>
      </c>
      <c r="J27" s="24" t="str">
        <f>TEXT(Table1[[#This Row],[Date]],"mmm")</f>
        <v>Jan</v>
      </c>
    </row>
    <row r="28" spans="1:10" ht="16.5">
      <c r="A28" s="14" t="s">
        <v>140</v>
      </c>
      <c r="B28" s="15" t="s">
        <v>159</v>
      </c>
      <c r="C28" s="15" t="s">
        <v>161</v>
      </c>
      <c r="D28" s="15" t="s">
        <v>8</v>
      </c>
      <c r="E28" s="15" t="s">
        <v>9</v>
      </c>
      <c r="F28" s="14">
        <v>25</v>
      </c>
      <c r="G28" s="16">
        <v>44571</v>
      </c>
      <c r="H28" s="7">
        <f t="shared" si="0"/>
        <v>0.41666666666666669</v>
      </c>
      <c r="I2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09-Jan-22 - to - 15-Jan-22</v>
      </c>
      <c r="J28" s="24" t="str">
        <f>TEXT(Table1[[#This Row],[Date]],"mmm")</f>
        <v>Jan</v>
      </c>
    </row>
    <row r="29" spans="1:10" ht="16.5">
      <c r="A29" s="14" t="s">
        <v>140</v>
      </c>
      <c r="B29" s="15" t="s">
        <v>159</v>
      </c>
      <c r="C29" s="15" t="s">
        <v>17</v>
      </c>
      <c r="D29" s="15" t="s">
        <v>11</v>
      </c>
      <c r="E29" s="15" t="s">
        <v>17</v>
      </c>
      <c r="F29" s="14">
        <v>35</v>
      </c>
      <c r="G29" s="16">
        <v>44571</v>
      </c>
      <c r="H29" s="7">
        <f t="shared" si="0"/>
        <v>0.58333333333333337</v>
      </c>
      <c r="I2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09-Jan-22 - to - 15-Jan-22</v>
      </c>
      <c r="J29" s="24" t="str">
        <f>TEXT(Table1[[#This Row],[Date]],"mmm")</f>
        <v>Jan</v>
      </c>
    </row>
    <row r="30" spans="1:10" ht="16.5">
      <c r="A30" s="14" t="s">
        <v>140</v>
      </c>
      <c r="B30" s="15" t="s">
        <v>159</v>
      </c>
      <c r="C30" s="15" t="s">
        <v>44</v>
      </c>
      <c r="D30" s="15" t="s">
        <v>8</v>
      </c>
      <c r="E30" s="15" t="s">
        <v>12</v>
      </c>
      <c r="F30" s="14">
        <v>85</v>
      </c>
      <c r="G30" s="16">
        <v>44571</v>
      </c>
      <c r="H30" s="7">
        <f t="shared" si="0"/>
        <v>1.4166666666666667</v>
      </c>
      <c r="I3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09-Jan-22 - to - 15-Jan-22</v>
      </c>
      <c r="J30" s="24" t="str">
        <f>TEXT(Table1[[#This Row],[Date]],"mmm")</f>
        <v>Jan</v>
      </c>
    </row>
    <row r="31" spans="1:10" ht="16.5">
      <c r="A31" s="14" t="s">
        <v>140</v>
      </c>
      <c r="B31" s="15" t="s">
        <v>159</v>
      </c>
      <c r="C31" s="15" t="s">
        <v>176</v>
      </c>
      <c r="D31" s="15" t="s">
        <v>13</v>
      </c>
      <c r="E31" s="15" t="s">
        <v>176</v>
      </c>
      <c r="F31" s="14">
        <v>35</v>
      </c>
      <c r="G31" s="16">
        <v>44571</v>
      </c>
      <c r="H31" s="7">
        <f t="shared" si="0"/>
        <v>0.58333333333333337</v>
      </c>
      <c r="I3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09-Jan-22 - to - 15-Jan-22</v>
      </c>
      <c r="J31" s="24" t="str">
        <f>TEXT(Table1[[#This Row],[Date]],"mmm")</f>
        <v>Jan</v>
      </c>
    </row>
    <row r="32" spans="1:10" ht="16.5">
      <c r="A32" s="14" t="s">
        <v>140</v>
      </c>
      <c r="B32" s="15" t="s">
        <v>160</v>
      </c>
      <c r="C32" s="15" t="s">
        <v>17</v>
      </c>
      <c r="D32" s="15" t="s">
        <v>11</v>
      </c>
      <c r="E32" s="15" t="s">
        <v>9</v>
      </c>
      <c r="F32" s="14">
        <v>30</v>
      </c>
      <c r="G32" s="16">
        <v>44571</v>
      </c>
      <c r="H32" s="7">
        <f t="shared" si="0"/>
        <v>0.5</v>
      </c>
      <c r="I3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09-Jan-22 - to - 15-Jan-22</v>
      </c>
      <c r="J32" s="24" t="str">
        <f>TEXT(Table1[[#This Row],[Date]],"mmm")</f>
        <v>Jan</v>
      </c>
    </row>
    <row r="33" spans="1:10" ht="16.5">
      <c r="A33" s="14" t="s">
        <v>140</v>
      </c>
      <c r="B33" s="15" t="s">
        <v>159</v>
      </c>
      <c r="C33" s="15" t="s">
        <v>22</v>
      </c>
      <c r="D33" s="15" t="s">
        <v>13</v>
      </c>
      <c r="E33" s="15" t="s">
        <v>22</v>
      </c>
      <c r="F33" s="14">
        <v>120</v>
      </c>
      <c r="G33" s="16">
        <v>44571</v>
      </c>
      <c r="H33" s="7">
        <f t="shared" si="0"/>
        <v>2</v>
      </c>
      <c r="I3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09-Jan-22 - to - 15-Jan-22</v>
      </c>
      <c r="J33" s="24" t="str">
        <f>TEXT(Table1[[#This Row],[Date]],"mmm")</f>
        <v>Jan</v>
      </c>
    </row>
    <row r="34" spans="1:10" ht="16.5">
      <c r="A34" s="14" t="s">
        <v>140</v>
      </c>
      <c r="B34" s="15" t="s">
        <v>144</v>
      </c>
      <c r="C34" s="15" t="s">
        <v>50</v>
      </c>
      <c r="D34" s="15" t="s">
        <v>11</v>
      </c>
      <c r="E34" s="15" t="s">
        <v>9</v>
      </c>
      <c r="F34" s="14">
        <v>30</v>
      </c>
      <c r="G34" s="16">
        <v>44571</v>
      </c>
      <c r="H34" s="7">
        <f t="shared" si="0"/>
        <v>0.5</v>
      </c>
      <c r="I3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09-Jan-22 - to - 15-Jan-22</v>
      </c>
      <c r="J34" s="24" t="str">
        <f>TEXT(Table1[[#This Row],[Date]],"mmm")</f>
        <v>Jan</v>
      </c>
    </row>
    <row r="35" spans="1:10" ht="16.5">
      <c r="A35" s="14" t="s">
        <v>140</v>
      </c>
      <c r="B35" s="15" t="s">
        <v>152</v>
      </c>
      <c r="C35" s="15" t="s">
        <v>91</v>
      </c>
      <c r="D35" s="15" t="s">
        <v>11</v>
      </c>
      <c r="E35" s="15" t="s">
        <v>12</v>
      </c>
      <c r="F35" s="14">
        <v>35</v>
      </c>
      <c r="G35" s="16">
        <v>44571</v>
      </c>
      <c r="H35" s="7">
        <f t="shared" si="0"/>
        <v>0.58333333333333337</v>
      </c>
      <c r="I3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09-Jan-22 - to - 15-Jan-22</v>
      </c>
      <c r="J35" s="24" t="str">
        <f>TEXT(Table1[[#This Row],[Date]],"mmm")</f>
        <v>Jan</v>
      </c>
    </row>
    <row r="36" spans="1:10" ht="16.5">
      <c r="A36" s="14" t="s">
        <v>140</v>
      </c>
      <c r="B36" s="15" t="s">
        <v>159</v>
      </c>
      <c r="C36" s="15" t="s">
        <v>48</v>
      </c>
      <c r="D36" s="15" t="s">
        <v>11</v>
      </c>
      <c r="E36" s="15" t="s">
        <v>88</v>
      </c>
      <c r="F36" s="14">
        <v>20</v>
      </c>
      <c r="G36" s="16">
        <v>44572</v>
      </c>
      <c r="H36" s="7">
        <f t="shared" si="0"/>
        <v>0.33333333333333331</v>
      </c>
      <c r="I3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09-Jan-22 - to - 15-Jan-22</v>
      </c>
      <c r="J36" s="24" t="str">
        <f>TEXT(Table1[[#This Row],[Date]],"mmm")</f>
        <v>Jan</v>
      </c>
    </row>
    <row r="37" spans="1:10" ht="16.5">
      <c r="A37" s="14" t="s">
        <v>140</v>
      </c>
      <c r="B37" s="15" t="s">
        <v>10</v>
      </c>
      <c r="C37" s="15" t="s">
        <v>10</v>
      </c>
      <c r="D37" s="15" t="s">
        <v>8</v>
      </c>
      <c r="E37" s="15" t="s">
        <v>10</v>
      </c>
      <c r="F37" s="14">
        <v>20</v>
      </c>
      <c r="G37" s="16">
        <v>44572</v>
      </c>
      <c r="H37" s="7">
        <f t="shared" si="0"/>
        <v>0.33333333333333331</v>
      </c>
      <c r="I3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09-Jan-22 - to - 15-Jan-22</v>
      </c>
      <c r="J37" s="24" t="str">
        <f>TEXT(Table1[[#This Row],[Date]],"mmm")</f>
        <v>Jan</v>
      </c>
    </row>
    <row r="38" spans="1:10" ht="16.5">
      <c r="A38" s="14" t="s">
        <v>140</v>
      </c>
      <c r="B38" s="15" t="s">
        <v>159</v>
      </c>
      <c r="C38" s="15" t="s">
        <v>51</v>
      </c>
      <c r="D38" s="15" t="s">
        <v>8</v>
      </c>
      <c r="E38" s="15" t="s">
        <v>9</v>
      </c>
      <c r="F38" s="14">
        <v>20</v>
      </c>
      <c r="G38" s="16">
        <v>44572</v>
      </c>
      <c r="H38" s="7">
        <f t="shared" si="0"/>
        <v>0.33333333333333331</v>
      </c>
      <c r="I3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09-Jan-22 - to - 15-Jan-22</v>
      </c>
      <c r="J38" s="24" t="str">
        <f>TEXT(Table1[[#This Row],[Date]],"mmm")</f>
        <v>Jan</v>
      </c>
    </row>
    <row r="39" spans="1:10" ht="16.5">
      <c r="A39" s="14" t="s">
        <v>140</v>
      </c>
      <c r="B39" s="15" t="s">
        <v>159</v>
      </c>
      <c r="C39" s="15" t="s">
        <v>52</v>
      </c>
      <c r="D39" s="15" t="s">
        <v>138</v>
      </c>
      <c r="E39" s="15" t="s">
        <v>52</v>
      </c>
      <c r="F39" s="14">
        <v>90</v>
      </c>
      <c r="G39" s="16">
        <v>44572</v>
      </c>
      <c r="H39" s="7">
        <f t="shared" si="0"/>
        <v>1.5</v>
      </c>
      <c r="I3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09-Jan-22 - to - 15-Jan-22</v>
      </c>
      <c r="J39" s="24" t="str">
        <f>TEXT(Table1[[#This Row],[Date]],"mmm")</f>
        <v>Jan</v>
      </c>
    </row>
    <row r="40" spans="1:10" ht="16.5">
      <c r="A40" s="14" t="s">
        <v>140</v>
      </c>
      <c r="B40" s="15" t="s">
        <v>152</v>
      </c>
      <c r="C40" s="15" t="s">
        <v>153</v>
      </c>
      <c r="D40" s="15" t="s">
        <v>8</v>
      </c>
      <c r="E40" s="15" t="s">
        <v>12</v>
      </c>
      <c r="F40" s="14">
        <v>25</v>
      </c>
      <c r="G40" s="16">
        <v>44572</v>
      </c>
      <c r="H40" s="7">
        <f t="shared" si="0"/>
        <v>0.41666666666666669</v>
      </c>
      <c r="I4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09-Jan-22 - to - 15-Jan-22</v>
      </c>
      <c r="J40" s="24" t="str">
        <f>TEXT(Table1[[#This Row],[Date]],"mmm")</f>
        <v>Jan</v>
      </c>
    </row>
    <row r="41" spans="1:10" ht="16.5">
      <c r="A41" s="14" t="s">
        <v>140</v>
      </c>
      <c r="B41" s="15" t="s">
        <v>159</v>
      </c>
      <c r="C41" s="15" t="s">
        <v>44</v>
      </c>
      <c r="D41" s="15" t="s">
        <v>8</v>
      </c>
      <c r="E41" s="15" t="s">
        <v>12</v>
      </c>
      <c r="F41" s="14">
        <v>110</v>
      </c>
      <c r="G41" s="16">
        <v>44572</v>
      </c>
      <c r="H41" s="7">
        <f t="shared" si="0"/>
        <v>1.8333333333333333</v>
      </c>
      <c r="I4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09-Jan-22 - to - 15-Jan-22</v>
      </c>
      <c r="J41" s="24" t="str">
        <f>TEXT(Table1[[#This Row],[Date]],"mmm")</f>
        <v>Jan</v>
      </c>
    </row>
    <row r="42" spans="1:10" ht="16.5">
      <c r="A42" s="14" t="s">
        <v>140</v>
      </c>
      <c r="B42" s="15" t="s">
        <v>159</v>
      </c>
      <c r="C42" s="15" t="s">
        <v>161</v>
      </c>
      <c r="D42" s="15" t="s">
        <v>8</v>
      </c>
      <c r="E42" s="15" t="s">
        <v>175</v>
      </c>
      <c r="F42" s="14">
        <v>45</v>
      </c>
      <c r="G42" s="16">
        <v>44572</v>
      </c>
      <c r="H42" s="7">
        <f t="shared" si="0"/>
        <v>0.75</v>
      </c>
      <c r="I4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09-Jan-22 - to - 15-Jan-22</v>
      </c>
      <c r="J42" s="24" t="str">
        <f>TEXT(Table1[[#This Row],[Date]],"mmm")</f>
        <v>Jan</v>
      </c>
    </row>
    <row r="43" spans="1:10" ht="16.5">
      <c r="A43" s="14" t="s">
        <v>140</v>
      </c>
      <c r="B43" s="15" t="s">
        <v>144</v>
      </c>
      <c r="C43" s="15" t="s">
        <v>50</v>
      </c>
      <c r="D43" s="15" t="s">
        <v>11</v>
      </c>
      <c r="E43" s="15" t="s">
        <v>9</v>
      </c>
      <c r="F43" s="14">
        <v>30</v>
      </c>
      <c r="G43" s="16">
        <v>44572</v>
      </c>
      <c r="H43" s="7">
        <f t="shared" si="0"/>
        <v>0.5</v>
      </c>
      <c r="I4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09-Jan-22 - to - 15-Jan-22</v>
      </c>
      <c r="J43" s="24" t="str">
        <f>TEXT(Table1[[#This Row],[Date]],"mmm")</f>
        <v>Jan</v>
      </c>
    </row>
    <row r="44" spans="1:10" ht="16.5">
      <c r="A44" s="14" t="s">
        <v>140</v>
      </c>
      <c r="B44" s="15" t="s">
        <v>159</v>
      </c>
      <c r="C44" s="15" t="s">
        <v>15</v>
      </c>
      <c r="D44" s="15" t="s">
        <v>138</v>
      </c>
      <c r="E44" s="15" t="s">
        <v>9</v>
      </c>
      <c r="F44" s="14">
        <v>25</v>
      </c>
      <c r="G44" s="16">
        <v>44572</v>
      </c>
      <c r="H44" s="7">
        <f t="shared" si="0"/>
        <v>0.41666666666666669</v>
      </c>
      <c r="I4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09-Jan-22 - to - 15-Jan-22</v>
      </c>
      <c r="J44" s="24" t="str">
        <f>TEXT(Table1[[#This Row],[Date]],"mmm")</f>
        <v>Jan</v>
      </c>
    </row>
    <row r="45" spans="1:10" ht="16.5">
      <c r="A45" s="14" t="s">
        <v>140</v>
      </c>
      <c r="B45" s="15" t="s">
        <v>159</v>
      </c>
      <c r="C45" s="15" t="s">
        <v>53</v>
      </c>
      <c r="D45" s="15" t="s">
        <v>13</v>
      </c>
      <c r="E45" s="15" t="s">
        <v>41</v>
      </c>
      <c r="F45" s="14">
        <v>55</v>
      </c>
      <c r="G45" s="16">
        <v>44572</v>
      </c>
      <c r="H45" s="7">
        <f t="shared" si="0"/>
        <v>0.91666666666666663</v>
      </c>
      <c r="I4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09-Jan-22 - to - 15-Jan-22</v>
      </c>
      <c r="J45" s="24" t="str">
        <f>TEXT(Table1[[#This Row],[Date]],"mmm")</f>
        <v>Jan</v>
      </c>
    </row>
    <row r="46" spans="1:10" ht="16.5">
      <c r="A46" s="14" t="s">
        <v>140</v>
      </c>
      <c r="B46" s="15" t="s">
        <v>159</v>
      </c>
      <c r="C46" s="15" t="s">
        <v>54</v>
      </c>
      <c r="D46" s="15" t="s">
        <v>13</v>
      </c>
      <c r="E46" s="15" t="s">
        <v>9</v>
      </c>
      <c r="F46" s="14">
        <v>20</v>
      </c>
      <c r="G46" s="16">
        <v>44572</v>
      </c>
      <c r="H46" s="7">
        <f t="shared" si="0"/>
        <v>0.33333333333333331</v>
      </c>
      <c r="I4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09-Jan-22 - to - 15-Jan-22</v>
      </c>
      <c r="J46" s="24" t="str">
        <f>TEXT(Table1[[#This Row],[Date]],"mmm")</f>
        <v>Jan</v>
      </c>
    </row>
    <row r="47" spans="1:10" ht="16.5">
      <c r="A47" s="14" t="s">
        <v>140</v>
      </c>
      <c r="B47" s="15" t="s">
        <v>160</v>
      </c>
      <c r="C47" s="15" t="s">
        <v>14</v>
      </c>
      <c r="D47" s="15" t="s">
        <v>138</v>
      </c>
      <c r="E47" s="15" t="s">
        <v>9</v>
      </c>
      <c r="F47" s="14">
        <v>35</v>
      </c>
      <c r="G47" s="16">
        <v>44572</v>
      </c>
      <c r="H47" s="7">
        <f t="shared" si="0"/>
        <v>0.58333333333333337</v>
      </c>
      <c r="I4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09-Jan-22 - to - 15-Jan-22</v>
      </c>
      <c r="J47" s="24" t="str">
        <f>TEXT(Table1[[#This Row],[Date]],"mmm")</f>
        <v>Jan</v>
      </c>
    </row>
    <row r="48" spans="1:10" ht="16.5">
      <c r="A48" s="14" t="s">
        <v>141</v>
      </c>
      <c r="B48" s="15" t="s">
        <v>10</v>
      </c>
      <c r="C48" s="15" t="s">
        <v>10</v>
      </c>
      <c r="D48" s="15" t="s">
        <v>8</v>
      </c>
      <c r="E48" s="15" t="s">
        <v>10</v>
      </c>
      <c r="F48" s="14">
        <v>20</v>
      </c>
      <c r="G48" s="16">
        <v>44572</v>
      </c>
      <c r="H48" s="7">
        <f t="shared" si="0"/>
        <v>0.33333333333333331</v>
      </c>
      <c r="I4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09-Jan-22 - to - 15-Jan-22</v>
      </c>
      <c r="J48" s="24" t="str">
        <f>TEXT(Table1[[#This Row],[Date]],"mmm")</f>
        <v>Jan</v>
      </c>
    </row>
    <row r="49" spans="1:10" ht="16.5">
      <c r="A49" s="14" t="s">
        <v>141</v>
      </c>
      <c r="B49" s="15" t="s">
        <v>36</v>
      </c>
      <c r="C49" s="15" t="s">
        <v>37</v>
      </c>
      <c r="D49" s="15" t="s">
        <v>8</v>
      </c>
      <c r="E49" s="15" t="s">
        <v>36</v>
      </c>
      <c r="F49" s="14">
        <v>60</v>
      </c>
      <c r="G49" s="16">
        <v>44572</v>
      </c>
      <c r="H49" s="7">
        <f t="shared" si="0"/>
        <v>1</v>
      </c>
      <c r="I4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09-Jan-22 - to - 15-Jan-22</v>
      </c>
      <c r="J49" s="24" t="str">
        <f>TEXT(Table1[[#This Row],[Date]],"mmm")</f>
        <v>Jan</v>
      </c>
    </row>
    <row r="50" spans="1:10" ht="16.5">
      <c r="A50" s="14" t="s">
        <v>141</v>
      </c>
      <c r="B50" s="15" t="s">
        <v>157</v>
      </c>
      <c r="C50" s="15" t="s">
        <v>31</v>
      </c>
      <c r="D50" s="15" t="s">
        <v>11</v>
      </c>
      <c r="E50" s="15" t="s">
        <v>6</v>
      </c>
      <c r="F50" s="14">
        <v>40</v>
      </c>
      <c r="G50" s="16">
        <v>44572</v>
      </c>
      <c r="H50" s="7">
        <f t="shared" si="0"/>
        <v>0.66666666666666663</v>
      </c>
      <c r="I5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09-Jan-22 - to - 15-Jan-22</v>
      </c>
      <c r="J50" s="24" t="str">
        <f>TEXT(Table1[[#This Row],[Date]],"mmm")</f>
        <v>Jan</v>
      </c>
    </row>
    <row r="51" spans="1:10" ht="16.5">
      <c r="A51" s="14" t="s">
        <v>141</v>
      </c>
      <c r="B51" s="15" t="s">
        <v>158</v>
      </c>
      <c r="C51" s="15" t="s">
        <v>31</v>
      </c>
      <c r="D51" s="15" t="s">
        <v>11</v>
      </c>
      <c r="E51" s="15" t="s">
        <v>6</v>
      </c>
      <c r="F51" s="14">
        <v>40</v>
      </c>
      <c r="G51" s="16">
        <v>44572</v>
      </c>
      <c r="H51" s="7">
        <f t="shared" si="0"/>
        <v>0.66666666666666663</v>
      </c>
      <c r="I5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09-Jan-22 - to - 15-Jan-22</v>
      </c>
      <c r="J51" s="24" t="str">
        <f>TEXT(Table1[[#This Row],[Date]],"mmm")</f>
        <v>Jan</v>
      </c>
    </row>
    <row r="52" spans="1:10" ht="16.5">
      <c r="A52" s="14" t="s">
        <v>141</v>
      </c>
      <c r="B52" s="15" t="s">
        <v>154</v>
      </c>
      <c r="C52" s="15" t="s">
        <v>31</v>
      </c>
      <c r="D52" s="15" t="s">
        <v>11</v>
      </c>
      <c r="E52" s="15" t="s">
        <v>6</v>
      </c>
      <c r="F52" s="14">
        <v>40</v>
      </c>
      <c r="G52" s="16">
        <v>44572</v>
      </c>
      <c r="H52" s="7">
        <f t="shared" si="0"/>
        <v>0.66666666666666663</v>
      </c>
      <c r="I5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09-Jan-22 - to - 15-Jan-22</v>
      </c>
      <c r="J52" s="24" t="str">
        <f>TEXT(Table1[[#This Row],[Date]],"mmm")</f>
        <v>Jan</v>
      </c>
    </row>
    <row r="53" spans="1:10" ht="16.5">
      <c r="A53" s="14" t="s">
        <v>141</v>
      </c>
      <c r="B53" s="15" t="s">
        <v>157</v>
      </c>
      <c r="C53" s="15" t="s">
        <v>6</v>
      </c>
      <c r="D53" s="15" t="s">
        <v>11</v>
      </c>
      <c r="E53" s="15" t="s">
        <v>6</v>
      </c>
      <c r="F53" s="14">
        <v>60</v>
      </c>
      <c r="G53" s="16">
        <v>44572</v>
      </c>
      <c r="H53" s="7">
        <f t="shared" si="0"/>
        <v>1</v>
      </c>
      <c r="I5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09-Jan-22 - to - 15-Jan-22</v>
      </c>
      <c r="J53" s="24" t="str">
        <f>TEXT(Table1[[#This Row],[Date]],"mmm")</f>
        <v>Jan</v>
      </c>
    </row>
    <row r="54" spans="1:10" ht="16.5">
      <c r="A54" s="14" t="s">
        <v>141</v>
      </c>
      <c r="B54" s="15" t="s">
        <v>157</v>
      </c>
      <c r="C54" s="15" t="s">
        <v>162</v>
      </c>
      <c r="D54" s="15" t="s">
        <v>13</v>
      </c>
      <c r="E54" s="15" t="s">
        <v>9</v>
      </c>
      <c r="F54" s="14">
        <v>30</v>
      </c>
      <c r="G54" s="16">
        <v>44572</v>
      </c>
      <c r="H54" s="7">
        <f t="shared" si="0"/>
        <v>0.5</v>
      </c>
      <c r="I5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09-Jan-22 - to - 15-Jan-22</v>
      </c>
      <c r="J54" s="24" t="str">
        <f>TEXT(Table1[[#This Row],[Date]],"mmm")</f>
        <v>Jan</v>
      </c>
    </row>
    <row r="55" spans="1:10" ht="16.5">
      <c r="A55" s="14" t="s">
        <v>141</v>
      </c>
      <c r="B55" s="15" t="s">
        <v>142</v>
      </c>
      <c r="C55" s="15" t="s">
        <v>137</v>
      </c>
      <c r="D55" s="15" t="s">
        <v>8</v>
      </c>
      <c r="E55" s="15" t="s">
        <v>35</v>
      </c>
      <c r="F55" s="14">
        <v>200</v>
      </c>
      <c r="G55" s="16">
        <v>44572</v>
      </c>
      <c r="H55" s="7">
        <f t="shared" si="0"/>
        <v>3.3333333333333335</v>
      </c>
      <c r="I5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09-Jan-22 - to - 15-Jan-22</v>
      </c>
      <c r="J55" s="24" t="str">
        <f>TEXT(Table1[[#This Row],[Date]],"mmm")</f>
        <v>Jan</v>
      </c>
    </row>
    <row r="56" spans="1:10" ht="16.5">
      <c r="A56" s="14" t="s">
        <v>140</v>
      </c>
      <c r="B56" s="15" t="s">
        <v>6</v>
      </c>
      <c r="C56" s="15" t="s">
        <v>47</v>
      </c>
      <c r="D56" s="15" t="s">
        <v>8</v>
      </c>
      <c r="E56" s="15" t="s">
        <v>9</v>
      </c>
      <c r="F56" s="14">
        <v>20</v>
      </c>
      <c r="G56" s="16">
        <v>44572</v>
      </c>
      <c r="H56" s="7">
        <f t="shared" si="0"/>
        <v>0.33333333333333331</v>
      </c>
      <c r="I5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09-Jan-22 - to - 15-Jan-22</v>
      </c>
      <c r="J56" s="24" t="str">
        <f>TEXT(Table1[[#This Row],[Date]],"mmm")</f>
        <v>Jan</v>
      </c>
    </row>
    <row r="57" spans="1:10" ht="16.5">
      <c r="A57" s="14" t="s">
        <v>141</v>
      </c>
      <c r="B57" s="15" t="s">
        <v>142</v>
      </c>
      <c r="C57" s="15" t="s">
        <v>137</v>
      </c>
      <c r="D57" s="15" t="s">
        <v>8</v>
      </c>
      <c r="E57" s="15" t="s">
        <v>35</v>
      </c>
      <c r="F57" s="14">
        <v>125</v>
      </c>
      <c r="G57" s="16">
        <v>44601</v>
      </c>
      <c r="H57" s="7">
        <f t="shared" si="0"/>
        <v>2.0833333333333335</v>
      </c>
      <c r="I5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06-Feb-22 - to - 12-Feb-22</v>
      </c>
      <c r="J57" s="24" t="str">
        <f>TEXT(Table1[[#This Row],[Date]],"mmm")</f>
        <v>Feb</v>
      </c>
    </row>
    <row r="58" spans="1:10" ht="16.5">
      <c r="A58" s="14" t="s">
        <v>141</v>
      </c>
      <c r="B58" s="15" t="s">
        <v>36</v>
      </c>
      <c r="C58" s="15" t="s">
        <v>37</v>
      </c>
      <c r="D58" s="15" t="s">
        <v>8</v>
      </c>
      <c r="E58" s="15" t="s">
        <v>6</v>
      </c>
      <c r="F58" s="14">
        <v>40</v>
      </c>
      <c r="G58" s="16">
        <v>44601</v>
      </c>
      <c r="H58" s="7">
        <f t="shared" si="0"/>
        <v>0.66666666666666663</v>
      </c>
      <c r="I5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06-Feb-22 - to - 12-Feb-22</v>
      </c>
      <c r="J58" s="24" t="str">
        <f>TEXT(Table1[[#This Row],[Date]],"mmm")</f>
        <v>Feb</v>
      </c>
    </row>
    <row r="59" spans="1:10" ht="16.5">
      <c r="A59" s="14" t="s">
        <v>141</v>
      </c>
      <c r="B59" s="15" t="s">
        <v>157</v>
      </c>
      <c r="C59" s="15" t="s">
        <v>16</v>
      </c>
      <c r="D59" s="15" t="s">
        <v>8</v>
      </c>
      <c r="E59" s="15" t="s">
        <v>6</v>
      </c>
      <c r="F59" s="14">
        <v>15</v>
      </c>
      <c r="G59" s="16">
        <v>44601</v>
      </c>
      <c r="H59" s="7">
        <f t="shared" si="0"/>
        <v>0.25</v>
      </c>
      <c r="I5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06-Feb-22 - to - 12-Feb-22</v>
      </c>
      <c r="J59" s="24" t="str">
        <f>TEXT(Table1[[#This Row],[Date]],"mmm")</f>
        <v>Feb</v>
      </c>
    </row>
    <row r="60" spans="1:10" ht="16.5">
      <c r="A60" s="14" t="s">
        <v>141</v>
      </c>
      <c r="B60" s="15" t="s">
        <v>39</v>
      </c>
      <c r="C60" s="15" t="s">
        <v>40</v>
      </c>
      <c r="D60" s="15" t="s">
        <v>8</v>
      </c>
      <c r="E60" s="15" t="s">
        <v>40</v>
      </c>
      <c r="F60" s="14">
        <v>20</v>
      </c>
      <c r="G60" s="16">
        <v>44601</v>
      </c>
      <c r="H60" s="7">
        <f t="shared" si="0"/>
        <v>0.33333333333333331</v>
      </c>
      <c r="I6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06-Feb-22 - to - 12-Feb-22</v>
      </c>
      <c r="J60" s="24" t="str">
        <f>TEXT(Table1[[#This Row],[Date]],"mmm")</f>
        <v>Feb</v>
      </c>
    </row>
    <row r="61" spans="1:10" ht="16.5">
      <c r="A61" s="14" t="s">
        <v>141</v>
      </c>
      <c r="B61" s="15" t="s">
        <v>39</v>
      </c>
      <c r="C61" s="15" t="s">
        <v>20</v>
      </c>
      <c r="D61" s="15" t="s">
        <v>138</v>
      </c>
      <c r="E61" s="15" t="s">
        <v>20</v>
      </c>
      <c r="F61" s="14">
        <v>120</v>
      </c>
      <c r="G61" s="16">
        <v>44601</v>
      </c>
      <c r="H61" s="7">
        <f t="shared" si="0"/>
        <v>2</v>
      </c>
      <c r="I6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06-Feb-22 - to - 12-Feb-22</v>
      </c>
      <c r="J61" s="24" t="str">
        <f>TEXT(Table1[[#This Row],[Date]],"mmm")</f>
        <v>Feb</v>
      </c>
    </row>
    <row r="62" spans="1:10" ht="16.5">
      <c r="A62" s="14" t="s">
        <v>141</v>
      </c>
      <c r="B62" s="15" t="s">
        <v>157</v>
      </c>
      <c r="C62" s="15" t="s">
        <v>91</v>
      </c>
      <c r="D62" s="15" t="s">
        <v>8</v>
      </c>
      <c r="E62" s="15" t="s">
        <v>12</v>
      </c>
      <c r="F62" s="14">
        <v>90</v>
      </c>
      <c r="G62" s="16">
        <v>44601</v>
      </c>
      <c r="H62" s="7">
        <f t="shared" si="0"/>
        <v>1.5</v>
      </c>
      <c r="I6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06-Feb-22 - to - 12-Feb-22</v>
      </c>
      <c r="J62" s="24" t="str">
        <f>TEXT(Table1[[#This Row],[Date]],"mmm")</f>
        <v>Feb</v>
      </c>
    </row>
    <row r="63" spans="1:10" ht="16.5">
      <c r="A63" s="14" t="s">
        <v>141</v>
      </c>
      <c r="B63" s="15" t="s">
        <v>142</v>
      </c>
      <c r="C63" s="15" t="s">
        <v>137</v>
      </c>
      <c r="D63" s="15" t="s">
        <v>11</v>
      </c>
      <c r="E63" s="15" t="s">
        <v>35</v>
      </c>
      <c r="F63" s="14">
        <v>10</v>
      </c>
      <c r="G63" s="16">
        <v>44601</v>
      </c>
      <c r="H63" s="7">
        <f t="shared" si="0"/>
        <v>0.16666666666666666</v>
      </c>
      <c r="I6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06-Feb-22 - to - 12-Feb-22</v>
      </c>
      <c r="J63" s="24" t="str">
        <f>TEXT(Table1[[#This Row],[Date]],"mmm")</f>
        <v>Feb</v>
      </c>
    </row>
    <row r="64" spans="1:10" ht="16.5">
      <c r="A64" s="14" t="s">
        <v>141</v>
      </c>
      <c r="B64" s="15" t="s">
        <v>142</v>
      </c>
      <c r="C64" s="15" t="s">
        <v>17</v>
      </c>
      <c r="D64" s="15" t="s">
        <v>11</v>
      </c>
      <c r="E64" s="15" t="s">
        <v>17</v>
      </c>
      <c r="F64" s="14">
        <v>60</v>
      </c>
      <c r="G64" s="16">
        <v>44601</v>
      </c>
      <c r="H64" s="7">
        <f t="shared" si="0"/>
        <v>1</v>
      </c>
      <c r="I6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06-Feb-22 - to - 12-Feb-22</v>
      </c>
      <c r="J64" s="24" t="str">
        <f>TEXT(Table1[[#This Row],[Date]],"mmm")</f>
        <v>Feb</v>
      </c>
    </row>
    <row r="65" spans="1:10" ht="16.5">
      <c r="A65" s="14" t="s">
        <v>140</v>
      </c>
      <c r="B65" s="15" t="s">
        <v>160</v>
      </c>
      <c r="C65" s="15" t="s">
        <v>17</v>
      </c>
      <c r="D65" s="15" t="s">
        <v>13</v>
      </c>
      <c r="E65" s="15" t="s">
        <v>6</v>
      </c>
      <c r="F65" s="14">
        <v>60</v>
      </c>
      <c r="G65" s="16">
        <v>44601</v>
      </c>
      <c r="H65" s="7">
        <f t="shared" si="0"/>
        <v>1</v>
      </c>
      <c r="I6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06-Feb-22 - to - 12-Feb-22</v>
      </c>
      <c r="J65" s="24" t="str">
        <f>TEXT(Table1[[#This Row],[Date]],"mmm")</f>
        <v>Feb</v>
      </c>
    </row>
    <row r="66" spans="1:10" ht="16.5">
      <c r="A66" s="14" t="s">
        <v>140</v>
      </c>
      <c r="B66" s="15" t="s">
        <v>42</v>
      </c>
      <c r="C66" s="15" t="s">
        <v>43</v>
      </c>
      <c r="D66" s="15" t="s">
        <v>8</v>
      </c>
      <c r="E66" s="15" t="s">
        <v>6</v>
      </c>
      <c r="F66" s="14">
        <v>45</v>
      </c>
      <c r="G66" s="16">
        <v>44601</v>
      </c>
      <c r="H66" s="7">
        <f t="shared" ref="H66:H129" si="1">IFERROR(IF(ISBLANK(F66)=TRUE(),"",F66/60),"")</f>
        <v>0.75</v>
      </c>
      <c r="I6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06-Feb-22 - to - 12-Feb-22</v>
      </c>
      <c r="J66" s="24" t="str">
        <f>TEXT(Table1[[#This Row],[Date]],"mmm")</f>
        <v>Feb</v>
      </c>
    </row>
    <row r="67" spans="1:10" ht="16.5">
      <c r="A67" s="14" t="s">
        <v>140</v>
      </c>
      <c r="B67" s="15" t="s">
        <v>159</v>
      </c>
      <c r="C67" s="15" t="s">
        <v>17</v>
      </c>
      <c r="D67" s="15" t="s">
        <v>11</v>
      </c>
      <c r="E67" s="15" t="s">
        <v>17</v>
      </c>
      <c r="F67" s="14">
        <v>65</v>
      </c>
      <c r="G67" s="16">
        <v>44601</v>
      </c>
      <c r="H67" s="7">
        <f t="shared" si="1"/>
        <v>1.0833333333333333</v>
      </c>
      <c r="I6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06-Feb-22 - to - 12-Feb-22</v>
      </c>
      <c r="J67" s="24" t="str">
        <f>TEXT(Table1[[#This Row],[Date]],"mmm")</f>
        <v>Feb</v>
      </c>
    </row>
    <row r="68" spans="1:10" ht="16.5">
      <c r="A68" s="14" t="s">
        <v>140</v>
      </c>
      <c r="B68" s="15" t="s">
        <v>159</v>
      </c>
      <c r="C68" s="15" t="s">
        <v>44</v>
      </c>
      <c r="D68" s="15" t="s">
        <v>8</v>
      </c>
      <c r="E68" s="15" t="s">
        <v>12</v>
      </c>
      <c r="F68" s="14">
        <v>120</v>
      </c>
      <c r="G68" s="16">
        <v>44601</v>
      </c>
      <c r="H68" s="7">
        <f t="shared" si="1"/>
        <v>2</v>
      </c>
      <c r="I6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06-Feb-22 - to - 12-Feb-22</v>
      </c>
      <c r="J68" s="24" t="str">
        <f>TEXT(Table1[[#This Row],[Date]],"mmm")</f>
        <v>Feb</v>
      </c>
    </row>
    <row r="69" spans="1:10" ht="16.5">
      <c r="A69" s="14" t="s">
        <v>140</v>
      </c>
      <c r="B69" s="15" t="s">
        <v>160</v>
      </c>
      <c r="C69" s="15" t="s">
        <v>14</v>
      </c>
      <c r="D69" s="15" t="s">
        <v>138</v>
      </c>
      <c r="E69" s="15" t="s">
        <v>14</v>
      </c>
      <c r="F69" s="14">
        <v>55</v>
      </c>
      <c r="G69" s="16">
        <v>44601</v>
      </c>
      <c r="H69" s="7">
        <f t="shared" si="1"/>
        <v>0.91666666666666663</v>
      </c>
      <c r="I6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06-Feb-22 - to - 12-Feb-22</v>
      </c>
      <c r="J69" s="24" t="str">
        <f>TEXT(Table1[[#This Row],[Date]],"mmm")</f>
        <v>Feb</v>
      </c>
    </row>
    <row r="70" spans="1:10" ht="16.5">
      <c r="A70" s="14" t="s">
        <v>140</v>
      </c>
      <c r="B70" s="15" t="s">
        <v>42</v>
      </c>
      <c r="C70" s="15" t="s">
        <v>10</v>
      </c>
      <c r="D70" s="15" t="s">
        <v>11</v>
      </c>
      <c r="E70" s="15" t="s">
        <v>6</v>
      </c>
      <c r="F70" s="14">
        <v>20</v>
      </c>
      <c r="G70" s="16">
        <v>44601</v>
      </c>
      <c r="H70" s="7">
        <f t="shared" si="1"/>
        <v>0.33333333333333331</v>
      </c>
      <c r="I7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06-Feb-22 - to - 12-Feb-22</v>
      </c>
      <c r="J70" s="24" t="str">
        <f>TEXT(Table1[[#This Row],[Date]],"mmm")</f>
        <v>Feb</v>
      </c>
    </row>
    <row r="71" spans="1:10" ht="16.5">
      <c r="A71" s="14" t="s">
        <v>140</v>
      </c>
      <c r="B71" s="15" t="s">
        <v>42</v>
      </c>
      <c r="C71" s="15" t="s">
        <v>20</v>
      </c>
      <c r="D71" s="15" t="s">
        <v>11</v>
      </c>
      <c r="E71" s="15" t="s">
        <v>6</v>
      </c>
      <c r="F71" s="14">
        <v>115</v>
      </c>
      <c r="G71" s="16">
        <v>44601</v>
      </c>
      <c r="H71" s="7">
        <f t="shared" si="1"/>
        <v>1.9166666666666667</v>
      </c>
      <c r="I7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06-Feb-22 - to - 12-Feb-22</v>
      </c>
      <c r="J71" s="24" t="str">
        <f>TEXT(Table1[[#This Row],[Date]],"mmm")</f>
        <v>Feb</v>
      </c>
    </row>
    <row r="72" spans="1:10" ht="16.5">
      <c r="A72" s="14" t="s">
        <v>140</v>
      </c>
      <c r="B72" s="15" t="s">
        <v>159</v>
      </c>
      <c r="C72" s="15" t="s">
        <v>55</v>
      </c>
      <c r="D72" s="15" t="s">
        <v>11</v>
      </c>
      <c r="E72" s="15" t="s">
        <v>6</v>
      </c>
      <c r="F72" s="14">
        <v>45</v>
      </c>
      <c r="G72" s="16">
        <v>44601</v>
      </c>
      <c r="H72" s="7">
        <f t="shared" si="1"/>
        <v>0.75</v>
      </c>
      <c r="I7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06-Feb-22 - to - 12-Feb-22</v>
      </c>
      <c r="J72" s="24" t="str">
        <f>TEXT(Table1[[#This Row],[Date]],"mmm")</f>
        <v>Feb</v>
      </c>
    </row>
    <row r="73" spans="1:10" ht="16.5">
      <c r="A73" s="14" t="s">
        <v>141</v>
      </c>
      <c r="B73" s="15" t="s">
        <v>10</v>
      </c>
      <c r="C73" s="15" t="s">
        <v>10</v>
      </c>
      <c r="D73" s="15" t="s">
        <v>8</v>
      </c>
      <c r="E73" s="15" t="s">
        <v>10</v>
      </c>
      <c r="F73" s="14">
        <v>60</v>
      </c>
      <c r="G73" s="16">
        <v>44603</v>
      </c>
      <c r="H73" s="7">
        <f t="shared" si="1"/>
        <v>1</v>
      </c>
      <c r="I7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06-Feb-22 - to - 12-Feb-22</v>
      </c>
      <c r="J73" s="24" t="str">
        <f>TEXT(Table1[[#This Row],[Date]],"mmm")</f>
        <v>Feb</v>
      </c>
    </row>
    <row r="74" spans="1:10" ht="16.5">
      <c r="A74" s="14" t="s">
        <v>141</v>
      </c>
      <c r="B74" s="15" t="s">
        <v>36</v>
      </c>
      <c r="C74" s="15" t="s">
        <v>37</v>
      </c>
      <c r="D74" s="15" t="s">
        <v>8</v>
      </c>
      <c r="E74" s="15" t="s">
        <v>36</v>
      </c>
      <c r="F74" s="14">
        <v>60</v>
      </c>
      <c r="G74" s="16">
        <v>44603</v>
      </c>
      <c r="H74" s="7">
        <f t="shared" si="1"/>
        <v>1</v>
      </c>
      <c r="I7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06-Feb-22 - to - 12-Feb-22</v>
      </c>
      <c r="J74" s="24" t="str">
        <f>TEXT(Table1[[#This Row],[Date]],"mmm")</f>
        <v>Feb</v>
      </c>
    </row>
    <row r="75" spans="1:10" ht="16.5">
      <c r="A75" s="14" t="s">
        <v>141</v>
      </c>
      <c r="B75" s="15" t="s">
        <v>36</v>
      </c>
      <c r="C75" s="15" t="s">
        <v>19</v>
      </c>
      <c r="D75" s="15" t="s">
        <v>13</v>
      </c>
      <c r="E75" s="15" t="s">
        <v>56</v>
      </c>
      <c r="F75" s="14">
        <v>70</v>
      </c>
      <c r="G75" s="16">
        <v>44603</v>
      </c>
      <c r="H75" s="7">
        <f t="shared" si="1"/>
        <v>1.1666666666666667</v>
      </c>
      <c r="I7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06-Feb-22 - to - 12-Feb-22</v>
      </c>
      <c r="J75" s="24" t="str">
        <f>TEXT(Table1[[#This Row],[Date]],"mmm")</f>
        <v>Feb</v>
      </c>
    </row>
    <row r="76" spans="1:10" ht="16.5">
      <c r="A76" s="14" t="s">
        <v>141</v>
      </c>
      <c r="B76" s="15" t="s">
        <v>157</v>
      </c>
      <c r="C76" s="15" t="s">
        <v>16</v>
      </c>
      <c r="D76" s="15" t="s">
        <v>8</v>
      </c>
      <c r="E76" s="15" t="s">
        <v>9</v>
      </c>
      <c r="F76" s="14">
        <v>30</v>
      </c>
      <c r="G76" s="16">
        <v>44603</v>
      </c>
      <c r="H76" s="7">
        <f t="shared" si="1"/>
        <v>0.5</v>
      </c>
      <c r="I7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06-Feb-22 - to - 12-Feb-22</v>
      </c>
      <c r="J76" s="24" t="str">
        <f>TEXT(Table1[[#This Row],[Date]],"mmm")</f>
        <v>Feb</v>
      </c>
    </row>
    <row r="77" spans="1:10" ht="16.5">
      <c r="A77" s="14" t="s">
        <v>141</v>
      </c>
      <c r="B77" s="15" t="s">
        <v>157</v>
      </c>
      <c r="C77" s="15" t="s">
        <v>162</v>
      </c>
      <c r="D77" s="15" t="s">
        <v>13</v>
      </c>
      <c r="E77" s="15" t="s">
        <v>9</v>
      </c>
      <c r="F77" s="14">
        <v>60</v>
      </c>
      <c r="G77" s="16">
        <v>44603</v>
      </c>
      <c r="H77" s="7">
        <f t="shared" si="1"/>
        <v>1</v>
      </c>
      <c r="I7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06-Feb-22 - to - 12-Feb-22</v>
      </c>
      <c r="J77" s="24" t="str">
        <f>TEXT(Table1[[#This Row],[Date]],"mmm")</f>
        <v>Feb</v>
      </c>
    </row>
    <row r="78" spans="1:10" ht="16.5">
      <c r="A78" s="14" t="s">
        <v>141</v>
      </c>
      <c r="B78" s="15" t="s">
        <v>142</v>
      </c>
      <c r="C78" s="15" t="s">
        <v>137</v>
      </c>
      <c r="D78" s="15" t="s">
        <v>8</v>
      </c>
      <c r="E78" s="15" t="s">
        <v>35</v>
      </c>
      <c r="F78" s="14">
        <v>200</v>
      </c>
      <c r="G78" s="16">
        <v>44603</v>
      </c>
      <c r="H78" s="7">
        <f t="shared" si="1"/>
        <v>3.3333333333333335</v>
      </c>
      <c r="I7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06-Feb-22 - to - 12-Feb-22</v>
      </c>
      <c r="J78" s="24" t="str">
        <f>TEXT(Table1[[#This Row],[Date]],"mmm")</f>
        <v>Feb</v>
      </c>
    </row>
    <row r="79" spans="1:10" ht="16.5">
      <c r="A79" s="14" t="s">
        <v>140</v>
      </c>
      <c r="B79" s="15" t="s">
        <v>159</v>
      </c>
      <c r="C79" s="15" t="s">
        <v>48</v>
      </c>
      <c r="D79" s="15" t="s">
        <v>11</v>
      </c>
      <c r="E79" s="15" t="s">
        <v>88</v>
      </c>
      <c r="F79" s="14">
        <v>20</v>
      </c>
      <c r="G79" s="16">
        <v>44603</v>
      </c>
      <c r="H79" s="7">
        <f t="shared" si="1"/>
        <v>0.33333333333333331</v>
      </c>
      <c r="I7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06-Feb-22 - to - 12-Feb-22</v>
      </c>
      <c r="J79" s="24" t="str">
        <f>TEXT(Table1[[#This Row],[Date]],"mmm")</f>
        <v>Feb</v>
      </c>
    </row>
    <row r="80" spans="1:10" ht="16.5">
      <c r="A80" s="14" t="s">
        <v>140</v>
      </c>
      <c r="B80" s="15" t="s">
        <v>10</v>
      </c>
      <c r="C80" s="15" t="s">
        <v>10</v>
      </c>
      <c r="D80" s="15" t="s">
        <v>8</v>
      </c>
      <c r="E80" s="15" t="s">
        <v>10</v>
      </c>
      <c r="F80" s="14">
        <v>60</v>
      </c>
      <c r="G80" s="16">
        <v>44603</v>
      </c>
      <c r="H80" s="7">
        <f t="shared" si="1"/>
        <v>1</v>
      </c>
      <c r="I8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06-Feb-22 - to - 12-Feb-22</v>
      </c>
      <c r="J80" s="24" t="str">
        <f>TEXT(Table1[[#This Row],[Date]],"mmm")</f>
        <v>Feb</v>
      </c>
    </row>
    <row r="81" spans="1:10" ht="16.5">
      <c r="A81" s="14" t="s">
        <v>140</v>
      </c>
      <c r="B81" s="15" t="s">
        <v>159</v>
      </c>
      <c r="C81" s="15" t="s">
        <v>51</v>
      </c>
      <c r="D81" s="15" t="s">
        <v>8</v>
      </c>
      <c r="E81" s="15" t="s">
        <v>9</v>
      </c>
      <c r="F81" s="14">
        <v>20</v>
      </c>
      <c r="G81" s="16">
        <v>44603</v>
      </c>
      <c r="H81" s="7">
        <f t="shared" si="1"/>
        <v>0.33333333333333331</v>
      </c>
      <c r="I8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06-Feb-22 - to - 12-Feb-22</v>
      </c>
      <c r="J81" s="24" t="str">
        <f>TEXT(Table1[[#This Row],[Date]],"mmm")</f>
        <v>Feb</v>
      </c>
    </row>
    <row r="82" spans="1:10" ht="16.5">
      <c r="A82" s="14" t="s">
        <v>140</v>
      </c>
      <c r="B82" s="15" t="s">
        <v>159</v>
      </c>
      <c r="C82" s="15" t="s">
        <v>52</v>
      </c>
      <c r="D82" s="15" t="s">
        <v>138</v>
      </c>
      <c r="E82" s="15" t="s">
        <v>52</v>
      </c>
      <c r="F82" s="14">
        <v>65</v>
      </c>
      <c r="G82" s="16">
        <v>44603</v>
      </c>
      <c r="H82" s="7">
        <f t="shared" si="1"/>
        <v>1.0833333333333333</v>
      </c>
      <c r="I8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06-Feb-22 - to - 12-Feb-22</v>
      </c>
      <c r="J82" s="24" t="str">
        <f>TEXT(Table1[[#This Row],[Date]],"mmm")</f>
        <v>Feb</v>
      </c>
    </row>
    <row r="83" spans="1:10" ht="16.5">
      <c r="A83" s="14" t="s">
        <v>140</v>
      </c>
      <c r="B83" s="15" t="s">
        <v>152</v>
      </c>
      <c r="C83" s="15" t="s">
        <v>153</v>
      </c>
      <c r="D83" s="15" t="s">
        <v>8</v>
      </c>
      <c r="E83" s="15" t="s">
        <v>12</v>
      </c>
      <c r="F83" s="14">
        <v>25</v>
      </c>
      <c r="G83" s="16">
        <v>44603</v>
      </c>
      <c r="H83" s="7">
        <f t="shared" si="1"/>
        <v>0.41666666666666669</v>
      </c>
      <c r="I8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06-Feb-22 - to - 12-Feb-22</v>
      </c>
      <c r="J83" s="24" t="str">
        <f>TEXT(Table1[[#This Row],[Date]],"mmm")</f>
        <v>Feb</v>
      </c>
    </row>
    <row r="84" spans="1:10" ht="16.5">
      <c r="A84" s="14" t="s">
        <v>140</v>
      </c>
      <c r="B84" s="15" t="s">
        <v>159</v>
      </c>
      <c r="C84" s="15" t="s">
        <v>44</v>
      </c>
      <c r="D84" s="15" t="s">
        <v>8</v>
      </c>
      <c r="E84" s="15" t="s">
        <v>12</v>
      </c>
      <c r="F84" s="14">
        <v>110</v>
      </c>
      <c r="G84" s="16">
        <v>44603</v>
      </c>
      <c r="H84" s="7">
        <f t="shared" si="1"/>
        <v>1.8333333333333333</v>
      </c>
      <c r="I8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06-Feb-22 - to - 12-Feb-22</v>
      </c>
      <c r="J84" s="24" t="str">
        <f>TEXT(Table1[[#This Row],[Date]],"mmm")</f>
        <v>Feb</v>
      </c>
    </row>
    <row r="85" spans="1:10" ht="16.5">
      <c r="A85" s="14" t="s">
        <v>140</v>
      </c>
      <c r="B85" s="15" t="s">
        <v>159</v>
      </c>
      <c r="C85" s="15" t="s">
        <v>161</v>
      </c>
      <c r="D85" s="15" t="s">
        <v>8</v>
      </c>
      <c r="E85" s="15" t="s">
        <v>175</v>
      </c>
      <c r="F85" s="14">
        <v>25</v>
      </c>
      <c r="G85" s="16">
        <v>44603</v>
      </c>
      <c r="H85" s="7">
        <f t="shared" si="1"/>
        <v>0.41666666666666669</v>
      </c>
      <c r="I8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06-Feb-22 - to - 12-Feb-22</v>
      </c>
      <c r="J85" s="24" t="str">
        <f>TEXT(Table1[[#This Row],[Date]],"mmm")</f>
        <v>Feb</v>
      </c>
    </row>
    <row r="86" spans="1:10" ht="16.5">
      <c r="A86" s="14" t="s">
        <v>140</v>
      </c>
      <c r="B86" s="15" t="s">
        <v>144</v>
      </c>
      <c r="C86" s="15" t="s">
        <v>50</v>
      </c>
      <c r="D86" s="15" t="s">
        <v>11</v>
      </c>
      <c r="E86" s="15" t="s">
        <v>9</v>
      </c>
      <c r="F86" s="14">
        <v>30</v>
      </c>
      <c r="G86" s="16">
        <v>44603</v>
      </c>
      <c r="H86" s="7">
        <f t="shared" si="1"/>
        <v>0.5</v>
      </c>
      <c r="I8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06-Feb-22 - to - 12-Feb-22</v>
      </c>
      <c r="J86" s="24" t="str">
        <f>TEXT(Table1[[#This Row],[Date]],"mmm")</f>
        <v>Feb</v>
      </c>
    </row>
    <row r="87" spans="1:10" ht="16.5">
      <c r="A87" s="14" t="s">
        <v>140</v>
      </c>
      <c r="B87" s="15" t="s">
        <v>159</v>
      </c>
      <c r="C87" s="15" t="s">
        <v>17</v>
      </c>
      <c r="D87" s="15" t="s">
        <v>11</v>
      </c>
      <c r="E87" s="15" t="s">
        <v>17</v>
      </c>
      <c r="F87" s="14">
        <v>20</v>
      </c>
      <c r="G87" s="16">
        <v>44603</v>
      </c>
      <c r="H87" s="7">
        <f t="shared" si="1"/>
        <v>0.33333333333333331</v>
      </c>
      <c r="I8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06-Feb-22 - to - 12-Feb-22</v>
      </c>
      <c r="J87" s="24" t="str">
        <f>TEXT(Table1[[#This Row],[Date]],"mmm")</f>
        <v>Feb</v>
      </c>
    </row>
    <row r="88" spans="1:10" ht="16.5">
      <c r="A88" s="14" t="s">
        <v>140</v>
      </c>
      <c r="B88" s="15" t="s">
        <v>159</v>
      </c>
      <c r="C88" s="15" t="s">
        <v>53</v>
      </c>
      <c r="D88" s="15" t="s">
        <v>13</v>
      </c>
      <c r="E88" s="15" t="s">
        <v>41</v>
      </c>
      <c r="F88" s="14">
        <v>75</v>
      </c>
      <c r="G88" s="16">
        <v>44603</v>
      </c>
      <c r="H88" s="7">
        <f t="shared" si="1"/>
        <v>1.25</v>
      </c>
      <c r="I8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06-Feb-22 - to - 12-Feb-22</v>
      </c>
      <c r="J88" s="24" t="str">
        <f>TEXT(Table1[[#This Row],[Date]],"mmm")</f>
        <v>Feb</v>
      </c>
    </row>
    <row r="89" spans="1:10" ht="16.5">
      <c r="A89" s="14" t="s">
        <v>140</v>
      </c>
      <c r="B89" s="15" t="s">
        <v>159</v>
      </c>
      <c r="C89" s="15" t="s">
        <v>54</v>
      </c>
      <c r="D89" s="15" t="s">
        <v>13</v>
      </c>
      <c r="E89" s="15" t="s">
        <v>72</v>
      </c>
      <c r="F89" s="14">
        <v>20</v>
      </c>
      <c r="G89" s="16">
        <v>44603</v>
      </c>
      <c r="H89" s="7">
        <f t="shared" si="1"/>
        <v>0.33333333333333331</v>
      </c>
      <c r="I8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06-Feb-22 - to - 12-Feb-22</v>
      </c>
      <c r="J89" s="24" t="str">
        <f>TEXT(Table1[[#This Row],[Date]],"mmm")</f>
        <v>Feb</v>
      </c>
    </row>
    <row r="90" spans="1:10" ht="16.5">
      <c r="A90" s="14" t="s">
        <v>140</v>
      </c>
      <c r="B90" s="15" t="s">
        <v>159</v>
      </c>
      <c r="C90" s="15" t="s">
        <v>71</v>
      </c>
      <c r="D90" s="15" t="s">
        <v>138</v>
      </c>
      <c r="E90" s="15" t="s">
        <v>71</v>
      </c>
      <c r="F90" s="14">
        <v>35</v>
      </c>
      <c r="G90" s="16">
        <v>44603</v>
      </c>
      <c r="H90" s="7">
        <f t="shared" si="1"/>
        <v>0.58333333333333337</v>
      </c>
      <c r="I9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06-Feb-22 - to - 12-Feb-22</v>
      </c>
      <c r="J90" s="24" t="str">
        <f>TEXT(Table1[[#This Row],[Date]],"mmm")</f>
        <v>Feb</v>
      </c>
    </row>
    <row r="91" spans="1:10" ht="16.5">
      <c r="A91" s="14" t="s">
        <v>140</v>
      </c>
      <c r="B91" s="15" t="s">
        <v>159</v>
      </c>
      <c r="C91" s="15" t="s">
        <v>48</v>
      </c>
      <c r="D91" s="15" t="s">
        <v>11</v>
      </c>
      <c r="E91" s="15" t="s">
        <v>88</v>
      </c>
      <c r="F91" s="14">
        <v>20</v>
      </c>
      <c r="G91" s="16">
        <v>44603</v>
      </c>
      <c r="H91" s="7">
        <f t="shared" si="1"/>
        <v>0.33333333333333331</v>
      </c>
      <c r="I9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06-Feb-22 - to - 12-Feb-22</v>
      </c>
      <c r="J91" s="24" t="str">
        <f>TEXT(Table1[[#This Row],[Date]],"mmm")</f>
        <v>Feb</v>
      </c>
    </row>
    <row r="92" spans="1:10" ht="16.5">
      <c r="A92" s="14" t="s">
        <v>140</v>
      </c>
      <c r="B92" s="15" t="s">
        <v>10</v>
      </c>
      <c r="C92" s="15" t="s">
        <v>10</v>
      </c>
      <c r="D92" s="15" t="s">
        <v>8</v>
      </c>
      <c r="E92" s="15" t="s">
        <v>10</v>
      </c>
      <c r="F92" s="14">
        <v>60</v>
      </c>
      <c r="G92" s="16">
        <v>44603</v>
      </c>
      <c r="H92" s="7">
        <f t="shared" si="1"/>
        <v>1</v>
      </c>
      <c r="I9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06-Feb-22 - to - 12-Feb-22</v>
      </c>
      <c r="J92" s="24" t="str">
        <f>TEXT(Table1[[#This Row],[Date]],"mmm")</f>
        <v>Feb</v>
      </c>
    </row>
    <row r="93" spans="1:10" ht="16.5">
      <c r="A93" s="14" t="s">
        <v>140</v>
      </c>
      <c r="B93" s="15" t="s">
        <v>159</v>
      </c>
      <c r="C93" s="15" t="s">
        <v>51</v>
      </c>
      <c r="D93" s="15" t="s">
        <v>8</v>
      </c>
      <c r="E93" s="15" t="s">
        <v>9</v>
      </c>
      <c r="F93" s="14">
        <v>20</v>
      </c>
      <c r="G93" s="16">
        <v>44603</v>
      </c>
      <c r="H93" s="7">
        <f t="shared" si="1"/>
        <v>0.33333333333333331</v>
      </c>
      <c r="I9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06-Feb-22 - to - 12-Feb-22</v>
      </c>
      <c r="J93" s="24" t="str">
        <f>TEXT(Table1[[#This Row],[Date]],"mmm")</f>
        <v>Feb</v>
      </c>
    </row>
    <row r="94" spans="1:10" ht="16.5">
      <c r="A94" s="14" t="s">
        <v>140</v>
      </c>
      <c r="B94" s="15" t="s">
        <v>159</v>
      </c>
      <c r="C94" s="15" t="s">
        <v>52</v>
      </c>
      <c r="D94" s="15" t="s">
        <v>138</v>
      </c>
      <c r="E94" s="15" t="s">
        <v>52</v>
      </c>
      <c r="F94" s="14">
        <v>65</v>
      </c>
      <c r="G94" s="16">
        <v>44603</v>
      </c>
      <c r="H94" s="7">
        <f t="shared" si="1"/>
        <v>1.0833333333333333</v>
      </c>
      <c r="I9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06-Feb-22 - to - 12-Feb-22</v>
      </c>
      <c r="J94" s="24" t="str">
        <f>TEXT(Table1[[#This Row],[Date]],"mmm")</f>
        <v>Feb</v>
      </c>
    </row>
    <row r="95" spans="1:10" ht="16.5">
      <c r="A95" s="14" t="s">
        <v>140</v>
      </c>
      <c r="B95" s="15" t="s">
        <v>152</v>
      </c>
      <c r="C95" s="15" t="s">
        <v>153</v>
      </c>
      <c r="D95" s="15" t="s">
        <v>8</v>
      </c>
      <c r="E95" s="15" t="s">
        <v>12</v>
      </c>
      <c r="F95" s="14">
        <v>25</v>
      </c>
      <c r="G95" s="16">
        <v>44603</v>
      </c>
      <c r="H95" s="7">
        <f t="shared" si="1"/>
        <v>0.41666666666666669</v>
      </c>
      <c r="I9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06-Feb-22 - to - 12-Feb-22</v>
      </c>
      <c r="J95" s="24" t="str">
        <f>TEXT(Table1[[#This Row],[Date]],"mmm")</f>
        <v>Feb</v>
      </c>
    </row>
    <row r="96" spans="1:10" ht="16.5">
      <c r="A96" s="14" t="s">
        <v>140</v>
      </c>
      <c r="B96" s="15" t="s">
        <v>159</v>
      </c>
      <c r="C96" s="15" t="s">
        <v>44</v>
      </c>
      <c r="D96" s="15" t="s">
        <v>8</v>
      </c>
      <c r="E96" s="15" t="s">
        <v>12</v>
      </c>
      <c r="F96" s="14">
        <v>110</v>
      </c>
      <c r="G96" s="16">
        <v>44603</v>
      </c>
      <c r="H96" s="7">
        <f t="shared" si="1"/>
        <v>1.8333333333333333</v>
      </c>
      <c r="I9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06-Feb-22 - to - 12-Feb-22</v>
      </c>
      <c r="J96" s="24" t="str">
        <f>TEXT(Table1[[#This Row],[Date]],"mmm")</f>
        <v>Feb</v>
      </c>
    </row>
    <row r="97" spans="1:10" ht="16.5">
      <c r="A97" s="14" t="s">
        <v>140</v>
      </c>
      <c r="B97" s="15" t="s">
        <v>159</v>
      </c>
      <c r="C97" s="15" t="s">
        <v>161</v>
      </c>
      <c r="D97" s="15" t="s">
        <v>8</v>
      </c>
      <c r="E97" s="15" t="s">
        <v>175</v>
      </c>
      <c r="F97" s="14">
        <v>25</v>
      </c>
      <c r="G97" s="16">
        <v>44603</v>
      </c>
      <c r="H97" s="7">
        <f t="shared" si="1"/>
        <v>0.41666666666666669</v>
      </c>
      <c r="I9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06-Feb-22 - to - 12-Feb-22</v>
      </c>
      <c r="J97" s="24" t="str">
        <f>TEXT(Table1[[#This Row],[Date]],"mmm")</f>
        <v>Feb</v>
      </c>
    </row>
    <row r="98" spans="1:10" ht="16.5">
      <c r="A98" s="14" t="s">
        <v>140</v>
      </c>
      <c r="B98" s="15" t="s">
        <v>159</v>
      </c>
      <c r="C98" s="15" t="s">
        <v>17</v>
      </c>
      <c r="D98" s="15" t="s">
        <v>11</v>
      </c>
      <c r="E98" s="15" t="s">
        <v>17</v>
      </c>
      <c r="F98" s="14">
        <v>20</v>
      </c>
      <c r="G98" s="16">
        <v>44603</v>
      </c>
      <c r="H98" s="7">
        <f t="shared" si="1"/>
        <v>0.33333333333333331</v>
      </c>
      <c r="I9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06-Feb-22 - to - 12-Feb-22</v>
      </c>
      <c r="J98" s="24" t="str">
        <f>TEXT(Table1[[#This Row],[Date]],"mmm")</f>
        <v>Feb</v>
      </c>
    </row>
    <row r="99" spans="1:10" ht="16.5">
      <c r="A99" s="14" t="s">
        <v>140</v>
      </c>
      <c r="B99" s="15" t="s">
        <v>159</v>
      </c>
      <c r="C99" s="15" t="s">
        <v>53</v>
      </c>
      <c r="D99" s="15" t="s">
        <v>13</v>
      </c>
      <c r="E99" s="15" t="s">
        <v>41</v>
      </c>
      <c r="F99" s="14">
        <v>90</v>
      </c>
      <c r="G99" s="16">
        <v>44603</v>
      </c>
      <c r="H99" s="7">
        <f t="shared" si="1"/>
        <v>1.5</v>
      </c>
      <c r="I9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06-Feb-22 - to - 12-Feb-22</v>
      </c>
      <c r="J99" s="24" t="str">
        <f>TEXT(Table1[[#This Row],[Date]],"mmm")</f>
        <v>Feb</v>
      </c>
    </row>
    <row r="100" spans="1:10" ht="16.5">
      <c r="A100" s="14" t="s">
        <v>140</v>
      </c>
      <c r="B100" s="15" t="s">
        <v>159</v>
      </c>
      <c r="C100" s="15" t="s">
        <v>54</v>
      </c>
      <c r="D100" s="15" t="s">
        <v>13</v>
      </c>
      <c r="E100" s="15" t="s">
        <v>72</v>
      </c>
      <c r="F100" s="14">
        <v>30</v>
      </c>
      <c r="G100" s="16">
        <v>44603</v>
      </c>
      <c r="H100" s="7">
        <f t="shared" si="1"/>
        <v>0.5</v>
      </c>
      <c r="I10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06-Feb-22 - to - 12-Feb-22</v>
      </c>
      <c r="J100" s="24" t="str">
        <f>TEXT(Table1[[#This Row],[Date]],"mmm")</f>
        <v>Feb</v>
      </c>
    </row>
    <row r="101" spans="1:10" ht="16.5">
      <c r="A101" s="14" t="s">
        <v>140</v>
      </c>
      <c r="B101" s="15" t="s">
        <v>159</v>
      </c>
      <c r="C101" s="15" t="s">
        <v>71</v>
      </c>
      <c r="D101" s="15" t="s">
        <v>138</v>
      </c>
      <c r="E101" s="15" t="s">
        <v>71</v>
      </c>
      <c r="F101" s="14">
        <v>35</v>
      </c>
      <c r="G101" s="16">
        <v>44603</v>
      </c>
      <c r="H101" s="7">
        <f t="shared" si="1"/>
        <v>0.58333333333333337</v>
      </c>
      <c r="I10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06-Feb-22 - to - 12-Feb-22</v>
      </c>
      <c r="J101" s="24" t="str">
        <f>TEXT(Table1[[#This Row],[Date]],"mmm")</f>
        <v>Feb</v>
      </c>
    </row>
    <row r="102" spans="1:10" ht="16.5">
      <c r="A102" s="14" t="s">
        <v>140</v>
      </c>
      <c r="B102" s="15" t="s">
        <v>6</v>
      </c>
      <c r="C102" s="15" t="s">
        <v>47</v>
      </c>
      <c r="D102" s="15" t="s">
        <v>8</v>
      </c>
      <c r="E102" s="15" t="s">
        <v>9</v>
      </c>
      <c r="F102" s="14">
        <v>20</v>
      </c>
      <c r="G102" s="16">
        <v>44603</v>
      </c>
      <c r="H102" s="7">
        <f t="shared" si="1"/>
        <v>0.33333333333333331</v>
      </c>
      <c r="I10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06-Feb-22 - to - 12-Feb-22</v>
      </c>
      <c r="J102" s="24" t="str">
        <f>TEXT(Table1[[#This Row],[Date]],"mmm")</f>
        <v>Feb</v>
      </c>
    </row>
    <row r="103" spans="1:10" ht="16.5">
      <c r="A103" s="14" t="s">
        <v>140</v>
      </c>
      <c r="B103" s="15" t="s">
        <v>6</v>
      </c>
      <c r="C103" s="15" t="s">
        <v>47</v>
      </c>
      <c r="D103" s="15" t="s">
        <v>8</v>
      </c>
      <c r="E103" s="15" t="s">
        <v>9</v>
      </c>
      <c r="F103" s="14">
        <v>20</v>
      </c>
      <c r="G103" s="16">
        <v>44603</v>
      </c>
      <c r="H103" s="7">
        <f t="shared" si="1"/>
        <v>0.33333333333333331</v>
      </c>
      <c r="I10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06-Feb-22 - to - 12-Feb-22</v>
      </c>
      <c r="J103" s="24" t="str">
        <f>TEXT(Table1[[#This Row],[Date]],"mmm")</f>
        <v>Feb</v>
      </c>
    </row>
    <row r="104" spans="1:10" ht="16.5">
      <c r="A104" s="14" t="s">
        <v>141</v>
      </c>
      <c r="B104" s="15" t="s">
        <v>142</v>
      </c>
      <c r="C104" s="15" t="s">
        <v>137</v>
      </c>
      <c r="D104" s="15" t="s">
        <v>8</v>
      </c>
      <c r="E104" s="15" t="s">
        <v>35</v>
      </c>
      <c r="F104" s="14">
        <v>150</v>
      </c>
      <c r="G104" s="16">
        <v>44629</v>
      </c>
      <c r="H104" s="7">
        <f t="shared" si="1"/>
        <v>2.5</v>
      </c>
      <c r="I10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06-Mar-22 - to - 12-Mar-22</v>
      </c>
      <c r="J104" s="24" t="str">
        <f>TEXT(Table1[[#This Row],[Date]],"mmm")</f>
        <v>Mar</v>
      </c>
    </row>
    <row r="105" spans="1:10" ht="16.5">
      <c r="A105" s="14" t="s">
        <v>141</v>
      </c>
      <c r="B105" s="15" t="s">
        <v>36</v>
      </c>
      <c r="C105" s="15" t="s">
        <v>37</v>
      </c>
      <c r="D105" s="15" t="s">
        <v>8</v>
      </c>
      <c r="E105" s="15" t="s">
        <v>6</v>
      </c>
      <c r="F105" s="14">
        <v>40</v>
      </c>
      <c r="G105" s="16">
        <v>44629</v>
      </c>
      <c r="H105" s="7">
        <f t="shared" si="1"/>
        <v>0.66666666666666663</v>
      </c>
      <c r="I10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06-Mar-22 - to - 12-Mar-22</v>
      </c>
      <c r="J105" s="24" t="str">
        <f>TEXT(Table1[[#This Row],[Date]],"mmm")</f>
        <v>Mar</v>
      </c>
    </row>
    <row r="106" spans="1:10" ht="16.5">
      <c r="A106" s="14" t="s">
        <v>141</v>
      </c>
      <c r="B106" s="15" t="s">
        <v>157</v>
      </c>
      <c r="C106" s="15" t="s">
        <v>16</v>
      </c>
      <c r="D106" s="15" t="s">
        <v>8</v>
      </c>
      <c r="E106" s="15" t="s">
        <v>6</v>
      </c>
      <c r="F106" s="14">
        <v>15</v>
      </c>
      <c r="G106" s="16">
        <v>44629</v>
      </c>
      <c r="H106" s="7">
        <f t="shared" si="1"/>
        <v>0.25</v>
      </c>
      <c r="I10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06-Mar-22 - to - 12-Mar-22</v>
      </c>
      <c r="J106" s="24" t="str">
        <f>TEXT(Table1[[#This Row],[Date]],"mmm")</f>
        <v>Mar</v>
      </c>
    </row>
    <row r="107" spans="1:10" ht="16.5">
      <c r="A107" s="14" t="s">
        <v>141</v>
      </c>
      <c r="B107" s="15" t="s">
        <v>39</v>
      </c>
      <c r="C107" s="15" t="s">
        <v>40</v>
      </c>
      <c r="D107" s="15" t="s">
        <v>8</v>
      </c>
      <c r="E107" s="15" t="s">
        <v>40</v>
      </c>
      <c r="F107" s="14">
        <v>20</v>
      </c>
      <c r="G107" s="16">
        <v>44629</v>
      </c>
      <c r="H107" s="7">
        <f t="shared" si="1"/>
        <v>0.33333333333333331</v>
      </c>
      <c r="I10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06-Mar-22 - to - 12-Mar-22</v>
      </c>
      <c r="J107" s="24" t="str">
        <f>TEXT(Table1[[#This Row],[Date]],"mmm")</f>
        <v>Mar</v>
      </c>
    </row>
    <row r="108" spans="1:10" ht="16.5">
      <c r="A108" s="14" t="s">
        <v>141</v>
      </c>
      <c r="B108" s="15" t="s">
        <v>142</v>
      </c>
      <c r="C108" s="15" t="s">
        <v>137</v>
      </c>
      <c r="D108" s="15" t="s">
        <v>11</v>
      </c>
      <c r="E108" s="15" t="s">
        <v>35</v>
      </c>
      <c r="F108" s="14">
        <v>35</v>
      </c>
      <c r="G108" s="16">
        <v>44629</v>
      </c>
      <c r="H108" s="7">
        <f t="shared" si="1"/>
        <v>0.58333333333333337</v>
      </c>
      <c r="I10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06-Mar-22 - to - 12-Mar-22</v>
      </c>
      <c r="J108" s="24" t="str">
        <f>TEXT(Table1[[#This Row],[Date]],"mmm")</f>
        <v>Mar</v>
      </c>
    </row>
    <row r="109" spans="1:10" ht="16.5">
      <c r="A109" s="14" t="s">
        <v>141</v>
      </c>
      <c r="B109" s="15" t="s">
        <v>157</v>
      </c>
      <c r="C109" s="15" t="s">
        <v>44</v>
      </c>
      <c r="D109" s="15" t="s">
        <v>8</v>
      </c>
      <c r="E109" s="15" t="s">
        <v>12</v>
      </c>
      <c r="F109" s="14">
        <v>200</v>
      </c>
      <c r="G109" s="16">
        <v>44629</v>
      </c>
      <c r="H109" s="7">
        <f t="shared" si="1"/>
        <v>3.3333333333333335</v>
      </c>
      <c r="I10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06-Mar-22 - to - 12-Mar-22</v>
      </c>
      <c r="J109" s="24" t="str">
        <f>TEXT(Table1[[#This Row],[Date]],"mmm")</f>
        <v>Mar</v>
      </c>
    </row>
    <row r="110" spans="1:10" ht="16.5">
      <c r="A110" s="14" t="s">
        <v>141</v>
      </c>
      <c r="B110" s="15" t="s">
        <v>158</v>
      </c>
      <c r="C110" s="15" t="s">
        <v>38</v>
      </c>
      <c r="D110" s="15" t="s">
        <v>11</v>
      </c>
      <c r="E110" s="15" t="s">
        <v>17</v>
      </c>
      <c r="F110" s="14">
        <v>20</v>
      </c>
      <c r="G110" s="16">
        <v>44629</v>
      </c>
      <c r="H110" s="7">
        <f t="shared" si="1"/>
        <v>0.33333333333333331</v>
      </c>
      <c r="I11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06-Mar-22 - to - 12-Mar-22</v>
      </c>
      <c r="J110" s="24" t="str">
        <f>TEXT(Table1[[#This Row],[Date]],"mmm")</f>
        <v>Mar</v>
      </c>
    </row>
    <row r="111" spans="1:10" ht="16.5">
      <c r="A111" s="14" t="s">
        <v>140</v>
      </c>
      <c r="B111" s="15" t="s">
        <v>160</v>
      </c>
      <c r="C111" s="15" t="s">
        <v>17</v>
      </c>
      <c r="D111" s="15" t="s">
        <v>11</v>
      </c>
      <c r="E111" s="15" t="s">
        <v>17</v>
      </c>
      <c r="F111" s="14">
        <v>60</v>
      </c>
      <c r="G111" s="16">
        <v>44629</v>
      </c>
      <c r="H111" s="7">
        <f t="shared" si="1"/>
        <v>1</v>
      </c>
      <c r="I11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06-Mar-22 - to - 12-Mar-22</v>
      </c>
      <c r="J111" s="24" t="str">
        <f>TEXT(Table1[[#This Row],[Date]],"mmm")</f>
        <v>Mar</v>
      </c>
    </row>
    <row r="112" spans="1:10" ht="16.5">
      <c r="A112" s="14" t="s">
        <v>140</v>
      </c>
      <c r="B112" s="15" t="s">
        <v>42</v>
      </c>
      <c r="C112" s="15" t="s">
        <v>43</v>
      </c>
      <c r="D112" s="15" t="s">
        <v>8</v>
      </c>
      <c r="E112" s="15" t="s">
        <v>6</v>
      </c>
      <c r="F112" s="14">
        <v>45</v>
      </c>
      <c r="G112" s="16">
        <v>44629</v>
      </c>
      <c r="H112" s="7">
        <f t="shared" si="1"/>
        <v>0.75</v>
      </c>
      <c r="I11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06-Mar-22 - to - 12-Mar-22</v>
      </c>
      <c r="J112" s="24" t="str">
        <f>TEXT(Table1[[#This Row],[Date]],"mmm")</f>
        <v>Mar</v>
      </c>
    </row>
    <row r="113" spans="1:10" ht="16.5">
      <c r="A113" s="14" t="s">
        <v>140</v>
      </c>
      <c r="B113" s="15" t="s">
        <v>159</v>
      </c>
      <c r="C113" s="15" t="s">
        <v>17</v>
      </c>
      <c r="D113" s="15" t="s">
        <v>11</v>
      </c>
      <c r="E113" s="15" t="s">
        <v>17</v>
      </c>
      <c r="F113" s="14">
        <v>65</v>
      </c>
      <c r="G113" s="16">
        <v>44629</v>
      </c>
      <c r="H113" s="7">
        <f t="shared" si="1"/>
        <v>1.0833333333333333</v>
      </c>
      <c r="I11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06-Mar-22 - to - 12-Mar-22</v>
      </c>
      <c r="J113" s="24" t="str">
        <f>TEXT(Table1[[#This Row],[Date]],"mmm")</f>
        <v>Mar</v>
      </c>
    </row>
    <row r="114" spans="1:10" ht="16.5">
      <c r="A114" s="14" t="s">
        <v>140</v>
      </c>
      <c r="B114" s="15" t="s">
        <v>160</v>
      </c>
      <c r="C114" s="15" t="s">
        <v>58</v>
      </c>
      <c r="D114" s="15" t="s">
        <v>11</v>
      </c>
      <c r="E114" s="15" t="s">
        <v>125</v>
      </c>
      <c r="F114" s="14">
        <v>180</v>
      </c>
      <c r="G114" s="16">
        <v>44629</v>
      </c>
      <c r="H114" s="7">
        <f t="shared" si="1"/>
        <v>3</v>
      </c>
      <c r="I11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06-Mar-22 - to - 12-Mar-22</v>
      </c>
      <c r="J114" s="24" t="str">
        <f>TEXT(Table1[[#This Row],[Date]],"mmm")</f>
        <v>Mar</v>
      </c>
    </row>
    <row r="115" spans="1:10" ht="16.5">
      <c r="A115" s="14" t="s">
        <v>140</v>
      </c>
      <c r="B115" s="15" t="s">
        <v>42</v>
      </c>
      <c r="C115" s="15" t="s">
        <v>10</v>
      </c>
      <c r="D115" s="15" t="s">
        <v>11</v>
      </c>
      <c r="E115" s="15" t="s">
        <v>6</v>
      </c>
      <c r="F115" s="14">
        <v>20</v>
      </c>
      <c r="G115" s="16">
        <v>44629</v>
      </c>
      <c r="H115" s="7">
        <f t="shared" si="1"/>
        <v>0.33333333333333331</v>
      </c>
      <c r="I11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06-Mar-22 - to - 12-Mar-22</v>
      </c>
      <c r="J115" s="24" t="str">
        <f>TEXT(Table1[[#This Row],[Date]],"mmm")</f>
        <v>Mar</v>
      </c>
    </row>
    <row r="116" spans="1:10" ht="16.5">
      <c r="A116" s="14" t="s">
        <v>140</v>
      </c>
      <c r="B116" s="15" t="s">
        <v>159</v>
      </c>
      <c r="C116" s="15" t="s">
        <v>59</v>
      </c>
      <c r="D116" s="15" t="s">
        <v>11</v>
      </c>
      <c r="E116" s="15" t="s">
        <v>6</v>
      </c>
      <c r="F116" s="14">
        <v>90</v>
      </c>
      <c r="G116" s="16">
        <v>44629</v>
      </c>
      <c r="H116" s="7">
        <f t="shared" si="1"/>
        <v>1.5</v>
      </c>
      <c r="I11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06-Mar-22 - to - 12-Mar-22</v>
      </c>
      <c r="J116" s="24" t="str">
        <f>TEXT(Table1[[#This Row],[Date]],"mmm")</f>
        <v>Mar</v>
      </c>
    </row>
    <row r="117" spans="1:10" ht="16.5">
      <c r="A117" s="14" t="s">
        <v>141</v>
      </c>
      <c r="B117" s="15" t="s">
        <v>36</v>
      </c>
      <c r="C117" s="15" t="s">
        <v>37</v>
      </c>
      <c r="D117" s="15" t="s">
        <v>8</v>
      </c>
      <c r="E117" s="15" t="s">
        <v>36</v>
      </c>
      <c r="F117" s="14">
        <v>40</v>
      </c>
      <c r="G117" s="16">
        <v>44630</v>
      </c>
      <c r="H117" s="7">
        <f t="shared" si="1"/>
        <v>0.66666666666666663</v>
      </c>
      <c r="I11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06-Mar-22 - to - 12-Mar-22</v>
      </c>
      <c r="J117" s="24" t="str">
        <f>TEXT(Table1[[#This Row],[Date]],"mmm")</f>
        <v>Mar</v>
      </c>
    </row>
    <row r="118" spans="1:10" ht="16.5">
      <c r="A118" s="14" t="s">
        <v>141</v>
      </c>
      <c r="B118" s="15" t="s">
        <v>157</v>
      </c>
      <c r="C118" s="15" t="s">
        <v>16</v>
      </c>
      <c r="D118" s="15" t="s">
        <v>8</v>
      </c>
      <c r="E118" s="15" t="s">
        <v>9</v>
      </c>
      <c r="F118" s="14">
        <v>20</v>
      </c>
      <c r="G118" s="16">
        <v>44630</v>
      </c>
      <c r="H118" s="7">
        <f t="shared" si="1"/>
        <v>0.33333333333333331</v>
      </c>
      <c r="I11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06-Mar-22 - to - 12-Mar-22</v>
      </c>
      <c r="J118" s="24" t="str">
        <f>TEXT(Table1[[#This Row],[Date]],"mmm")</f>
        <v>Mar</v>
      </c>
    </row>
    <row r="119" spans="1:10" ht="16.5">
      <c r="A119" s="14" t="s">
        <v>141</v>
      </c>
      <c r="B119" s="15" t="s">
        <v>10</v>
      </c>
      <c r="C119" s="15" t="s">
        <v>10</v>
      </c>
      <c r="D119" s="15" t="s">
        <v>8</v>
      </c>
      <c r="E119" s="15" t="s">
        <v>10</v>
      </c>
      <c r="F119" s="14">
        <v>20</v>
      </c>
      <c r="G119" s="16">
        <v>44630</v>
      </c>
      <c r="H119" s="7">
        <f t="shared" si="1"/>
        <v>0.33333333333333331</v>
      </c>
      <c r="I11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06-Mar-22 - to - 12-Mar-22</v>
      </c>
      <c r="J119" s="24" t="str">
        <f>TEXT(Table1[[#This Row],[Date]],"mmm")</f>
        <v>Mar</v>
      </c>
    </row>
    <row r="120" spans="1:10" ht="16.5">
      <c r="A120" s="14" t="s">
        <v>141</v>
      </c>
      <c r="B120" s="15" t="s">
        <v>157</v>
      </c>
      <c r="C120" s="15" t="s">
        <v>44</v>
      </c>
      <c r="D120" s="15" t="s">
        <v>8</v>
      </c>
      <c r="E120" s="15" t="s">
        <v>12</v>
      </c>
      <c r="F120" s="14">
        <v>90</v>
      </c>
      <c r="G120" s="16">
        <v>44630</v>
      </c>
      <c r="H120" s="7">
        <f t="shared" si="1"/>
        <v>1.5</v>
      </c>
      <c r="I12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06-Mar-22 - to - 12-Mar-22</v>
      </c>
      <c r="J120" s="24" t="str">
        <f>TEXT(Table1[[#This Row],[Date]],"mmm")</f>
        <v>Mar</v>
      </c>
    </row>
    <row r="121" spans="1:10" ht="16.5">
      <c r="A121" s="14" t="s">
        <v>141</v>
      </c>
      <c r="B121" s="15" t="s">
        <v>142</v>
      </c>
      <c r="C121" s="15" t="s">
        <v>17</v>
      </c>
      <c r="D121" s="15" t="s">
        <v>11</v>
      </c>
      <c r="E121" s="15" t="s">
        <v>17</v>
      </c>
      <c r="F121" s="14">
        <v>90</v>
      </c>
      <c r="G121" s="16">
        <v>44630</v>
      </c>
      <c r="H121" s="7">
        <f t="shared" si="1"/>
        <v>1.5</v>
      </c>
      <c r="I12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06-Mar-22 - to - 12-Mar-22</v>
      </c>
      <c r="J121" s="24" t="str">
        <f>TEXT(Table1[[#This Row],[Date]],"mmm")</f>
        <v>Mar</v>
      </c>
    </row>
    <row r="122" spans="1:10" ht="16.5">
      <c r="A122" s="14" t="s">
        <v>141</v>
      </c>
      <c r="B122" s="15" t="s">
        <v>142</v>
      </c>
      <c r="C122" s="15" t="s">
        <v>17</v>
      </c>
      <c r="D122" s="15" t="s">
        <v>11</v>
      </c>
      <c r="E122" s="15" t="s">
        <v>17</v>
      </c>
      <c r="F122" s="14">
        <v>60</v>
      </c>
      <c r="G122" s="16">
        <v>44630</v>
      </c>
      <c r="H122" s="7">
        <f t="shared" si="1"/>
        <v>1</v>
      </c>
      <c r="I12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06-Mar-22 - to - 12-Mar-22</v>
      </c>
      <c r="J122" s="24" t="str">
        <f>TEXT(Table1[[#This Row],[Date]],"mmm")</f>
        <v>Mar</v>
      </c>
    </row>
    <row r="123" spans="1:10" ht="16.5">
      <c r="A123" s="14" t="s">
        <v>141</v>
      </c>
      <c r="B123" s="15" t="s">
        <v>142</v>
      </c>
      <c r="C123" s="15" t="s">
        <v>60</v>
      </c>
      <c r="D123" s="15" t="s">
        <v>13</v>
      </c>
      <c r="E123" s="15" t="s">
        <v>9</v>
      </c>
      <c r="F123" s="14">
        <v>90</v>
      </c>
      <c r="G123" s="16">
        <v>44630</v>
      </c>
      <c r="H123" s="7">
        <f t="shared" si="1"/>
        <v>1.5</v>
      </c>
      <c r="I12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06-Mar-22 - to - 12-Mar-22</v>
      </c>
      <c r="J123" s="24" t="str">
        <f>TEXT(Table1[[#This Row],[Date]],"mmm")</f>
        <v>Mar</v>
      </c>
    </row>
    <row r="124" spans="1:10" ht="16.5">
      <c r="A124" s="14" t="s">
        <v>141</v>
      </c>
      <c r="B124" s="15" t="s">
        <v>142</v>
      </c>
      <c r="C124" s="15" t="s">
        <v>137</v>
      </c>
      <c r="D124" s="15" t="s">
        <v>8</v>
      </c>
      <c r="E124" s="15" t="s">
        <v>35</v>
      </c>
      <c r="F124" s="14">
        <v>100</v>
      </c>
      <c r="G124" s="16">
        <v>44630</v>
      </c>
      <c r="H124" s="7">
        <f t="shared" si="1"/>
        <v>1.6666666666666667</v>
      </c>
      <c r="I12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06-Mar-22 - to - 12-Mar-22</v>
      </c>
      <c r="J124" s="24" t="str">
        <f>TEXT(Table1[[#This Row],[Date]],"mmm")</f>
        <v>Mar</v>
      </c>
    </row>
    <row r="125" spans="1:10" ht="16.5">
      <c r="A125" s="14" t="s">
        <v>141</v>
      </c>
      <c r="B125" s="15" t="s">
        <v>10</v>
      </c>
      <c r="C125" s="15" t="s">
        <v>10</v>
      </c>
      <c r="D125" s="15" t="s">
        <v>8</v>
      </c>
      <c r="E125" s="15" t="s">
        <v>10</v>
      </c>
      <c r="F125" s="14">
        <v>60</v>
      </c>
      <c r="G125" s="16">
        <v>44631</v>
      </c>
      <c r="H125" s="7">
        <f t="shared" si="1"/>
        <v>1</v>
      </c>
      <c r="I12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06-Mar-22 - to - 12-Mar-22</v>
      </c>
      <c r="J125" s="24" t="str">
        <f>TEXT(Table1[[#This Row],[Date]],"mmm")</f>
        <v>Mar</v>
      </c>
    </row>
    <row r="126" spans="1:10" ht="16.5">
      <c r="A126" s="14" t="s">
        <v>141</v>
      </c>
      <c r="B126" s="15" t="s">
        <v>36</v>
      </c>
      <c r="C126" s="15" t="s">
        <v>37</v>
      </c>
      <c r="D126" s="15" t="s">
        <v>8</v>
      </c>
      <c r="E126" s="15" t="s">
        <v>36</v>
      </c>
      <c r="F126" s="14">
        <v>60</v>
      </c>
      <c r="G126" s="16">
        <v>44631</v>
      </c>
      <c r="H126" s="7">
        <f t="shared" si="1"/>
        <v>1</v>
      </c>
      <c r="I12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06-Mar-22 - to - 12-Mar-22</v>
      </c>
      <c r="J126" s="24" t="str">
        <f>TEXT(Table1[[#This Row],[Date]],"mmm")</f>
        <v>Mar</v>
      </c>
    </row>
    <row r="127" spans="1:10" ht="16.5">
      <c r="A127" s="14" t="s">
        <v>141</v>
      </c>
      <c r="B127" s="15" t="s">
        <v>157</v>
      </c>
      <c r="C127" s="15" t="s">
        <v>16</v>
      </c>
      <c r="D127" s="15" t="s">
        <v>8</v>
      </c>
      <c r="E127" s="15" t="s">
        <v>9</v>
      </c>
      <c r="F127" s="14">
        <v>30</v>
      </c>
      <c r="G127" s="16">
        <v>44631</v>
      </c>
      <c r="H127" s="7">
        <f t="shared" si="1"/>
        <v>0.5</v>
      </c>
      <c r="I12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06-Mar-22 - to - 12-Mar-22</v>
      </c>
      <c r="J127" s="24" t="str">
        <f>TEXT(Table1[[#This Row],[Date]],"mmm")</f>
        <v>Mar</v>
      </c>
    </row>
    <row r="128" spans="1:10" ht="16.5">
      <c r="A128" s="14" t="s">
        <v>141</v>
      </c>
      <c r="B128" s="15" t="s">
        <v>157</v>
      </c>
      <c r="C128" s="15" t="s">
        <v>162</v>
      </c>
      <c r="D128" s="15" t="s">
        <v>13</v>
      </c>
      <c r="E128" s="15" t="s">
        <v>9</v>
      </c>
      <c r="F128" s="14">
        <v>200</v>
      </c>
      <c r="G128" s="16">
        <v>44631</v>
      </c>
      <c r="H128" s="7">
        <f t="shared" si="1"/>
        <v>3.3333333333333335</v>
      </c>
      <c r="I12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06-Mar-22 - to - 12-Mar-22</v>
      </c>
      <c r="J128" s="24" t="str">
        <f>TEXT(Table1[[#This Row],[Date]],"mmm")</f>
        <v>Mar</v>
      </c>
    </row>
    <row r="129" spans="1:10" ht="16.5">
      <c r="A129" s="14" t="s">
        <v>141</v>
      </c>
      <c r="B129" s="15" t="s">
        <v>142</v>
      </c>
      <c r="C129" s="15" t="s">
        <v>137</v>
      </c>
      <c r="D129" s="15" t="s">
        <v>8</v>
      </c>
      <c r="E129" s="15" t="s">
        <v>35</v>
      </c>
      <c r="F129" s="14">
        <v>150</v>
      </c>
      <c r="G129" s="16">
        <v>44631</v>
      </c>
      <c r="H129" s="7">
        <f t="shared" si="1"/>
        <v>2.5</v>
      </c>
      <c r="I12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06-Mar-22 - to - 12-Mar-22</v>
      </c>
      <c r="J129" s="24" t="str">
        <f>TEXT(Table1[[#This Row],[Date]],"mmm")</f>
        <v>Mar</v>
      </c>
    </row>
    <row r="130" spans="1:10" ht="16.5">
      <c r="A130" s="14" t="s">
        <v>140</v>
      </c>
      <c r="B130" s="15" t="s">
        <v>159</v>
      </c>
      <c r="C130" s="15" t="s">
        <v>48</v>
      </c>
      <c r="D130" s="15" t="s">
        <v>11</v>
      </c>
      <c r="E130" s="15" t="s">
        <v>88</v>
      </c>
      <c r="F130" s="14">
        <v>20</v>
      </c>
      <c r="G130" s="16">
        <v>44631</v>
      </c>
      <c r="H130" s="7">
        <f t="shared" ref="H130:H193" si="2">IFERROR(IF(ISBLANK(F130)=TRUE(),"",F130/60),"")</f>
        <v>0.33333333333333331</v>
      </c>
      <c r="I13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06-Mar-22 - to - 12-Mar-22</v>
      </c>
      <c r="J130" s="24" t="str">
        <f>TEXT(Table1[[#This Row],[Date]],"mmm")</f>
        <v>Mar</v>
      </c>
    </row>
    <row r="131" spans="1:10" ht="16.5">
      <c r="A131" s="14" t="s">
        <v>140</v>
      </c>
      <c r="B131" s="15" t="s">
        <v>10</v>
      </c>
      <c r="C131" s="15" t="s">
        <v>10</v>
      </c>
      <c r="D131" s="15" t="s">
        <v>8</v>
      </c>
      <c r="E131" s="15" t="s">
        <v>10</v>
      </c>
      <c r="F131" s="14">
        <v>20</v>
      </c>
      <c r="G131" s="16">
        <v>44631</v>
      </c>
      <c r="H131" s="7">
        <f t="shared" si="2"/>
        <v>0.33333333333333331</v>
      </c>
      <c r="I13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06-Mar-22 - to - 12-Mar-22</v>
      </c>
      <c r="J131" s="24" t="str">
        <f>TEXT(Table1[[#This Row],[Date]],"mmm")</f>
        <v>Mar</v>
      </c>
    </row>
    <row r="132" spans="1:10" ht="16.5">
      <c r="A132" s="14" t="s">
        <v>140</v>
      </c>
      <c r="B132" s="15" t="s">
        <v>159</v>
      </c>
      <c r="C132" s="15" t="s">
        <v>51</v>
      </c>
      <c r="D132" s="15" t="s">
        <v>8</v>
      </c>
      <c r="E132" s="15" t="s">
        <v>51</v>
      </c>
      <c r="F132" s="14">
        <v>20</v>
      </c>
      <c r="G132" s="16">
        <v>44631</v>
      </c>
      <c r="H132" s="7">
        <f t="shared" si="2"/>
        <v>0.33333333333333331</v>
      </c>
      <c r="I13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06-Mar-22 - to - 12-Mar-22</v>
      </c>
      <c r="J132" s="24" t="str">
        <f>TEXT(Table1[[#This Row],[Date]],"mmm")</f>
        <v>Mar</v>
      </c>
    </row>
    <row r="133" spans="1:10" ht="16.5">
      <c r="A133" s="14" t="s">
        <v>140</v>
      </c>
      <c r="B133" s="15" t="s">
        <v>159</v>
      </c>
      <c r="C133" s="15" t="s">
        <v>52</v>
      </c>
      <c r="D133" s="15" t="s">
        <v>138</v>
      </c>
      <c r="E133" s="15" t="s">
        <v>9</v>
      </c>
      <c r="F133" s="14">
        <v>40</v>
      </c>
      <c r="G133" s="16">
        <v>44631</v>
      </c>
      <c r="H133" s="7">
        <f t="shared" si="2"/>
        <v>0.66666666666666663</v>
      </c>
      <c r="I13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06-Mar-22 - to - 12-Mar-22</v>
      </c>
      <c r="J133" s="24" t="str">
        <f>TEXT(Table1[[#This Row],[Date]],"mmm")</f>
        <v>Mar</v>
      </c>
    </row>
    <row r="134" spans="1:10" ht="16.5">
      <c r="A134" s="14" t="s">
        <v>140</v>
      </c>
      <c r="B134" s="15" t="s">
        <v>152</v>
      </c>
      <c r="C134" s="15" t="s">
        <v>153</v>
      </c>
      <c r="D134" s="15" t="s">
        <v>8</v>
      </c>
      <c r="E134" s="15" t="s">
        <v>12</v>
      </c>
      <c r="F134" s="14">
        <v>25</v>
      </c>
      <c r="G134" s="16">
        <v>44631</v>
      </c>
      <c r="H134" s="7">
        <f t="shared" si="2"/>
        <v>0.41666666666666669</v>
      </c>
      <c r="I13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06-Mar-22 - to - 12-Mar-22</v>
      </c>
      <c r="J134" s="24" t="str">
        <f>TEXT(Table1[[#This Row],[Date]],"mmm")</f>
        <v>Mar</v>
      </c>
    </row>
    <row r="135" spans="1:10" ht="16.5">
      <c r="A135" s="14" t="s">
        <v>140</v>
      </c>
      <c r="B135" s="15" t="s">
        <v>159</v>
      </c>
      <c r="C135" s="15" t="s">
        <v>44</v>
      </c>
      <c r="D135" s="15" t="s">
        <v>8</v>
      </c>
      <c r="E135" s="15" t="s">
        <v>12</v>
      </c>
      <c r="F135" s="14">
        <v>110</v>
      </c>
      <c r="G135" s="16">
        <v>44631</v>
      </c>
      <c r="H135" s="7">
        <f t="shared" si="2"/>
        <v>1.8333333333333333</v>
      </c>
      <c r="I13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06-Mar-22 - to - 12-Mar-22</v>
      </c>
      <c r="J135" s="24" t="str">
        <f>TEXT(Table1[[#This Row],[Date]],"mmm")</f>
        <v>Mar</v>
      </c>
    </row>
    <row r="136" spans="1:10" ht="15" customHeight="1">
      <c r="A136" s="14" t="s">
        <v>140</v>
      </c>
      <c r="B136" s="15" t="s">
        <v>159</v>
      </c>
      <c r="C136" s="15" t="s">
        <v>161</v>
      </c>
      <c r="D136" s="15" t="s">
        <v>8</v>
      </c>
      <c r="E136" s="15" t="s">
        <v>9</v>
      </c>
      <c r="F136" s="14">
        <v>25</v>
      </c>
      <c r="G136" s="16">
        <v>44631</v>
      </c>
      <c r="H136" s="7">
        <f t="shared" si="2"/>
        <v>0.41666666666666669</v>
      </c>
      <c r="I13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06-Mar-22 - to - 12-Mar-22</v>
      </c>
      <c r="J136" s="24" t="str">
        <f>TEXT(Table1[[#This Row],[Date]],"mmm")</f>
        <v>Mar</v>
      </c>
    </row>
    <row r="137" spans="1:10" ht="15" customHeight="1">
      <c r="A137" s="14" t="s">
        <v>140</v>
      </c>
      <c r="B137" s="15" t="s">
        <v>160</v>
      </c>
      <c r="C137" s="15" t="s">
        <v>17</v>
      </c>
      <c r="D137" s="15" t="s">
        <v>11</v>
      </c>
      <c r="E137" s="15" t="s">
        <v>17</v>
      </c>
      <c r="F137" s="14">
        <v>20</v>
      </c>
      <c r="G137" s="16">
        <v>44631</v>
      </c>
      <c r="H137" s="7">
        <f t="shared" si="2"/>
        <v>0.33333333333333331</v>
      </c>
      <c r="I13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06-Mar-22 - to - 12-Mar-22</v>
      </c>
      <c r="J137" s="24" t="str">
        <f>TEXT(Table1[[#This Row],[Date]],"mmm")</f>
        <v>Mar</v>
      </c>
    </row>
    <row r="138" spans="1:10" ht="15" customHeight="1">
      <c r="A138" s="14" t="s">
        <v>140</v>
      </c>
      <c r="B138" s="15" t="s">
        <v>159</v>
      </c>
      <c r="C138" s="15" t="s">
        <v>53</v>
      </c>
      <c r="D138" s="15" t="s">
        <v>13</v>
      </c>
      <c r="E138" s="15" t="s">
        <v>9</v>
      </c>
      <c r="F138" s="14">
        <v>75</v>
      </c>
      <c r="G138" s="16">
        <v>44631</v>
      </c>
      <c r="H138" s="7">
        <f t="shared" si="2"/>
        <v>1.25</v>
      </c>
      <c r="I13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06-Mar-22 - to - 12-Mar-22</v>
      </c>
      <c r="J138" s="24" t="str">
        <f>TEXT(Table1[[#This Row],[Date]],"mmm")</f>
        <v>Mar</v>
      </c>
    </row>
    <row r="139" spans="1:10" ht="15" customHeight="1">
      <c r="A139" s="14" t="s">
        <v>140</v>
      </c>
      <c r="B139" s="15" t="s">
        <v>159</v>
      </c>
      <c r="C139" s="15" t="s">
        <v>61</v>
      </c>
      <c r="D139" s="15" t="s">
        <v>11</v>
      </c>
      <c r="E139" s="15" t="s">
        <v>57</v>
      </c>
      <c r="F139" s="14">
        <v>120</v>
      </c>
      <c r="G139" s="16">
        <v>44631</v>
      </c>
      <c r="H139" s="7">
        <f t="shared" si="2"/>
        <v>2</v>
      </c>
      <c r="I13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06-Mar-22 - to - 12-Mar-22</v>
      </c>
      <c r="J139" s="24" t="str">
        <f>TEXT(Table1[[#This Row],[Date]],"mmm")</f>
        <v>Mar</v>
      </c>
    </row>
    <row r="140" spans="1:10" ht="15" customHeight="1">
      <c r="A140" s="14" t="s">
        <v>140</v>
      </c>
      <c r="B140" s="15" t="s">
        <v>159</v>
      </c>
      <c r="C140" s="15" t="s">
        <v>71</v>
      </c>
      <c r="D140" s="15" t="s">
        <v>11</v>
      </c>
      <c r="E140" s="15" t="s">
        <v>71</v>
      </c>
      <c r="F140" s="14">
        <v>30</v>
      </c>
      <c r="G140" s="16">
        <v>44631</v>
      </c>
      <c r="H140" s="7">
        <f t="shared" si="2"/>
        <v>0.5</v>
      </c>
      <c r="I14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06-Mar-22 - to - 12-Mar-22</v>
      </c>
      <c r="J140" s="24" t="str">
        <f>TEXT(Table1[[#This Row],[Date]],"mmm")</f>
        <v>Mar</v>
      </c>
    </row>
    <row r="141" spans="1:10" ht="15" customHeight="1">
      <c r="A141" s="14" t="s">
        <v>140</v>
      </c>
      <c r="B141" s="15" t="s">
        <v>6</v>
      </c>
      <c r="C141" s="15" t="s">
        <v>7</v>
      </c>
      <c r="D141" s="15" t="s">
        <v>8</v>
      </c>
      <c r="E141" s="15" t="s">
        <v>9</v>
      </c>
      <c r="F141" s="14">
        <v>20</v>
      </c>
      <c r="G141" s="16">
        <v>44631</v>
      </c>
      <c r="H141" s="7">
        <f t="shared" si="2"/>
        <v>0.33333333333333331</v>
      </c>
      <c r="I14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06-Mar-22 - to - 12-Mar-22</v>
      </c>
      <c r="J141" s="24" t="str">
        <f>TEXT(Table1[[#This Row],[Date]],"mmm")</f>
        <v>Mar</v>
      </c>
    </row>
    <row r="142" spans="1:10" ht="15" customHeight="1">
      <c r="A142" s="14" t="s">
        <v>141</v>
      </c>
      <c r="B142" s="15" t="s">
        <v>36</v>
      </c>
      <c r="C142" s="15" t="s">
        <v>37</v>
      </c>
      <c r="D142" s="15" t="s">
        <v>8</v>
      </c>
      <c r="E142" s="15" t="s">
        <v>36</v>
      </c>
      <c r="F142" s="14">
        <v>50</v>
      </c>
      <c r="G142" s="16">
        <v>44661</v>
      </c>
      <c r="H142" s="7">
        <f t="shared" si="2"/>
        <v>0.83333333333333337</v>
      </c>
      <c r="I14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10-Apr-22 - to - 16-Apr-22</v>
      </c>
      <c r="J142" s="24" t="str">
        <f>TEXT(Table1[[#This Row],[Date]],"mmm")</f>
        <v>Apr</v>
      </c>
    </row>
    <row r="143" spans="1:10" ht="15" customHeight="1">
      <c r="A143" s="14" t="s">
        <v>141</v>
      </c>
      <c r="B143" s="15" t="s">
        <v>157</v>
      </c>
      <c r="C143" s="15" t="s">
        <v>16</v>
      </c>
      <c r="D143" s="15" t="s">
        <v>8</v>
      </c>
      <c r="E143" s="15" t="s">
        <v>9</v>
      </c>
      <c r="F143" s="14">
        <v>30</v>
      </c>
      <c r="G143" s="16">
        <v>44661</v>
      </c>
      <c r="H143" s="7">
        <f t="shared" si="2"/>
        <v>0.5</v>
      </c>
      <c r="I14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10-Apr-22 - to - 16-Apr-22</v>
      </c>
      <c r="J143" s="24" t="str">
        <f>TEXT(Table1[[#This Row],[Date]],"mmm")</f>
        <v>Apr</v>
      </c>
    </row>
    <row r="144" spans="1:10" ht="15" customHeight="1">
      <c r="A144" s="14" t="s">
        <v>141</v>
      </c>
      <c r="B144" s="15" t="s">
        <v>10</v>
      </c>
      <c r="C144" s="15" t="s">
        <v>10</v>
      </c>
      <c r="D144" s="15" t="s">
        <v>8</v>
      </c>
      <c r="E144" s="15" t="s">
        <v>10</v>
      </c>
      <c r="F144" s="14">
        <v>20</v>
      </c>
      <c r="G144" s="16">
        <v>44661</v>
      </c>
      <c r="H144" s="7">
        <f t="shared" si="2"/>
        <v>0.33333333333333331</v>
      </c>
      <c r="I14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10-Apr-22 - to - 16-Apr-22</v>
      </c>
      <c r="J144" s="24" t="str">
        <f>TEXT(Table1[[#This Row],[Date]],"mmm")</f>
        <v>Apr</v>
      </c>
    </row>
    <row r="145" spans="1:10" ht="15" customHeight="1">
      <c r="A145" s="14" t="s">
        <v>141</v>
      </c>
      <c r="B145" s="15" t="s">
        <v>157</v>
      </c>
      <c r="C145" s="15" t="s">
        <v>44</v>
      </c>
      <c r="D145" s="15" t="s">
        <v>8</v>
      </c>
      <c r="E145" s="15" t="s">
        <v>12</v>
      </c>
      <c r="F145" s="14">
        <v>90</v>
      </c>
      <c r="G145" s="16">
        <v>44661</v>
      </c>
      <c r="H145" s="7">
        <f t="shared" si="2"/>
        <v>1.5</v>
      </c>
      <c r="I14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10-Apr-22 - to - 16-Apr-22</v>
      </c>
      <c r="J145" s="24" t="str">
        <f>TEXT(Table1[[#This Row],[Date]],"mmm")</f>
        <v>Apr</v>
      </c>
    </row>
    <row r="146" spans="1:10" ht="15" customHeight="1">
      <c r="A146" s="14" t="s">
        <v>141</v>
      </c>
      <c r="B146" s="15" t="s">
        <v>142</v>
      </c>
      <c r="C146" s="15" t="s">
        <v>17</v>
      </c>
      <c r="D146" s="15" t="s">
        <v>11</v>
      </c>
      <c r="E146" s="15" t="s">
        <v>17</v>
      </c>
      <c r="F146" s="14">
        <v>190</v>
      </c>
      <c r="G146" s="16">
        <v>44661</v>
      </c>
      <c r="H146" s="7">
        <f t="shared" si="2"/>
        <v>3.1666666666666665</v>
      </c>
      <c r="I14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10-Apr-22 - to - 16-Apr-22</v>
      </c>
      <c r="J146" s="24" t="str">
        <f>TEXT(Table1[[#This Row],[Date]],"mmm")</f>
        <v>Apr</v>
      </c>
    </row>
    <row r="147" spans="1:10" ht="15" customHeight="1">
      <c r="A147" s="14" t="s">
        <v>141</v>
      </c>
      <c r="B147" s="15" t="s">
        <v>142</v>
      </c>
      <c r="C147" s="15" t="s">
        <v>137</v>
      </c>
      <c r="D147" s="15" t="s">
        <v>8</v>
      </c>
      <c r="E147" s="15" t="s">
        <v>35</v>
      </c>
      <c r="F147" s="14">
        <v>120</v>
      </c>
      <c r="G147" s="16">
        <v>44661</v>
      </c>
      <c r="H147" s="7">
        <f t="shared" si="2"/>
        <v>2</v>
      </c>
      <c r="I14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10-Apr-22 - to - 16-Apr-22</v>
      </c>
      <c r="J147" s="24" t="str">
        <f>TEXT(Table1[[#This Row],[Date]],"mmm")</f>
        <v>Apr</v>
      </c>
    </row>
    <row r="148" spans="1:10" ht="15" customHeight="1">
      <c r="A148" s="14" t="s">
        <v>140</v>
      </c>
      <c r="B148" s="15" t="s">
        <v>159</v>
      </c>
      <c r="C148" s="15" t="s">
        <v>47</v>
      </c>
      <c r="D148" s="15" t="s">
        <v>8</v>
      </c>
      <c r="E148" s="15" t="s">
        <v>9</v>
      </c>
      <c r="F148" s="14">
        <v>30</v>
      </c>
      <c r="G148" s="16">
        <v>44661</v>
      </c>
      <c r="H148" s="7">
        <f t="shared" si="2"/>
        <v>0.5</v>
      </c>
      <c r="I14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10-Apr-22 - to - 16-Apr-22</v>
      </c>
      <c r="J148" s="24" t="str">
        <f>TEXT(Table1[[#This Row],[Date]],"mmm")</f>
        <v>Apr</v>
      </c>
    </row>
    <row r="149" spans="1:10" ht="15" customHeight="1">
      <c r="A149" s="14" t="s">
        <v>140</v>
      </c>
      <c r="B149" s="15" t="s">
        <v>10</v>
      </c>
      <c r="C149" s="15" t="s">
        <v>10</v>
      </c>
      <c r="D149" s="15" t="s">
        <v>8</v>
      </c>
      <c r="E149" s="15" t="s">
        <v>10</v>
      </c>
      <c r="F149" s="14">
        <v>25</v>
      </c>
      <c r="G149" s="16">
        <v>44661</v>
      </c>
      <c r="H149" s="7">
        <f t="shared" si="2"/>
        <v>0.41666666666666669</v>
      </c>
      <c r="I14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10-Apr-22 - to - 16-Apr-22</v>
      </c>
      <c r="J149" s="24" t="str">
        <f>TEXT(Table1[[#This Row],[Date]],"mmm")</f>
        <v>Apr</v>
      </c>
    </row>
    <row r="150" spans="1:10" ht="15" customHeight="1">
      <c r="A150" s="14" t="s">
        <v>140</v>
      </c>
      <c r="B150" s="15" t="s">
        <v>152</v>
      </c>
      <c r="C150" s="15" t="s">
        <v>153</v>
      </c>
      <c r="D150" s="15" t="s">
        <v>8</v>
      </c>
      <c r="E150" s="15" t="s">
        <v>12</v>
      </c>
      <c r="F150" s="14">
        <v>45</v>
      </c>
      <c r="G150" s="16">
        <v>44661</v>
      </c>
      <c r="H150" s="7">
        <f t="shared" si="2"/>
        <v>0.75</v>
      </c>
      <c r="I15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10-Apr-22 - to - 16-Apr-22</v>
      </c>
      <c r="J150" s="24" t="str">
        <f>TEXT(Table1[[#This Row],[Date]],"mmm")</f>
        <v>Apr</v>
      </c>
    </row>
    <row r="151" spans="1:10" ht="15" customHeight="1">
      <c r="A151" s="14" t="s">
        <v>140</v>
      </c>
      <c r="B151" s="15" t="s">
        <v>160</v>
      </c>
      <c r="C151" s="15" t="s">
        <v>62</v>
      </c>
      <c r="D151" s="15" t="s">
        <v>13</v>
      </c>
      <c r="E151" s="15" t="s">
        <v>62</v>
      </c>
      <c r="F151" s="14">
        <v>30</v>
      </c>
      <c r="G151" s="16">
        <v>44661</v>
      </c>
      <c r="H151" s="7">
        <f t="shared" si="2"/>
        <v>0.5</v>
      </c>
      <c r="I15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10-Apr-22 - to - 16-Apr-22</v>
      </c>
      <c r="J151" s="24" t="str">
        <f>TEXT(Table1[[#This Row],[Date]],"mmm")</f>
        <v>Apr</v>
      </c>
    </row>
    <row r="152" spans="1:10" ht="15" customHeight="1">
      <c r="A152" s="14" t="s">
        <v>140</v>
      </c>
      <c r="B152" s="15" t="s">
        <v>159</v>
      </c>
      <c r="C152" s="15" t="s">
        <v>17</v>
      </c>
      <c r="D152" s="15" t="s">
        <v>11</v>
      </c>
      <c r="E152" s="15" t="s">
        <v>17</v>
      </c>
      <c r="F152" s="14">
        <v>35</v>
      </c>
      <c r="G152" s="16">
        <v>44661</v>
      </c>
      <c r="H152" s="7">
        <f t="shared" si="2"/>
        <v>0.58333333333333337</v>
      </c>
      <c r="I15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10-Apr-22 - to - 16-Apr-22</v>
      </c>
      <c r="J152" s="24" t="str">
        <f>TEXT(Table1[[#This Row],[Date]],"mmm")</f>
        <v>Apr</v>
      </c>
    </row>
    <row r="153" spans="1:10" ht="15" customHeight="1">
      <c r="A153" s="14" t="s">
        <v>140</v>
      </c>
      <c r="B153" s="15" t="s">
        <v>159</v>
      </c>
      <c r="C153" s="15" t="s">
        <v>22</v>
      </c>
      <c r="D153" s="15" t="s">
        <v>138</v>
      </c>
      <c r="E153" s="15" t="s">
        <v>9</v>
      </c>
      <c r="F153" s="14">
        <v>25</v>
      </c>
      <c r="G153" s="16">
        <v>44661</v>
      </c>
      <c r="H153" s="7">
        <f t="shared" si="2"/>
        <v>0.41666666666666669</v>
      </c>
      <c r="I15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10-Apr-22 - to - 16-Apr-22</v>
      </c>
      <c r="J153" s="24" t="str">
        <f>TEXT(Table1[[#This Row],[Date]],"mmm")</f>
        <v>Apr</v>
      </c>
    </row>
    <row r="154" spans="1:10" ht="15" customHeight="1">
      <c r="A154" s="14" t="s">
        <v>140</v>
      </c>
      <c r="B154" s="15" t="s">
        <v>159</v>
      </c>
      <c r="C154" s="15" t="s">
        <v>55</v>
      </c>
      <c r="D154" s="15" t="s">
        <v>11</v>
      </c>
      <c r="E154" s="15" t="s">
        <v>55</v>
      </c>
      <c r="F154" s="14">
        <v>35</v>
      </c>
      <c r="G154" s="16">
        <v>44661</v>
      </c>
      <c r="H154" s="7">
        <f t="shared" si="2"/>
        <v>0.58333333333333337</v>
      </c>
      <c r="I15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10-Apr-22 - to - 16-Apr-22</v>
      </c>
      <c r="J154" s="24" t="str">
        <f>TEXT(Table1[[#This Row],[Date]],"mmm")</f>
        <v>Apr</v>
      </c>
    </row>
    <row r="155" spans="1:10" ht="15" customHeight="1">
      <c r="A155" s="14" t="s">
        <v>140</v>
      </c>
      <c r="B155" s="15" t="s">
        <v>159</v>
      </c>
      <c r="C155" s="15" t="s">
        <v>44</v>
      </c>
      <c r="D155" s="15" t="s">
        <v>8</v>
      </c>
      <c r="E155" s="15" t="s">
        <v>12</v>
      </c>
      <c r="F155" s="14">
        <v>80</v>
      </c>
      <c r="G155" s="16">
        <v>44661</v>
      </c>
      <c r="H155" s="7">
        <f t="shared" si="2"/>
        <v>1.3333333333333333</v>
      </c>
      <c r="I15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10-Apr-22 - to - 16-Apr-22</v>
      </c>
      <c r="J155" s="24" t="str">
        <f>TEXT(Table1[[#This Row],[Date]],"mmm")</f>
        <v>Apr</v>
      </c>
    </row>
    <row r="156" spans="1:10" ht="15" customHeight="1">
      <c r="A156" s="14" t="s">
        <v>140</v>
      </c>
      <c r="B156" s="15" t="s">
        <v>159</v>
      </c>
      <c r="C156" s="15" t="s">
        <v>54</v>
      </c>
      <c r="D156" s="15" t="s">
        <v>138</v>
      </c>
      <c r="E156" s="15" t="s">
        <v>72</v>
      </c>
      <c r="F156" s="14">
        <v>25</v>
      </c>
      <c r="G156" s="16">
        <v>44661</v>
      </c>
      <c r="H156" s="7">
        <f t="shared" si="2"/>
        <v>0.41666666666666669</v>
      </c>
      <c r="I15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10-Apr-22 - to - 16-Apr-22</v>
      </c>
      <c r="J156" s="24" t="str">
        <f>TEXT(Table1[[#This Row],[Date]],"mmm")</f>
        <v>Apr</v>
      </c>
    </row>
    <row r="157" spans="1:10" ht="15" customHeight="1">
      <c r="A157" s="14" t="s">
        <v>140</v>
      </c>
      <c r="B157" s="15" t="s">
        <v>160</v>
      </c>
      <c r="C157" s="15" t="s">
        <v>63</v>
      </c>
      <c r="D157" s="15" t="s">
        <v>138</v>
      </c>
      <c r="E157" s="15" t="s">
        <v>63</v>
      </c>
      <c r="F157" s="14">
        <v>40</v>
      </c>
      <c r="G157" s="16">
        <v>44661</v>
      </c>
      <c r="H157" s="7">
        <f t="shared" si="2"/>
        <v>0.66666666666666663</v>
      </c>
      <c r="I15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10-Apr-22 - to - 16-Apr-22</v>
      </c>
      <c r="J157" s="24" t="str">
        <f>TEXT(Table1[[#This Row],[Date]],"mmm")</f>
        <v>Apr</v>
      </c>
    </row>
    <row r="158" spans="1:10" ht="15" customHeight="1">
      <c r="A158" s="14" t="s">
        <v>140</v>
      </c>
      <c r="B158" s="15" t="s">
        <v>159</v>
      </c>
      <c r="C158" s="15" t="s">
        <v>17</v>
      </c>
      <c r="D158" s="15" t="s">
        <v>13</v>
      </c>
      <c r="E158" s="15" t="s">
        <v>9</v>
      </c>
      <c r="F158" s="14">
        <v>45</v>
      </c>
      <c r="G158" s="16">
        <v>44661</v>
      </c>
      <c r="H158" s="7">
        <f t="shared" si="2"/>
        <v>0.75</v>
      </c>
      <c r="I15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10-Apr-22 - to - 16-Apr-22</v>
      </c>
      <c r="J158" s="24" t="str">
        <f>TEXT(Table1[[#This Row],[Date]],"mmm")</f>
        <v>Apr</v>
      </c>
    </row>
    <row r="159" spans="1:10" ht="15" customHeight="1">
      <c r="A159" s="14" t="s">
        <v>140</v>
      </c>
      <c r="B159" s="15" t="s">
        <v>144</v>
      </c>
      <c r="C159" s="15" t="s">
        <v>50</v>
      </c>
      <c r="D159" s="15" t="s">
        <v>11</v>
      </c>
      <c r="E159" s="15" t="s">
        <v>9</v>
      </c>
      <c r="F159" s="14">
        <v>25</v>
      </c>
      <c r="G159" s="16">
        <v>44661</v>
      </c>
      <c r="H159" s="7">
        <f t="shared" si="2"/>
        <v>0.41666666666666669</v>
      </c>
      <c r="I15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10-Apr-22 - to - 16-Apr-22</v>
      </c>
      <c r="J159" s="24" t="str">
        <f>TEXT(Table1[[#This Row],[Date]],"mmm")</f>
        <v>Apr</v>
      </c>
    </row>
    <row r="160" spans="1:10" ht="15" customHeight="1">
      <c r="A160" s="14" t="s">
        <v>140</v>
      </c>
      <c r="B160" s="15" t="s">
        <v>159</v>
      </c>
      <c r="C160" s="15" t="s">
        <v>171</v>
      </c>
      <c r="D160" s="15" t="s">
        <v>18</v>
      </c>
      <c r="E160" s="15" t="s">
        <v>171</v>
      </c>
      <c r="F160" s="14">
        <v>35</v>
      </c>
      <c r="G160" s="16">
        <v>44661</v>
      </c>
      <c r="H160" s="7">
        <f t="shared" si="2"/>
        <v>0.58333333333333337</v>
      </c>
      <c r="I16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10-Apr-22 - to - 16-Apr-22</v>
      </c>
      <c r="J160" s="24" t="str">
        <f>TEXT(Table1[[#This Row],[Date]],"mmm")</f>
        <v>Apr</v>
      </c>
    </row>
    <row r="161" spans="1:10" ht="15" customHeight="1">
      <c r="A161" s="14" t="s">
        <v>140</v>
      </c>
      <c r="B161" s="15" t="s">
        <v>159</v>
      </c>
      <c r="C161" s="15" t="s">
        <v>171</v>
      </c>
      <c r="D161" s="15" t="s">
        <v>18</v>
      </c>
      <c r="E161" s="15" t="s">
        <v>174</v>
      </c>
      <c r="F161" s="14">
        <v>25</v>
      </c>
      <c r="G161" s="16">
        <v>44661</v>
      </c>
      <c r="H161" s="7">
        <f t="shared" si="2"/>
        <v>0.41666666666666669</v>
      </c>
      <c r="I16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10-Apr-22 - to - 16-Apr-22</v>
      </c>
      <c r="J161" s="24" t="str">
        <f>TEXT(Table1[[#This Row],[Date]],"mmm")</f>
        <v>Apr</v>
      </c>
    </row>
    <row r="162" spans="1:10" ht="15" customHeight="1">
      <c r="A162" s="14" t="s">
        <v>140</v>
      </c>
      <c r="B162" s="15" t="s">
        <v>160</v>
      </c>
      <c r="C162" s="15" t="s">
        <v>64</v>
      </c>
      <c r="D162" s="15" t="s">
        <v>11</v>
      </c>
      <c r="E162" s="15" t="s">
        <v>64</v>
      </c>
      <c r="F162" s="14">
        <v>35</v>
      </c>
      <c r="G162" s="16">
        <v>44661</v>
      </c>
      <c r="H162" s="7">
        <f t="shared" si="2"/>
        <v>0.58333333333333337</v>
      </c>
      <c r="I16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10-Apr-22 - to - 16-Apr-22</v>
      </c>
      <c r="J162" s="24" t="str">
        <f>TEXT(Table1[[#This Row],[Date]],"mmm")</f>
        <v>Apr</v>
      </c>
    </row>
    <row r="163" spans="1:10" ht="15" customHeight="1">
      <c r="A163" s="14" t="s">
        <v>140</v>
      </c>
      <c r="B163" s="15" t="s">
        <v>144</v>
      </c>
      <c r="C163" s="15" t="s">
        <v>50</v>
      </c>
      <c r="D163" s="15" t="s">
        <v>11</v>
      </c>
      <c r="E163" s="15" t="s">
        <v>9</v>
      </c>
      <c r="F163" s="14">
        <v>25</v>
      </c>
      <c r="G163" s="16">
        <v>44661</v>
      </c>
      <c r="H163" s="7">
        <f t="shared" si="2"/>
        <v>0.41666666666666669</v>
      </c>
      <c r="I16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10-Apr-22 - to - 16-Apr-22</v>
      </c>
      <c r="J163" s="24" t="str">
        <f>TEXT(Table1[[#This Row],[Date]],"mmm")</f>
        <v>Apr</v>
      </c>
    </row>
    <row r="164" spans="1:10" ht="15" customHeight="1">
      <c r="A164" s="14" t="s">
        <v>141</v>
      </c>
      <c r="B164" s="15" t="s">
        <v>10</v>
      </c>
      <c r="C164" s="15" t="s">
        <v>10</v>
      </c>
      <c r="D164" s="15" t="s">
        <v>8</v>
      </c>
      <c r="E164" s="15" t="s">
        <v>10</v>
      </c>
      <c r="F164" s="14">
        <v>20</v>
      </c>
      <c r="G164" s="16">
        <v>44662</v>
      </c>
      <c r="H164" s="7">
        <f t="shared" si="2"/>
        <v>0.33333333333333331</v>
      </c>
      <c r="I16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10-Apr-22 - to - 16-Apr-22</v>
      </c>
      <c r="J164" s="24" t="str">
        <f>TEXT(Table1[[#This Row],[Date]],"mmm")</f>
        <v>Apr</v>
      </c>
    </row>
    <row r="165" spans="1:10" ht="15" customHeight="1">
      <c r="A165" s="14" t="s">
        <v>141</v>
      </c>
      <c r="B165" s="15" t="s">
        <v>36</v>
      </c>
      <c r="C165" s="15" t="s">
        <v>37</v>
      </c>
      <c r="D165" s="15" t="s">
        <v>8</v>
      </c>
      <c r="E165" s="15" t="s">
        <v>36</v>
      </c>
      <c r="F165" s="14">
        <v>60</v>
      </c>
      <c r="G165" s="16">
        <v>44662</v>
      </c>
      <c r="H165" s="7">
        <f t="shared" si="2"/>
        <v>1</v>
      </c>
      <c r="I16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10-Apr-22 - to - 16-Apr-22</v>
      </c>
      <c r="J165" s="24" t="str">
        <f>TEXT(Table1[[#This Row],[Date]],"mmm")</f>
        <v>Apr</v>
      </c>
    </row>
    <row r="166" spans="1:10" ht="15" customHeight="1">
      <c r="A166" s="14" t="s">
        <v>141</v>
      </c>
      <c r="B166" s="15" t="s">
        <v>157</v>
      </c>
      <c r="C166" s="15" t="s">
        <v>16</v>
      </c>
      <c r="D166" s="15" t="s">
        <v>8</v>
      </c>
      <c r="E166" s="15" t="s">
        <v>9</v>
      </c>
      <c r="F166" s="14">
        <v>30</v>
      </c>
      <c r="G166" s="16">
        <v>44662</v>
      </c>
      <c r="H166" s="7">
        <f t="shared" si="2"/>
        <v>0.5</v>
      </c>
      <c r="I16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10-Apr-22 - to - 16-Apr-22</v>
      </c>
      <c r="J166" s="24" t="str">
        <f>TEXT(Table1[[#This Row],[Date]],"mmm")</f>
        <v>Apr</v>
      </c>
    </row>
    <row r="167" spans="1:10" ht="15" customHeight="1">
      <c r="A167" s="14" t="s">
        <v>141</v>
      </c>
      <c r="B167" s="15" t="s">
        <v>157</v>
      </c>
      <c r="C167" s="15" t="s">
        <v>162</v>
      </c>
      <c r="D167" s="15" t="s">
        <v>13</v>
      </c>
      <c r="E167" s="15" t="s">
        <v>9</v>
      </c>
      <c r="F167" s="14">
        <v>60</v>
      </c>
      <c r="G167" s="16">
        <v>44662</v>
      </c>
      <c r="H167" s="7">
        <f t="shared" si="2"/>
        <v>1</v>
      </c>
      <c r="I16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10-Apr-22 - to - 16-Apr-22</v>
      </c>
      <c r="J167" s="24" t="str">
        <f>TEXT(Table1[[#This Row],[Date]],"mmm")</f>
        <v>Apr</v>
      </c>
    </row>
    <row r="168" spans="1:10" ht="15" customHeight="1">
      <c r="A168" s="14" t="s">
        <v>141</v>
      </c>
      <c r="B168" s="15" t="s">
        <v>157</v>
      </c>
      <c r="C168" s="15" t="s">
        <v>20</v>
      </c>
      <c r="D168" s="15" t="s">
        <v>138</v>
      </c>
      <c r="E168" s="15" t="s">
        <v>20</v>
      </c>
      <c r="F168" s="14">
        <v>80</v>
      </c>
      <c r="G168" s="16">
        <v>44662</v>
      </c>
      <c r="H168" s="7">
        <f t="shared" si="2"/>
        <v>1.3333333333333333</v>
      </c>
      <c r="I16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10-Apr-22 - to - 16-Apr-22</v>
      </c>
      <c r="J168" s="24" t="str">
        <f>TEXT(Table1[[#This Row],[Date]],"mmm")</f>
        <v>Apr</v>
      </c>
    </row>
    <row r="169" spans="1:10" ht="15" customHeight="1">
      <c r="A169" s="14" t="s">
        <v>141</v>
      </c>
      <c r="B169" s="15" t="s">
        <v>142</v>
      </c>
      <c r="C169" s="15" t="s">
        <v>137</v>
      </c>
      <c r="D169" s="15" t="s">
        <v>8</v>
      </c>
      <c r="E169" s="15" t="s">
        <v>35</v>
      </c>
      <c r="F169" s="14">
        <v>120</v>
      </c>
      <c r="G169" s="16">
        <v>44662</v>
      </c>
      <c r="H169" s="7">
        <f t="shared" si="2"/>
        <v>2</v>
      </c>
      <c r="I16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10-Apr-22 - to - 16-Apr-22</v>
      </c>
      <c r="J169" s="24" t="str">
        <f>TEXT(Table1[[#This Row],[Date]],"mmm")</f>
        <v>Apr</v>
      </c>
    </row>
    <row r="170" spans="1:10" ht="15" customHeight="1">
      <c r="A170" s="14" t="s">
        <v>141</v>
      </c>
      <c r="B170" s="15" t="s">
        <v>157</v>
      </c>
      <c r="C170" s="15" t="s">
        <v>44</v>
      </c>
      <c r="D170" s="15" t="s">
        <v>8</v>
      </c>
      <c r="E170" s="15" t="s">
        <v>12</v>
      </c>
      <c r="F170" s="14">
        <v>90</v>
      </c>
      <c r="G170" s="16">
        <v>44662</v>
      </c>
      <c r="H170" s="7">
        <f t="shared" si="2"/>
        <v>1.5</v>
      </c>
      <c r="I17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10-Apr-22 - to - 16-Apr-22</v>
      </c>
      <c r="J170" s="24" t="str">
        <f>TEXT(Table1[[#This Row],[Date]],"mmm")</f>
        <v>Apr</v>
      </c>
    </row>
    <row r="171" spans="1:10" ht="15" customHeight="1">
      <c r="A171" s="14" t="s">
        <v>141</v>
      </c>
      <c r="B171" s="15" t="s">
        <v>154</v>
      </c>
      <c r="C171" s="15" t="s">
        <v>155</v>
      </c>
      <c r="D171" s="15" t="s">
        <v>13</v>
      </c>
      <c r="E171" s="15" t="s">
        <v>65</v>
      </c>
      <c r="F171" s="14">
        <v>60</v>
      </c>
      <c r="G171" s="16">
        <v>44662</v>
      </c>
      <c r="H171" s="7">
        <f t="shared" si="2"/>
        <v>1</v>
      </c>
      <c r="I17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10-Apr-22 - to - 16-Apr-22</v>
      </c>
      <c r="J171" s="24" t="str">
        <f>TEXT(Table1[[#This Row],[Date]],"mmm")</f>
        <v>Apr</v>
      </c>
    </row>
    <row r="172" spans="1:10" ht="15" customHeight="1">
      <c r="A172" s="14" t="s">
        <v>140</v>
      </c>
      <c r="B172" s="15" t="s">
        <v>159</v>
      </c>
      <c r="C172" s="15" t="s">
        <v>48</v>
      </c>
      <c r="D172" s="15" t="s">
        <v>11</v>
      </c>
      <c r="E172" s="15" t="s">
        <v>88</v>
      </c>
      <c r="F172" s="14">
        <v>20</v>
      </c>
      <c r="G172" s="16">
        <v>44662</v>
      </c>
      <c r="H172" s="7">
        <f t="shared" si="2"/>
        <v>0.33333333333333331</v>
      </c>
      <c r="I17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10-Apr-22 - to - 16-Apr-22</v>
      </c>
      <c r="J172" s="24" t="str">
        <f>TEXT(Table1[[#This Row],[Date]],"mmm")</f>
        <v>Apr</v>
      </c>
    </row>
    <row r="173" spans="1:10" ht="15" customHeight="1">
      <c r="A173" s="14" t="s">
        <v>140</v>
      </c>
      <c r="B173" s="15" t="s">
        <v>10</v>
      </c>
      <c r="C173" s="15" t="s">
        <v>10</v>
      </c>
      <c r="D173" s="15" t="s">
        <v>8</v>
      </c>
      <c r="E173" s="15" t="s">
        <v>10</v>
      </c>
      <c r="F173" s="14">
        <v>20</v>
      </c>
      <c r="G173" s="16">
        <v>44662</v>
      </c>
      <c r="H173" s="7">
        <f t="shared" si="2"/>
        <v>0.33333333333333331</v>
      </c>
      <c r="I17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10-Apr-22 - to - 16-Apr-22</v>
      </c>
      <c r="J173" s="24" t="str">
        <f>TEXT(Table1[[#This Row],[Date]],"mmm")</f>
        <v>Apr</v>
      </c>
    </row>
    <row r="174" spans="1:10" ht="15" customHeight="1">
      <c r="A174" s="14" t="s">
        <v>140</v>
      </c>
      <c r="B174" s="15" t="s">
        <v>159</v>
      </c>
      <c r="C174" s="15" t="s">
        <v>51</v>
      </c>
      <c r="D174" s="15" t="s">
        <v>8</v>
      </c>
      <c r="E174" s="15" t="s">
        <v>9</v>
      </c>
      <c r="F174" s="14">
        <v>20</v>
      </c>
      <c r="G174" s="16">
        <v>44662</v>
      </c>
      <c r="H174" s="7">
        <f t="shared" si="2"/>
        <v>0.33333333333333331</v>
      </c>
      <c r="I17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10-Apr-22 - to - 16-Apr-22</v>
      </c>
      <c r="J174" s="24" t="str">
        <f>TEXT(Table1[[#This Row],[Date]],"mmm")</f>
        <v>Apr</v>
      </c>
    </row>
    <row r="175" spans="1:10" ht="15" customHeight="1">
      <c r="A175" s="14" t="s">
        <v>140</v>
      </c>
      <c r="B175" s="15" t="s">
        <v>159</v>
      </c>
      <c r="C175" s="15" t="s">
        <v>52</v>
      </c>
      <c r="D175" s="15" t="s">
        <v>138</v>
      </c>
      <c r="E175" s="15" t="s">
        <v>9</v>
      </c>
      <c r="F175" s="14">
        <v>55</v>
      </c>
      <c r="G175" s="16">
        <v>44662</v>
      </c>
      <c r="H175" s="7">
        <f t="shared" si="2"/>
        <v>0.91666666666666663</v>
      </c>
      <c r="I17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10-Apr-22 - to - 16-Apr-22</v>
      </c>
      <c r="J175" s="24" t="str">
        <f>TEXT(Table1[[#This Row],[Date]],"mmm")</f>
        <v>Apr</v>
      </c>
    </row>
    <row r="176" spans="1:10" ht="15" customHeight="1">
      <c r="A176" s="14" t="s">
        <v>140</v>
      </c>
      <c r="B176" s="15" t="s">
        <v>152</v>
      </c>
      <c r="C176" s="15" t="s">
        <v>153</v>
      </c>
      <c r="D176" s="15" t="s">
        <v>8</v>
      </c>
      <c r="E176" s="15" t="s">
        <v>12</v>
      </c>
      <c r="F176" s="14">
        <v>25</v>
      </c>
      <c r="G176" s="16">
        <v>44662</v>
      </c>
      <c r="H176" s="7">
        <f t="shared" si="2"/>
        <v>0.41666666666666669</v>
      </c>
      <c r="I17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10-Apr-22 - to - 16-Apr-22</v>
      </c>
      <c r="J176" s="24" t="str">
        <f>TEXT(Table1[[#This Row],[Date]],"mmm")</f>
        <v>Apr</v>
      </c>
    </row>
    <row r="177" spans="1:10" ht="15" customHeight="1">
      <c r="A177" s="14" t="s">
        <v>140</v>
      </c>
      <c r="B177" s="15" t="s">
        <v>159</v>
      </c>
      <c r="C177" s="15" t="s">
        <v>44</v>
      </c>
      <c r="D177" s="15" t="s">
        <v>8</v>
      </c>
      <c r="E177" s="15" t="s">
        <v>12</v>
      </c>
      <c r="F177" s="14">
        <v>110</v>
      </c>
      <c r="G177" s="16">
        <v>44662</v>
      </c>
      <c r="H177" s="7">
        <f t="shared" si="2"/>
        <v>1.8333333333333333</v>
      </c>
      <c r="I17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10-Apr-22 - to - 16-Apr-22</v>
      </c>
      <c r="J177" s="24" t="str">
        <f>TEXT(Table1[[#This Row],[Date]],"mmm")</f>
        <v>Apr</v>
      </c>
    </row>
    <row r="178" spans="1:10" ht="15" customHeight="1">
      <c r="A178" s="14" t="s">
        <v>140</v>
      </c>
      <c r="B178" s="15" t="s">
        <v>160</v>
      </c>
      <c r="C178" s="15" t="s">
        <v>139</v>
      </c>
      <c r="D178" s="15" t="s">
        <v>11</v>
      </c>
      <c r="E178" s="15" t="s">
        <v>17</v>
      </c>
      <c r="F178" s="14">
        <v>55</v>
      </c>
      <c r="G178" s="16">
        <v>44662</v>
      </c>
      <c r="H178" s="7">
        <f t="shared" si="2"/>
        <v>0.91666666666666663</v>
      </c>
      <c r="I17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10-Apr-22 - to - 16-Apr-22</v>
      </c>
      <c r="J178" s="24" t="str">
        <f>TEXT(Table1[[#This Row],[Date]],"mmm")</f>
        <v>Apr</v>
      </c>
    </row>
    <row r="179" spans="1:10" ht="15" customHeight="1">
      <c r="A179" s="14" t="s">
        <v>140</v>
      </c>
      <c r="B179" s="15" t="s">
        <v>160</v>
      </c>
      <c r="C179" s="15" t="s">
        <v>17</v>
      </c>
      <c r="D179" s="15" t="s">
        <v>11</v>
      </c>
      <c r="E179" s="15" t="s">
        <v>17</v>
      </c>
      <c r="F179" s="14">
        <v>35</v>
      </c>
      <c r="G179" s="16">
        <v>44662</v>
      </c>
      <c r="H179" s="7">
        <f t="shared" si="2"/>
        <v>0.58333333333333337</v>
      </c>
      <c r="I17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10-Apr-22 - to - 16-Apr-22</v>
      </c>
      <c r="J179" s="24" t="str">
        <f>TEXT(Table1[[#This Row],[Date]],"mmm")</f>
        <v>Apr</v>
      </c>
    </row>
    <row r="180" spans="1:10" ht="15" customHeight="1">
      <c r="A180" s="14" t="s">
        <v>140</v>
      </c>
      <c r="B180" s="15" t="s">
        <v>159</v>
      </c>
      <c r="C180" s="15" t="s">
        <v>71</v>
      </c>
      <c r="D180" s="15" t="s">
        <v>11</v>
      </c>
      <c r="E180" s="15" t="s">
        <v>71</v>
      </c>
      <c r="F180" s="14">
        <v>60</v>
      </c>
      <c r="G180" s="16">
        <v>44662</v>
      </c>
      <c r="H180" s="7">
        <f t="shared" si="2"/>
        <v>1</v>
      </c>
      <c r="I18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10-Apr-22 - to - 16-Apr-22</v>
      </c>
      <c r="J180" s="24" t="str">
        <f>TEXT(Table1[[#This Row],[Date]],"mmm")</f>
        <v>Apr</v>
      </c>
    </row>
    <row r="181" spans="1:10" ht="15" customHeight="1">
      <c r="A181" s="14" t="s">
        <v>140</v>
      </c>
      <c r="B181" s="15" t="s">
        <v>159</v>
      </c>
      <c r="C181" s="15" t="s">
        <v>20</v>
      </c>
      <c r="D181" s="15" t="s">
        <v>11</v>
      </c>
      <c r="E181" s="15" t="s">
        <v>20</v>
      </c>
      <c r="F181" s="14">
        <v>80</v>
      </c>
      <c r="G181" s="16">
        <v>44662</v>
      </c>
      <c r="H181" s="7">
        <f t="shared" si="2"/>
        <v>1.3333333333333333</v>
      </c>
      <c r="I18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10-Apr-22 - to - 16-Apr-22</v>
      </c>
      <c r="J181" s="24" t="str">
        <f>TEXT(Table1[[#This Row],[Date]],"mmm")</f>
        <v>Apr</v>
      </c>
    </row>
    <row r="182" spans="1:10" ht="15" customHeight="1">
      <c r="A182" s="14" t="s">
        <v>140</v>
      </c>
      <c r="B182" s="15" t="s">
        <v>6</v>
      </c>
      <c r="C182" s="15" t="s">
        <v>7</v>
      </c>
      <c r="D182" s="15" t="s">
        <v>8</v>
      </c>
      <c r="E182" s="15" t="s">
        <v>9</v>
      </c>
      <c r="F182" s="14">
        <v>20</v>
      </c>
      <c r="G182" s="16">
        <v>44662</v>
      </c>
      <c r="H182" s="7">
        <f t="shared" si="2"/>
        <v>0.33333333333333331</v>
      </c>
      <c r="I18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10-Apr-22 - to - 16-Apr-22</v>
      </c>
      <c r="J182" s="24" t="str">
        <f>TEXT(Table1[[#This Row],[Date]],"mmm")</f>
        <v>Apr</v>
      </c>
    </row>
    <row r="183" spans="1:10" ht="15" customHeight="1">
      <c r="A183" s="14" t="s">
        <v>141</v>
      </c>
      <c r="B183" s="15" t="s">
        <v>142</v>
      </c>
      <c r="C183" s="15" t="s">
        <v>137</v>
      </c>
      <c r="D183" s="15" t="s">
        <v>8</v>
      </c>
      <c r="E183" s="15" t="s">
        <v>35</v>
      </c>
      <c r="F183" s="14">
        <v>150</v>
      </c>
      <c r="G183" s="16">
        <v>44690</v>
      </c>
      <c r="H183" s="7">
        <f t="shared" si="2"/>
        <v>2.5</v>
      </c>
      <c r="I18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08-May-22 - to - 14-May-22</v>
      </c>
      <c r="J183" s="24" t="str">
        <f>TEXT(Table1[[#This Row],[Date]],"mmm")</f>
        <v>May</v>
      </c>
    </row>
    <row r="184" spans="1:10" ht="15" customHeight="1">
      <c r="A184" s="14" t="s">
        <v>141</v>
      </c>
      <c r="B184" s="15" t="s">
        <v>36</v>
      </c>
      <c r="C184" s="15" t="s">
        <v>37</v>
      </c>
      <c r="D184" s="15" t="s">
        <v>8</v>
      </c>
      <c r="E184" s="15" t="s">
        <v>6</v>
      </c>
      <c r="F184" s="14">
        <v>30</v>
      </c>
      <c r="G184" s="16">
        <v>44690</v>
      </c>
      <c r="H184" s="7">
        <f t="shared" si="2"/>
        <v>0.5</v>
      </c>
      <c r="I18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08-May-22 - to - 14-May-22</v>
      </c>
      <c r="J184" s="24" t="str">
        <f>TEXT(Table1[[#This Row],[Date]],"mmm")</f>
        <v>May</v>
      </c>
    </row>
    <row r="185" spans="1:10" ht="15" customHeight="1">
      <c r="A185" s="14" t="s">
        <v>141</v>
      </c>
      <c r="B185" s="15" t="s">
        <v>157</v>
      </c>
      <c r="C185" s="15" t="s">
        <v>16</v>
      </c>
      <c r="D185" s="15" t="s">
        <v>8</v>
      </c>
      <c r="E185" s="15" t="s">
        <v>6</v>
      </c>
      <c r="F185" s="14">
        <v>10</v>
      </c>
      <c r="G185" s="16">
        <v>44690</v>
      </c>
      <c r="H185" s="7">
        <f t="shared" si="2"/>
        <v>0.16666666666666666</v>
      </c>
      <c r="I18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08-May-22 - to - 14-May-22</v>
      </c>
      <c r="J185" s="24" t="str">
        <f>TEXT(Table1[[#This Row],[Date]],"mmm")</f>
        <v>May</v>
      </c>
    </row>
    <row r="186" spans="1:10" ht="15" customHeight="1">
      <c r="A186" s="14" t="s">
        <v>141</v>
      </c>
      <c r="B186" s="15" t="s">
        <v>157</v>
      </c>
      <c r="C186" s="15" t="s">
        <v>44</v>
      </c>
      <c r="D186" s="15" t="s">
        <v>8</v>
      </c>
      <c r="E186" s="15" t="s">
        <v>12</v>
      </c>
      <c r="F186" s="14">
        <v>60</v>
      </c>
      <c r="G186" s="16">
        <v>44690</v>
      </c>
      <c r="H186" s="7">
        <f t="shared" si="2"/>
        <v>1</v>
      </c>
      <c r="I18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08-May-22 - to - 14-May-22</v>
      </c>
      <c r="J186" s="24" t="str">
        <f>TEXT(Table1[[#This Row],[Date]],"mmm")</f>
        <v>May</v>
      </c>
    </row>
    <row r="187" spans="1:10" ht="15" customHeight="1">
      <c r="A187" s="14" t="s">
        <v>141</v>
      </c>
      <c r="B187" s="15" t="s">
        <v>151</v>
      </c>
      <c r="C187" s="15" t="s">
        <v>38</v>
      </c>
      <c r="D187" s="15" t="s">
        <v>11</v>
      </c>
      <c r="E187" s="15" t="s">
        <v>38</v>
      </c>
      <c r="F187" s="14">
        <v>50</v>
      </c>
      <c r="G187" s="16">
        <v>44690</v>
      </c>
      <c r="H187" s="7">
        <f t="shared" si="2"/>
        <v>0.83333333333333337</v>
      </c>
      <c r="I18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08-May-22 - to - 14-May-22</v>
      </c>
      <c r="J187" s="24" t="str">
        <f>TEXT(Table1[[#This Row],[Date]],"mmm")</f>
        <v>May</v>
      </c>
    </row>
    <row r="188" spans="1:10" ht="15" customHeight="1">
      <c r="A188" s="14" t="s">
        <v>140</v>
      </c>
      <c r="B188" s="15" t="s">
        <v>160</v>
      </c>
      <c r="C188" s="15" t="s">
        <v>17</v>
      </c>
      <c r="D188" s="15" t="s">
        <v>11</v>
      </c>
      <c r="E188" s="15" t="s">
        <v>17</v>
      </c>
      <c r="F188" s="14">
        <v>45</v>
      </c>
      <c r="G188" s="16">
        <v>44690</v>
      </c>
      <c r="H188" s="7">
        <f t="shared" si="2"/>
        <v>0.75</v>
      </c>
      <c r="I18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08-May-22 - to - 14-May-22</v>
      </c>
      <c r="J188" s="24" t="str">
        <f>TEXT(Table1[[#This Row],[Date]],"mmm")</f>
        <v>May</v>
      </c>
    </row>
    <row r="189" spans="1:10" ht="15" customHeight="1">
      <c r="A189" s="14" t="s">
        <v>140</v>
      </c>
      <c r="B189" s="15" t="s">
        <v>42</v>
      </c>
      <c r="C189" s="15" t="s">
        <v>43</v>
      </c>
      <c r="D189" s="15" t="s">
        <v>8</v>
      </c>
      <c r="E189" s="15" t="s">
        <v>6</v>
      </c>
      <c r="F189" s="14">
        <v>35</v>
      </c>
      <c r="G189" s="16">
        <v>44690</v>
      </c>
      <c r="H189" s="7">
        <f t="shared" si="2"/>
        <v>0.58333333333333337</v>
      </c>
      <c r="I18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08-May-22 - to - 14-May-22</v>
      </c>
      <c r="J189" s="24" t="str">
        <f>TEXT(Table1[[#This Row],[Date]],"mmm")</f>
        <v>May</v>
      </c>
    </row>
    <row r="190" spans="1:10" ht="15" customHeight="1">
      <c r="A190" s="14" t="s">
        <v>140</v>
      </c>
      <c r="B190" s="15" t="s">
        <v>159</v>
      </c>
      <c r="C190" s="15" t="s">
        <v>66</v>
      </c>
      <c r="D190" s="15" t="s">
        <v>11</v>
      </c>
      <c r="E190" s="15" t="s">
        <v>17</v>
      </c>
      <c r="F190" s="14">
        <v>40</v>
      </c>
      <c r="G190" s="16">
        <v>44690</v>
      </c>
      <c r="H190" s="7">
        <f t="shared" si="2"/>
        <v>0.66666666666666663</v>
      </c>
      <c r="I19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08-May-22 - to - 14-May-22</v>
      </c>
      <c r="J190" s="24" t="str">
        <f>TEXT(Table1[[#This Row],[Date]],"mmm")</f>
        <v>May</v>
      </c>
    </row>
    <row r="191" spans="1:10" ht="15" customHeight="1">
      <c r="A191" s="14" t="s">
        <v>140</v>
      </c>
      <c r="B191" s="15" t="s">
        <v>159</v>
      </c>
      <c r="C191" s="15" t="s">
        <v>67</v>
      </c>
      <c r="D191" s="15" t="s">
        <v>13</v>
      </c>
      <c r="E191" s="15" t="s">
        <v>6</v>
      </c>
      <c r="F191" s="14">
        <v>50</v>
      </c>
      <c r="G191" s="16">
        <v>44690</v>
      </c>
      <c r="H191" s="7">
        <f t="shared" si="2"/>
        <v>0.83333333333333337</v>
      </c>
      <c r="I19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08-May-22 - to - 14-May-22</v>
      </c>
      <c r="J191" s="24" t="str">
        <f>TEXT(Table1[[#This Row],[Date]],"mmm")</f>
        <v>May</v>
      </c>
    </row>
    <row r="192" spans="1:10" ht="15" customHeight="1">
      <c r="A192" s="14" t="s">
        <v>140</v>
      </c>
      <c r="B192" s="15" t="s">
        <v>160</v>
      </c>
      <c r="C192" s="15" t="s">
        <v>58</v>
      </c>
      <c r="D192" s="15" t="s">
        <v>11</v>
      </c>
      <c r="E192" s="15" t="s">
        <v>125</v>
      </c>
      <c r="F192" s="14">
        <v>45</v>
      </c>
      <c r="G192" s="16">
        <v>44690</v>
      </c>
      <c r="H192" s="7">
        <f t="shared" si="2"/>
        <v>0.75</v>
      </c>
      <c r="I19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08-May-22 - to - 14-May-22</v>
      </c>
      <c r="J192" s="24" t="str">
        <f>TEXT(Table1[[#This Row],[Date]],"mmm")</f>
        <v>May</v>
      </c>
    </row>
    <row r="193" spans="1:10" ht="15" customHeight="1">
      <c r="A193" s="14" t="s">
        <v>140</v>
      </c>
      <c r="B193" s="15" t="s">
        <v>42</v>
      </c>
      <c r="C193" s="15" t="s">
        <v>10</v>
      </c>
      <c r="D193" s="15" t="s">
        <v>8</v>
      </c>
      <c r="E193" s="15" t="s">
        <v>6</v>
      </c>
      <c r="F193" s="14">
        <v>20</v>
      </c>
      <c r="G193" s="16">
        <v>44690</v>
      </c>
      <c r="H193" s="7">
        <f t="shared" si="2"/>
        <v>0.33333333333333331</v>
      </c>
      <c r="I19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08-May-22 - to - 14-May-22</v>
      </c>
      <c r="J193" s="24" t="str">
        <f>TEXT(Table1[[#This Row],[Date]],"mmm")</f>
        <v>May</v>
      </c>
    </row>
    <row r="194" spans="1:10" ht="15" customHeight="1">
      <c r="A194" s="14" t="s">
        <v>140</v>
      </c>
      <c r="B194" s="15" t="s">
        <v>159</v>
      </c>
      <c r="C194" s="15" t="s">
        <v>44</v>
      </c>
      <c r="D194" s="15" t="s">
        <v>8</v>
      </c>
      <c r="E194" s="15" t="s">
        <v>12</v>
      </c>
      <c r="F194" s="14">
        <v>90</v>
      </c>
      <c r="G194" s="16">
        <v>44690</v>
      </c>
      <c r="H194" s="7">
        <f t="shared" ref="H194:H257" si="3">IFERROR(IF(ISBLANK(F194)=TRUE(),"",F194/60),"")</f>
        <v>1.5</v>
      </c>
      <c r="I19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08-May-22 - to - 14-May-22</v>
      </c>
      <c r="J194" s="24" t="str">
        <f>TEXT(Table1[[#This Row],[Date]],"mmm")</f>
        <v>May</v>
      </c>
    </row>
    <row r="195" spans="1:10" ht="15" customHeight="1">
      <c r="A195" s="14" t="s">
        <v>140</v>
      </c>
      <c r="B195" s="15" t="s">
        <v>159</v>
      </c>
      <c r="C195" s="15" t="s">
        <v>68</v>
      </c>
      <c r="D195" s="15" t="s">
        <v>69</v>
      </c>
      <c r="E195" s="15" t="s">
        <v>6</v>
      </c>
      <c r="F195" s="14">
        <v>45</v>
      </c>
      <c r="G195" s="16">
        <v>44690</v>
      </c>
      <c r="H195" s="7">
        <f t="shared" si="3"/>
        <v>0.75</v>
      </c>
      <c r="I19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08-May-22 - to - 14-May-22</v>
      </c>
      <c r="J195" s="24" t="str">
        <f>TEXT(Table1[[#This Row],[Date]],"mmm")</f>
        <v>May</v>
      </c>
    </row>
    <row r="196" spans="1:10" ht="15" customHeight="1">
      <c r="A196" s="14" t="s">
        <v>140</v>
      </c>
      <c r="B196" s="15" t="s">
        <v>159</v>
      </c>
      <c r="C196" s="15" t="s">
        <v>171</v>
      </c>
      <c r="D196" s="15" t="s">
        <v>69</v>
      </c>
      <c r="E196" s="15" t="s">
        <v>6</v>
      </c>
      <c r="F196" s="14">
        <v>25</v>
      </c>
      <c r="G196" s="16">
        <v>44690</v>
      </c>
      <c r="H196" s="7">
        <f t="shared" si="3"/>
        <v>0.41666666666666669</v>
      </c>
      <c r="I19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08-May-22 - to - 14-May-22</v>
      </c>
      <c r="J196" s="24" t="str">
        <f>TEXT(Table1[[#This Row],[Date]],"mmm")</f>
        <v>May</v>
      </c>
    </row>
    <row r="197" spans="1:10" ht="15" customHeight="1">
      <c r="A197" s="14" t="s">
        <v>140</v>
      </c>
      <c r="B197" s="15" t="s">
        <v>144</v>
      </c>
      <c r="C197" s="15" t="s">
        <v>17</v>
      </c>
      <c r="D197" s="15" t="s">
        <v>11</v>
      </c>
      <c r="E197" s="15" t="s">
        <v>6</v>
      </c>
      <c r="F197" s="14">
        <v>45</v>
      </c>
      <c r="G197" s="16">
        <v>44690</v>
      </c>
      <c r="H197" s="7">
        <f t="shared" si="3"/>
        <v>0.75</v>
      </c>
      <c r="I19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08-May-22 - to - 14-May-22</v>
      </c>
      <c r="J197" s="24" t="str">
        <f>TEXT(Table1[[#This Row],[Date]],"mmm")</f>
        <v>May</v>
      </c>
    </row>
    <row r="198" spans="1:10" ht="15" customHeight="1">
      <c r="A198" s="14" t="s">
        <v>140</v>
      </c>
      <c r="B198" s="15" t="s">
        <v>159</v>
      </c>
      <c r="C198" s="15" t="s">
        <v>70</v>
      </c>
      <c r="D198" s="15" t="s">
        <v>69</v>
      </c>
      <c r="E198" s="15" t="s">
        <v>6</v>
      </c>
      <c r="F198" s="14">
        <v>90</v>
      </c>
      <c r="G198" s="16">
        <v>44690</v>
      </c>
      <c r="H198" s="7">
        <f t="shared" si="3"/>
        <v>1.5</v>
      </c>
      <c r="I19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08-May-22 - to - 14-May-22</v>
      </c>
      <c r="J198" s="24" t="str">
        <f>TEXT(Table1[[#This Row],[Date]],"mmm")</f>
        <v>May</v>
      </c>
    </row>
    <row r="199" spans="1:10" ht="15" customHeight="1">
      <c r="A199" s="14" t="s">
        <v>141</v>
      </c>
      <c r="B199" s="15" t="s">
        <v>10</v>
      </c>
      <c r="C199" s="15" t="s">
        <v>10</v>
      </c>
      <c r="D199" s="15" t="s">
        <v>8</v>
      </c>
      <c r="E199" s="15" t="s">
        <v>10</v>
      </c>
      <c r="F199" s="14">
        <v>20</v>
      </c>
      <c r="G199" s="16">
        <v>44692</v>
      </c>
      <c r="H199" s="7">
        <f t="shared" si="3"/>
        <v>0.33333333333333331</v>
      </c>
      <c r="I19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08-May-22 - to - 14-May-22</v>
      </c>
      <c r="J199" s="24" t="str">
        <f>TEXT(Table1[[#This Row],[Date]],"mmm")</f>
        <v>May</v>
      </c>
    </row>
    <row r="200" spans="1:10" ht="15" customHeight="1">
      <c r="A200" s="14" t="s">
        <v>141</v>
      </c>
      <c r="B200" s="15" t="s">
        <v>36</v>
      </c>
      <c r="C200" s="15" t="s">
        <v>37</v>
      </c>
      <c r="D200" s="15" t="s">
        <v>8</v>
      </c>
      <c r="E200" s="15" t="s">
        <v>36</v>
      </c>
      <c r="F200" s="14">
        <v>45</v>
      </c>
      <c r="G200" s="16">
        <v>44692</v>
      </c>
      <c r="H200" s="7">
        <f t="shared" si="3"/>
        <v>0.75</v>
      </c>
      <c r="I20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08-May-22 - to - 14-May-22</v>
      </c>
      <c r="J200" s="24" t="str">
        <f>TEXT(Table1[[#This Row],[Date]],"mmm")</f>
        <v>May</v>
      </c>
    </row>
    <row r="201" spans="1:10" ht="15" customHeight="1">
      <c r="A201" s="14" t="s">
        <v>141</v>
      </c>
      <c r="B201" s="15" t="s">
        <v>157</v>
      </c>
      <c r="C201" s="15" t="s">
        <v>16</v>
      </c>
      <c r="D201" s="15" t="s">
        <v>8</v>
      </c>
      <c r="E201" s="15" t="s">
        <v>9</v>
      </c>
      <c r="F201" s="14">
        <v>20</v>
      </c>
      <c r="G201" s="16">
        <v>44692</v>
      </c>
      <c r="H201" s="7">
        <f t="shared" si="3"/>
        <v>0.33333333333333331</v>
      </c>
      <c r="I20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08-May-22 - to - 14-May-22</v>
      </c>
      <c r="J201" s="24" t="str">
        <f>TEXT(Table1[[#This Row],[Date]],"mmm")</f>
        <v>May</v>
      </c>
    </row>
    <row r="202" spans="1:10" ht="15" customHeight="1">
      <c r="A202" s="14" t="s">
        <v>141</v>
      </c>
      <c r="B202" s="15" t="s">
        <v>157</v>
      </c>
      <c r="C202" s="15" t="s">
        <v>17</v>
      </c>
      <c r="D202" s="15" t="s">
        <v>11</v>
      </c>
      <c r="E202" s="15" t="s">
        <v>17</v>
      </c>
      <c r="F202" s="14">
        <v>240</v>
      </c>
      <c r="G202" s="16">
        <v>44692</v>
      </c>
      <c r="H202" s="7">
        <f t="shared" si="3"/>
        <v>4</v>
      </c>
      <c r="I20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08-May-22 - to - 14-May-22</v>
      </c>
      <c r="J202" s="24" t="str">
        <f>TEXT(Table1[[#This Row],[Date]],"mmm")</f>
        <v>May</v>
      </c>
    </row>
    <row r="203" spans="1:10" ht="15" customHeight="1">
      <c r="A203" s="14" t="s">
        <v>141</v>
      </c>
      <c r="B203" s="15" t="s">
        <v>142</v>
      </c>
      <c r="C203" s="15" t="s">
        <v>137</v>
      </c>
      <c r="D203" s="15" t="s">
        <v>8</v>
      </c>
      <c r="E203" s="15" t="s">
        <v>35</v>
      </c>
      <c r="F203" s="14">
        <v>90</v>
      </c>
      <c r="G203" s="16">
        <v>44692</v>
      </c>
      <c r="H203" s="7">
        <f t="shared" si="3"/>
        <v>1.5</v>
      </c>
      <c r="I20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08-May-22 - to - 14-May-22</v>
      </c>
      <c r="J203" s="24" t="str">
        <f>TEXT(Table1[[#This Row],[Date]],"mmm")</f>
        <v>May</v>
      </c>
    </row>
    <row r="204" spans="1:10" ht="15" customHeight="1">
      <c r="A204" s="14" t="s">
        <v>141</v>
      </c>
      <c r="B204" s="15" t="s">
        <v>157</v>
      </c>
      <c r="C204" s="15" t="s">
        <v>44</v>
      </c>
      <c r="D204" s="15" t="s">
        <v>8</v>
      </c>
      <c r="E204" s="15" t="s">
        <v>12</v>
      </c>
      <c r="F204" s="14">
        <v>90</v>
      </c>
      <c r="G204" s="16">
        <v>44692</v>
      </c>
      <c r="H204" s="7">
        <f t="shared" si="3"/>
        <v>1.5</v>
      </c>
      <c r="I20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08-May-22 - to - 14-May-22</v>
      </c>
      <c r="J204" s="24" t="str">
        <f>TEXT(Table1[[#This Row],[Date]],"mmm")</f>
        <v>May</v>
      </c>
    </row>
    <row r="205" spans="1:10" ht="15" customHeight="1">
      <c r="A205" s="14" t="s">
        <v>140</v>
      </c>
      <c r="B205" s="15" t="s">
        <v>159</v>
      </c>
      <c r="C205" s="15" t="s">
        <v>48</v>
      </c>
      <c r="D205" s="15" t="s">
        <v>11</v>
      </c>
      <c r="E205" s="15" t="s">
        <v>88</v>
      </c>
      <c r="F205" s="14">
        <v>20</v>
      </c>
      <c r="G205" s="16">
        <v>44692</v>
      </c>
      <c r="H205" s="7">
        <f t="shared" si="3"/>
        <v>0.33333333333333331</v>
      </c>
      <c r="I20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08-May-22 - to - 14-May-22</v>
      </c>
      <c r="J205" s="24" t="str">
        <f>TEXT(Table1[[#This Row],[Date]],"mmm")</f>
        <v>May</v>
      </c>
    </row>
    <row r="206" spans="1:10" ht="15" customHeight="1">
      <c r="A206" s="14" t="s">
        <v>140</v>
      </c>
      <c r="B206" s="15" t="s">
        <v>10</v>
      </c>
      <c r="C206" s="15" t="s">
        <v>10</v>
      </c>
      <c r="D206" s="15" t="s">
        <v>8</v>
      </c>
      <c r="E206" s="15" t="s">
        <v>10</v>
      </c>
      <c r="F206" s="14">
        <v>90</v>
      </c>
      <c r="G206" s="16">
        <v>44692</v>
      </c>
      <c r="H206" s="7">
        <f t="shared" si="3"/>
        <v>1.5</v>
      </c>
      <c r="I20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08-May-22 - to - 14-May-22</v>
      </c>
      <c r="J206" s="24" t="str">
        <f>TEXT(Table1[[#This Row],[Date]],"mmm")</f>
        <v>May</v>
      </c>
    </row>
    <row r="207" spans="1:10" ht="15" customHeight="1">
      <c r="A207" s="14" t="s">
        <v>140</v>
      </c>
      <c r="B207" s="15" t="s">
        <v>159</v>
      </c>
      <c r="C207" s="15" t="s">
        <v>51</v>
      </c>
      <c r="D207" s="15" t="s">
        <v>8</v>
      </c>
      <c r="E207" s="15" t="s">
        <v>9</v>
      </c>
      <c r="F207" s="14">
        <v>20</v>
      </c>
      <c r="G207" s="16">
        <v>44692</v>
      </c>
      <c r="H207" s="7">
        <f t="shared" si="3"/>
        <v>0.33333333333333331</v>
      </c>
      <c r="I20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08-May-22 - to - 14-May-22</v>
      </c>
      <c r="J207" s="24" t="str">
        <f>TEXT(Table1[[#This Row],[Date]],"mmm")</f>
        <v>May</v>
      </c>
    </row>
    <row r="208" spans="1:10" ht="15" customHeight="1">
      <c r="A208" s="14" t="s">
        <v>140</v>
      </c>
      <c r="B208" s="15" t="s">
        <v>159</v>
      </c>
      <c r="C208" s="15" t="s">
        <v>52</v>
      </c>
      <c r="D208" s="15" t="s">
        <v>138</v>
      </c>
      <c r="E208" s="15" t="s">
        <v>9</v>
      </c>
      <c r="F208" s="14">
        <v>65</v>
      </c>
      <c r="G208" s="16">
        <v>44692</v>
      </c>
      <c r="H208" s="7">
        <f t="shared" si="3"/>
        <v>1.0833333333333333</v>
      </c>
      <c r="I20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08-May-22 - to - 14-May-22</v>
      </c>
      <c r="J208" s="24" t="str">
        <f>TEXT(Table1[[#This Row],[Date]],"mmm")</f>
        <v>May</v>
      </c>
    </row>
    <row r="209" spans="1:10" ht="15" customHeight="1">
      <c r="A209" s="14" t="s">
        <v>140</v>
      </c>
      <c r="B209" s="15" t="s">
        <v>152</v>
      </c>
      <c r="C209" s="15" t="s">
        <v>153</v>
      </c>
      <c r="D209" s="15" t="s">
        <v>8</v>
      </c>
      <c r="E209" s="15" t="s">
        <v>12</v>
      </c>
      <c r="F209" s="14">
        <v>25</v>
      </c>
      <c r="G209" s="16">
        <v>44692</v>
      </c>
      <c r="H209" s="7">
        <f t="shared" si="3"/>
        <v>0.41666666666666669</v>
      </c>
      <c r="I20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08-May-22 - to - 14-May-22</v>
      </c>
      <c r="J209" s="24" t="str">
        <f>TEXT(Table1[[#This Row],[Date]],"mmm")</f>
        <v>May</v>
      </c>
    </row>
    <row r="210" spans="1:10" ht="15" customHeight="1">
      <c r="A210" s="14" t="s">
        <v>140</v>
      </c>
      <c r="B210" s="15" t="s">
        <v>159</v>
      </c>
      <c r="C210" s="15" t="s">
        <v>44</v>
      </c>
      <c r="D210" s="15" t="s">
        <v>8</v>
      </c>
      <c r="E210" s="15" t="s">
        <v>12</v>
      </c>
      <c r="F210" s="14">
        <v>110</v>
      </c>
      <c r="G210" s="16">
        <v>44692</v>
      </c>
      <c r="H210" s="7">
        <f t="shared" si="3"/>
        <v>1.8333333333333333</v>
      </c>
      <c r="I21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08-May-22 - to - 14-May-22</v>
      </c>
      <c r="J210" s="24" t="str">
        <f>TEXT(Table1[[#This Row],[Date]],"mmm")</f>
        <v>May</v>
      </c>
    </row>
    <row r="211" spans="1:10" ht="15" customHeight="1">
      <c r="A211" s="14" t="s">
        <v>140</v>
      </c>
      <c r="B211" s="15" t="s">
        <v>160</v>
      </c>
      <c r="C211" s="15" t="s">
        <v>163</v>
      </c>
      <c r="D211" s="15" t="s">
        <v>13</v>
      </c>
      <c r="E211" s="15" t="s">
        <v>9</v>
      </c>
      <c r="F211" s="14">
        <v>35</v>
      </c>
      <c r="G211" s="16">
        <v>44692</v>
      </c>
      <c r="H211" s="7">
        <f t="shared" si="3"/>
        <v>0.58333333333333337</v>
      </c>
      <c r="I21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08-May-22 - to - 14-May-22</v>
      </c>
      <c r="J211" s="24" t="str">
        <f>TEXT(Table1[[#This Row],[Date]],"mmm")</f>
        <v>May</v>
      </c>
    </row>
    <row r="212" spans="1:10" ht="15" customHeight="1">
      <c r="A212" s="14" t="s">
        <v>140</v>
      </c>
      <c r="B212" s="15" t="s">
        <v>159</v>
      </c>
      <c r="C212" s="15" t="s">
        <v>71</v>
      </c>
      <c r="D212" s="15" t="s">
        <v>11</v>
      </c>
      <c r="E212" s="15" t="s">
        <v>71</v>
      </c>
      <c r="F212" s="14">
        <v>50</v>
      </c>
      <c r="G212" s="16">
        <v>44692</v>
      </c>
      <c r="H212" s="7">
        <f t="shared" si="3"/>
        <v>0.83333333333333337</v>
      </c>
      <c r="I21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08-May-22 - to - 14-May-22</v>
      </c>
      <c r="J212" s="24" t="str">
        <f>TEXT(Table1[[#This Row],[Date]],"mmm")</f>
        <v>May</v>
      </c>
    </row>
    <row r="213" spans="1:10" ht="15" customHeight="1">
      <c r="A213" s="14" t="s">
        <v>140</v>
      </c>
      <c r="B213" s="15" t="s">
        <v>159</v>
      </c>
      <c r="C213" s="15" t="s">
        <v>54</v>
      </c>
      <c r="D213" s="15" t="s">
        <v>138</v>
      </c>
      <c r="E213" s="15" t="s">
        <v>72</v>
      </c>
      <c r="F213" s="14">
        <v>25</v>
      </c>
      <c r="G213" s="16">
        <v>44692</v>
      </c>
      <c r="H213" s="7">
        <f t="shared" si="3"/>
        <v>0.41666666666666669</v>
      </c>
      <c r="I21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08-May-22 - to - 14-May-22</v>
      </c>
      <c r="J213" s="24" t="str">
        <f>TEXT(Table1[[#This Row],[Date]],"mmm")</f>
        <v>May</v>
      </c>
    </row>
    <row r="214" spans="1:10" ht="15" customHeight="1">
      <c r="A214" s="14" t="s">
        <v>140</v>
      </c>
      <c r="B214" s="15" t="s">
        <v>159</v>
      </c>
      <c r="C214" s="15" t="s">
        <v>73</v>
      </c>
      <c r="D214" s="15" t="s">
        <v>11</v>
      </c>
      <c r="E214" s="15" t="s">
        <v>9</v>
      </c>
      <c r="F214" s="14">
        <v>25</v>
      </c>
      <c r="G214" s="16">
        <v>44692</v>
      </c>
      <c r="H214" s="7">
        <f t="shared" si="3"/>
        <v>0.41666666666666669</v>
      </c>
      <c r="I21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08-May-22 - to - 14-May-22</v>
      </c>
      <c r="J214" s="24" t="str">
        <f>TEXT(Table1[[#This Row],[Date]],"mmm")</f>
        <v>May</v>
      </c>
    </row>
    <row r="215" spans="1:10" ht="15" customHeight="1">
      <c r="A215" s="14" t="s">
        <v>140</v>
      </c>
      <c r="B215" s="15" t="s">
        <v>6</v>
      </c>
      <c r="C215" s="15" t="s">
        <v>7</v>
      </c>
      <c r="D215" s="15" t="s">
        <v>8</v>
      </c>
      <c r="E215" s="15" t="s">
        <v>9</v>
      </c>
      <c r="F215" s="14">
        <v>20</v>
      </c>
      <c r="G215" s="16">
        <v>44692</v>
      </c>
      <c r="H215" s="7">
        <f t="shared" si="3"/>
        <v>0.33333333333333331</v>
      </c>
      <c r="I21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08-May-22 - to - 14-May-22</v>
      </c>
      <c r="J215" s="24" t="str">
        <f>TEXT(Table1[[#This Row],[Date]],"mmm")</f>
        <v>May</v>
      </c>
    </row>
    <row r="216" spans="1:10" ht="15" customHeight="1">
      <c r="A216" s="14" t="s">
        <v>140</v>
      </c>
      <c r="B216" s="15" t="s">
        <v>6</v>
      </c>
      <c r="C216" s="15" t="s">
        <v>74</v>
      </c>
      <c r="D216" s="15" t="s">
        <v>13</v>
      </c>
      <c r="E216" s="15" t="s">
        <v>9</v>
      </c>
      <c r="F216" s="14">
        <v>25</v>
      </c>
      <c r="G216" s="16">
        <v>44692</v>
      </c>
      <c r="H216" s="7">
        <f t="shared" si="3"/>
        <v>0.41666666666666669</v>
      </c>
      <c r="I21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08-May-22 - to - 14-May-22</v>
      </c>
      <c r="J216" s="24" t="str">
        <f>TEXT(Table1[[#This Row],[Date]],"mmm")</f>
        <v>May</v>
      </c>
    </row>
    <row r="217" spans="1:10" ht="15" customHeight="1">
      <c r="A217" s="14" t="s">
        <v>141</v>
      </c>
      <c r="B217" s="15" t="s">
        <v>142</v>
      </c>
      <c r="C217" s="15" t="s">
        <v>137</v>
      </c>
      <c r="D217" s="15" t="s">
        <v>8</v>
      </c>
      <c r="E217" s="15" t="s">
        <v>35</v>
      </c>
      <c r="F217" s="14">
        <v>150</v>
      </c>
      <c r="G217" s="16">
        <v>44721</v>
      </c>
      <c r="H217" s="7">
        <f t="shared" si="3"/>
        <v>2.5</v>
      </c>
      <c r="I21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05-Jun-22 - to - 11-Jun-22</v>
      </c>
      <c r="J217" s="24" t="str">
        <f>TEXT(Table1[[#This Row],[Date]],"mmm")</f>
        <v>Jun</v>
      </c>
    </row>
    <row r="218" spans="1:10" ht="15" customHeight="1">
      <c r="A218" s="14" t="s">
        <v>141</v>
      </c>
      <c r="B218" s="15" t="s">
        <v>36</v>
      </c>
      <c r="C218" s="15" t="s">
        <v>37</v>
      </c>
      <c r="D218" s="15" t="s">
        <v>8</v>
      </c>
      <c r="E218" s="15" t="s">
        <v>6</v>
      </c>
      <c r="F218" s="14">
        <v>30</v>
      </c>
      <c r="G218" s="16">
        <v>44721</v>
      </c>
      <c r="H218" s="7">
        <f t="shared" si="3"/>
        <v>0.5</v>
      </c>
      <c r="I21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05-Jun-22 - to - 11-Jun-22</v>
      </c>
      <c r="J218" s="24" t="str">
        <f>TEXT(Table1[[#This Row],[Date]],"mmm")</f>
        <v>Jun</v>
      </c>
    </row>
    <row r="219" spans="1:10" ht="15" customHeight="1">
      <c r="A219" s="14" t="s">
        <v>141</v>
      </c>
      <c r="B219" s="15" t="s">
        <v>157</v>
      </c>
      <c r="C219" s="15" t="s">
        <v>16</v>
      </c>
      <c r="D219" s="15" t="s">
        <v>8</v>
      </c>
      <c r="E219" s="15" t="s">
        <v>6</v>
      </c>
      <c r="F219" s="14">
        <v>10</v>
      </c>
      <c r="G219" s="16">
        <v>44721</v>
      </c>
      <c r="H219" s="7">
        <f t="shared" si="3"/>
        <v>0.16666666666666666</v>
      </c>
      <c r="I21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05-Jun-22 - to - 11-Jun-22</v>
      </c>
      <c r="J219" s="24" t="str">
        <f>TEXT(Table1[[#This Row],[Date]],"mmm")</f>
        <v>Jun</v>
      </c>
    </row>
    <row r="220" spans="1:10" ht="15" customHeight="1">
      <c r="A220" s="14" t="s">
        <v>141</v>
      </c>
      <c r="B220" s="15" t="s">
        <v>157</v>
      </c>
      <c r="C220" s="15" t="s">
        <v>44</v>
      </c>
      <c r="D220" s="15" t="s">
        <v>8</v>
      </c>
      <c r="E220" s="15" t="s">
        <v>12</v>
      </c>
      <c r="F220" s="14">
        <v>60</v>
      </c>
      <c r="G220" s="16">
        <v>44721</v>
      </c>
      <c r="H220" s="7">
        <f t="shared" si="3"/>
        <v>1</v>
      </c>
      <c r="I22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05-Jun-22 - to - 11-Jun-22</v>
      </c>
      <c r="J220" s="24" t="str">
        <f>TEXT(Table1[[#This Row],[Date]],"mmm")</f>
        <v>Jun</v>
      </c>
    </row>
    <row r="221" spans="1:10" ht="15" customHeight="1">
      <c r="A221" s="14" t="s">
        <v>141</v>
      </c>
      <c r="B221" s="15" t="s">
        <v>144</v>
      </c>
      <c r="C221" s="15" t="s">
        <v>38</v>
      </c>
      <c r="D221" s="15" t="s">
        <v>11</v>
      </c>
      <c r="E221" s="15" t="s">
        <v>38</v>
      </c>
      <c r="F221" s="14">
        <v>210</v>
      </c>
      <c r="G221" s="16">
        <v>44721</v>
      </c>
      <c r="H221" s="7">
        <f t="shared" si="3"/>
        <v>3.5</v>
      </c>
      <c r="I22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05-Jun-22 - to - 11-Jun-22</v>
      </c>
      <c r="J221" s="24" t="str">
        <f>TEXT(Table1[[#This Row],[Date]],"mmm")</f>
        <v>Jun</v>
      </c>
    </row>
    <row r="222" spans="1:10" ht="15" customHeight="1">
      <c r="A222" s="14" t="s">
        <v>140</v>
      </c>
      <c r="B222" s="15" t="s">
        <v>42</v>
      </c>
      <c r="C222" s="15" t="s">
        <v>43</v>
      </c>
      <c r="D222" s="15" t="s">
        <v>8</v>
      </c>
      <c r="E222" s="15" t="s">
        <v>6</v>
      </c>
      <c r="F222" s="14">
        <v>45</v>
      </c>
      <c r="G222" s="16">
        <v>44721</v>
      </c>
      <c r="H222" s="7">
        <f t="shared" si="3"/>
        <v>0.75</v>
      </c>
      <c r="I22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05-Jun-22 - to - 11-Jun-22</v>
      </c>
      <c r="J222" s="24" t="str">
        <f>TEXT(Table1[[#This Row],[Date]],"mmm")</f>
        <v>Jun</v>
      </c>
    </row>
    <row r="223" spans="1:10" ht="15" customHeight="1">
      <c r="A223" s="14" t="s">
        <v>140</v>
      </c>
      <c r="B223" s="15" t="s">
        <v>144</v>
      </c>
      <c r="C223" s="15" t="s">
        <v>17</v>
      </c>
      <c r="D223" s="15" t="s">
        <v>11</v>
      </c>
      <c r="E223" s="15" t="s">
        <v>17</v>
      </c>
      <c r="F223" s="14">
        <v>120</v>
      </c>
      <c r="G223" s="16">
        <v>44721</v>
      </c>
      <c r="H223" s="7">
        <f t="shared" si="3"/>
        <v>2</v>
      </c>
      <c r="I22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05-Jun-22 - to - 11-Jun-22</v>
      </c>
      <c r="J223" s="24" t="str">
        <f>TEXT(Table1[[#This Row],[Date]],"mmm")</f>
        <v>Jun</v>
      </c>
    </row>
    <row r="224" spans="1:10" ht="15" customHeight="1">
      <c r="A224" s="14" t="s">
        <v>140</v>
      </c>
      <c r="B224" s="15" t="s">
        <v>159</v>
      </c>
      <c r="C224" s="15" t="s">
        <v>14</v>
      </c>
      <c r="D224" s="15" t="s">
        <v>11</v>
      </c>
      <c r="E224" s="15" t="s">
        <v>14</v>
      </c>
      <c r="F224" s="14">
        <v>50</v>
      </c>
      <c r="G224" s="16">
        <v>44721</v>
      </c>
      <c r="H224" s="7">
        <f t="shared" si="3"/>
        <v>0.83333333333333337</v>
      </c>
      <c r="I22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05-Jun-22 - to - 11-Jun-22</v>
      </c>
      <c r="J224" s="24" t="str">
        <f>TEXT(Table1[[#This Row],[Date]],"mmm")</f>
        <v>Jun</v>
      </c>
    </row>
    <row r="225" spans="1:10" ht="15" customHeight="1">
      <c r="A225" s="14" t="s">
        <v>140</v>
      </c>
      <c r="B225" s="15" t="s">
        <v>159</v>
      </c>
      <c r="C225" s="15" t="s">
        <v>17</v>
      </c>
      <c r="D225" s="15" t="s">
        <v>138</v>
      </c>
      <c r="E225" s="15" t="s">
        <v>17</v>
      </c>
      <c r="F225" s="14">
        <v>45</v>
      </c>
      <c r="G225" s="16">
        <v>44721</v>
      </c>
      <c r="H225" s="7">
        <f t="shared" si="3"/>
        <v>0.75</v>
      </c>
      <c r="I22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05-Jun-22 - to - 11-Jun-22</v>
      </c>
      <c r="J225" s="24" t="str">
        <f>TEXT(Table1[[#This Row],[Date]],"mmm")</f>
        <v>Jun</v>
      </c>
    </row>
    <row r="226" spans="1:10" ht="15" customHeight="1">
      <c r="A226" s="14" t="s">
        <v>140</v>
      </c>
      <c r="B226" s="15" t="s">
        <v>42</v>
      </c>
      <c r="C226" s="15" t="s">
        <v>10</v>
      </c>
      <c r="D226" s="15" t="s">
        <v>8</v>
      </c>
      <c r="E226" s="15" t="s">
        <v>6</v>
      </c>
      <c r="F226" s="14">
        <v>20</v>
      </c>
      <c r="G226" s="16">
        <v>44721</v>
      </c>
      <c r="H226" s="7">
        <f t="shared" si="3"/>
        <v>0.33333333333333331</v>
      </c>
      <c r="I22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05-Jun-22 - to - 11-Jun-22</v>
      </c>
      <c r="J226" s="24" t="str">
        <f>TEXT(Table1[[#This Row],[Date]],"mmm")</f>
        <v>Jun</v>
      </c>
    </row>
    <row r="227" spans="1:10" ht="15" customHeight="1">
      <c r="A227" s="14" t="s">
        <v>140</v>
      </c>
      <c r="B227" s="15" t="s">
        <v>159</v>
      </c>
      <c r="C227" s="15" t="s">
        <v>44</v>
      </c>
      <c r="D227" s="15" t="s">
        <v>8</v>
      </c>
      <c r="E227" s="15" t="s">
        <v>12</v>
      </c>
      <c r="F227" s="14">
        <v>140</v>
      </c>
      <c r="G227" s="16">
        <v>44721</v>
      </c>
      <c r="H227" s="7">
        <f t="shared" si="3"/>
        <v>2.3333333333333335</v>
      </c>
      <c r="I22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05-Jun-22 - to - 11-Jun-22</v>
      </c>
      <c r="J227" s="24" t="str">
        <f>TEXT(Table1[[#This Row],[Date]],"mmm")</f>
        <v>Jun</v>
      </c>
    </row>
    <row r="228" spans="1:10" ht="15" customHeight="1">
      <c r="A228" s="14" t="s">
        <v>140</v>
      </c>
      <c r="B228" s="15" t="s">
        <v>154</v>
      </c>
      <c r="C228" s="15" t="s">
        <v>14</v>
      </c>
      <c r="D228" s="15" t="s">
        <v>11</v>
      </c>
      <c r="E228" s="15" t="s">
        <v>14</v>
      </c>
      <c r="F228" s="14">
        <v>35</v>
      </c>
      <c r="G228" s="16">
        <v>44721</v>
      </c>
      <c r="H228" s="7">
        <f t="shared" si="3"/>
        <v>0.58333333333333337</v>
      </c>
      <c r="I22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05-Jun-22 - to - 11-Jun-22</v>
      </c>
      <c r="J228" s="24" t="str">
        <f>TEXT(Table1[[#This Row],[Date]],"mmm")</f>
        <v>Jun</v>
      </c>
    </row>
    <row r="229" spans="1:10" ht="15" customHeight="1">
      <c r="A229" s="14" t="s">
        <v>140</v>
      </c>
      <c r="B229" s="15" t="s">
        <v>160</v>
      </c>
      <c r="C229" s="15" t="s">
        <v>17</v>
      </c>
      <c r="D229" s="15" t="s">
        <v>11</v>
      </c>
      <c r="E229" s="15" t="s">
        <v>17</v>
      </c>
      <c r="F229" s="14">
        <v>45</v>
      </c>
      <c r="G229" s="16">
        <v>44721</v>
      </c>
      <c r="H229" s="7">
        <f t="shared" si="3"/>
        <v>0.75</v>
      </c>
      <c r="I22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05-Jun-22 - to - 11-Jun-22</v>
      </c>
      <c r="J229" s="24" t="str">
        <f>TEXT(Table1[[#This Row],[Date]],"mmm")</f>
        <v>Jun</v>
      </c>
    </row>
    <row r="230" spans="1:10" ht="15" customHeight="1">
      <c r="A230" s="14" t="s">
        <v>141</v>
      </c>
      <c r="B230" s="15" t="s">
        <v>36</v>
      </c>
      <c r="C230" s="15" t="s">
        <v>37</v>
      </c>
      <c r="D230" s="15" t="s">
        <v>8</v>
      </c>
      <c r="E230" s="15" t="s">
        <v>36</v>
      </c>
      <c r="F230" s="14">
        <v>60</v>
      </c>
      <c r="G230" s="16">
        <v>44722</v>
      </c>
      <c r="H230" s="7">
        <f t="shared" si="3"/>
        <v>1</v>
      </c>
      <c r="I23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05-Jun-22 - to - 11-Jun-22</v>
      </c>
      <c r="J230" s="24" t="str">
        <f>TEXT(Table1[[#This Row],[Date]],"mmm")</f>
        <v>Jun</v>
      </c>
    </row>
    <row r="231" spans="1:10" ht="15" customHeight="1">
      <c r="A231" s="14" t="s">
        <v>141</v>
      </c>
      <c r="B231" s="15" t="s">
        <v>157</v>
      </c>
      <c r="C231" s="15" t="s">
        <v>16</v>
      </c>
      <c r="D231" s="15" t="s">
        <v>8</v>
      </c>
      <c r="E231" s="15" t="s">
        <v>9</v>
      </c>
      <c r="F231" s="14">
        <v>60</v>
      </c>
      <c r="G231" s="16">
        <v>44722</v>
      </c>
      <c r="H231" s="7">
        <f t="shared" si="3"/>
        <v>1</v>
      </c>
      <c r="I23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05-Jun-22 - to - 11-Jun-22</v>
      </c>
      <c r="J231" s="24" t="str">
        <f>TEXT(Table1[[#This Row],[Date]],"mmm")</f>
        <v>Jun</v>
      </c>
    </row>
    <row r="232" spans="1:10" ht="15" customHeight="1">
      <c r="A232" s="14" t="s">
        <v>141</v>
      </c>
      <c r="B232" s="15" t="s">
        <v>10</v>
      </c>
      <c r="C232" s="15" t="s">
        <v>10</v>
      </c>
      <c r="D232" s="15" t="s">
        <v>8</v>
      </c>
      <c r="E232" s="15" t="s">
        <v>10</v>
      </c>
      <c r="F232" s="14">
        <v>20</v>
      </c>
      <c r="G232" s="16">
        <v>44722</v>
      </c>
      <c r="H232" s="7">
        <f t="shared" si="3"/>
        <v>0.33333333333333331</v>
      </c>
      <c r="I23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05-Jun-22 - to - 11-Jun-22</v>
      </c>
      <c r="J232" s="24" t="str">
        <f>TEXT(Table1[[#This Row],[Date]],"mmm")</f>
        <v>Jun</v>
      </c>
    </row>
    <row r="233" spans="1:10" ht="15" customHeight="1">
      <c r="A233" s="14" t="s">
        <v>141</v>
      </c>
      <c r="B233" s="15" t="s">
        <v>142</v>
      </c>
      <c r="C233" s="15" t="s">
        <v>75</v>
      </c>
      <c r="D233" s="15" t="s">
        <v>69</v>
      </c>
      <c r="E233" s="15" t="s">
        <v>75</v>
      </c>
      <c r="F233" s="14">
        <v>130</v>
      </c>
      <c r="G233" s="16">
        <v>44722</v>
      </c>
      <c r="H233" s="7">
        <f t="shared" si="3"/>
        <v>2.1666666666666665</v>
      </c>
      <c r="I23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05-Jun-22 - to - 11-Jun-22</v>
      </c>
      <c r="J233" s="24" t="str">
        <f>TEXT(Table1[[#This Row],[Date]],"mmm")</f>
        <v>Jun</v>
      </c>
    </row>
    <row r="234" spans="1:10" ht="15" customHeight="1">
      <c r="A234" s="14" t="s">
        <v>141</v>
      </c>
      <c r="B234" s="15" t="s">
        <v>142</v>
      </c>
      <c r="C234" s="15" t="s">
        <v>137</v>
      </c>
      <c r="D234" s="15" t="s">
        <v>8</v>
      </c>
      <c r="E234" s="15" t="s">
        <v>35</v>
      </c>
      <c r="F234" s="14">
        <v>210</v>
      </c>
      <c r="G234" s="16">
        <v>44722</v>
      </c>
      <c r="H234" s="7">
        <f t="shared" si="3"/>
        <v>3.5</v>
      </c>
      <c r="I23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05-Jun-22 - to - 11-Jun-22</v>
      </c>
      <c r="J234" s="24" t="str">
        <f>TEXT(Table1[[#This Row],[Date]],"mmm")</f>
        <v>Jun</v>
      </c>
    </row>
    <row r="235" spans="1:10" ht="15" customHeight="1">
      <c r="A235" s="14" t="s">
        <v>140</v>
      </c>
      <c r="B235" s="15" t="s">
        <v>159</v>
      </c>
      <c r="C235" s="15" t="s">
        <v>47</v>
      </c>
      <c r="D235" s="15" t="s">
        <v>8</v>
      </c>
      <c r="E235" s="15" t="s">
        <v>9</v>
      </c>
      <c r="F235" s="14">
        <v>30</v>
      </c>
      <c r="G235" s="16">
        <v>44722</v>
      </c>
      <c r="H235" s="7">
        <f t="shared" si="3"/>
        <v>0.5</v>
      </c>
      <c r="I23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05-Jun-22 - to - 11-Jun-22</v>
      </c>
      <c r="J235" s="24" t="str">
        <f>TEXT(Table1[[#This Row],[Date]],"mmm")</f>
        <v>Jun</v>
      </c>
    </row>
    <row r="236" spans="1:10" ht="15" customHeight="1">
      <c r="A236" s="14" t="s">
        <v>140</v>
      </c>
      <c r="B236" s="15" t="s">
        <v>10</v>
      </c>
      <c r="C236" s="15" t="s">
        <v>10</v>
      </c>
      <c r="D236" s="15" t="s">
        <v>8</v>
      </c>
      <c r="E236" s="15" t="s">
        <v>10</v>
      </c>
      <c r="F236" s="14">
        <v>25</v>
      </c>
      <c r="G236" s="16">
        <v>44722</v>
      </c>
      <c r="H236" s="7">
        <f t="shared" si="3"/>
        <v>0.41666666666666669</v>
      </c>
      <c r="I23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05-Jun-22 - to - 11-Jun-22</v>
      </c>
      <c r="J236" s="24" t="str">
        <f>TEXT(Table1[[#This Row],[Date]],"mmm")</f>
        <v>Jun</v>
      </c>
    </row>
    <row r="237" spans="1:10" ht="15" customHeight="1">
      <c r="A237" s="14" t="s">
        <v>140</v>
      </c>
      <c r="B237" s="15" t="s">
        <v>152</v>
      </c>
      <c r="C237" s="15" t="s">
        <v>153</v>
      </c>
      <c r="D237" s="15" t="s">
        <v>8</v>
      </c>
      <c r="E237" s="15" t="s">
        <v>12</v>
      </c>
      <c r="F237" s="14">
        <v>45</v>
      </c>
      <c r="G237" s="16">
        <v>44722</v>
      </c>
      <c r="H237" s="7">
        <f t="shared" si="3"/>
        <v>0.75</v>
      </c>
      <c r="I23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05-Jun-22 - to - 11-Jun-22</v>
      </c>
      <c r="J237" s="24" t="str">
        <f>TEXT(Table1[[#This Row],[Date]],"mmm")</f>
        <v>Jun</v>
      </c>
    </row>
    <row r="238" spans="1:10" ht="15" customHeight="1">
      <c r="A238" s="14" t="s">
        <v>140</v>
      </c>
      <c r="B238" s="15" t="s">
        <v>159</v>
      </c>
      <c r="C238" s="15" t="s">
        <v>17</v>
      </c>
      <c r="D238" s="15" t="s">
        <v>11</v>
      </c>
      <c r="E238" s="15" t="s">
        <v>9</v>
      </c>
      <c r="F238" s="14">
        <v>35</v>
      </c>
      <c r="G238" s="16">
        <v>44722</v>
      </c>
      <c r="H238" s="7">
        <f t="shared" si="3"/>
        <v>0.58333333333333337</v>
      </c>
      <c r="I23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05-Jun-22 - to - 11-Jun-22</v>
      </c>
      <c r="J238" s="24" t="str">
        <f>TEXT(Table1[[#This Row],[Date]],"mmm")</f>
        <v>Jun</v>
      </c>
    </row>
    <row r="239" spans="1:10" ht="15" customHeight="1">
      <c r="A239" s="14" t="s">
        <v>140</v>
      </c>
      <c r="B239" s="15" t="s">
        <v>159</v>
      </c>
      <c r="C239" s="15" t="s">
        <v>17</v>
      </c>
      <c r="D239" s="15" t="s">
        <v>11</v>
      </c>
      <c r="E239" s="15" t="s">
        <v>9</v>
      </c>
      <c r="F239" s="14">
        <v>35</v>
      </c>
      <c r="G239" s="16">
        <v>44722</v>
      </c>
      <c r="H239" s="7">
        <f t="shared" si="3"/>
        <v>0.58333333333333337</v>
      </c>
      <c r="I23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05-Jun-22 - to - 11-Jun-22</v>
      </c>
      <c r="J239" s="24" t="str">
        <f>TEXT(Table1[[#This Row],[Date]],"mmm")</f>
        <v>Jun</v>
      </c>
    </row>
    <row r="240" spans="1:10" ht="15" customHeight="1">
      <c r="A240" s="14" t="s">
        <v>140</v>
      </c>
      <c r="B240" s="15" t="s">
        <v>160</v>
      </c>
      <c r="C240" s="15" t="s">
        <v>17</v>
      </c>
      <c r="D240" s="15" t="s">
        <v>11</v>
      </c>
      <c r="E240" s="15" t="s">
        <v>17</v>
      </c>
      <c r="F240" s="14">
        <v>65</v>
      </c>
      <c r="G240" s="16">
        <v>44722</v>
      </c>
      <c r="H240" s="7">
        <f t="shared" si="3"/>
        <v>1.0833333333333333</v>
      </c>
      <c r="I24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05-Jun-22 - to - 11-Jun-22</v>
      </c>
      <c r="J240" s="24" t="str">
        <f>TEXT(Table1[[#This Row],[Date]],"mmm")</f>
        <v>Jun</v>
      </c>
    </row>
    <row r="241" spans="1:10" ht="15" customHeight="1">
      <c r="A241" s="14" t="s">
        <v>140</v>
      </c>
      <c r="B241" s="15" t="s">
        <v>159</v>
      </c>
      <c r="C241" s="15" t="s">
        <v>176</v>
      </c>
      <c r="D241" s="15" t="s">
        <v>11</v>
      </c>
      <c r="E241" s="15" t="s">
        <v>176</v>
      </c>
      <c r="F241" s="14">
        <v>35</v>
      </c>
      <c r="G241" s="16">
        <v>44722</v>
      </c>
      <c r="H241" s="7">
        <f t="shared" si="3"/>
        <v>0.58333333333333337</v>
      </c>
      <c r="I24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05-Jun-22 - to - 11-Jun-22</v>
      </c>
      <c r="J241" s="24" t="str">
        <f>TEXT(Table1[[#This Row],[Date]],"mmm")</f>
        <v>Jun</v>
      </c>
    </row>
    <row r="242" spans="1:10" ht="15" customHeight="1">
      <c r="A242" s="14" t="s">
        <v>140</v>
      </c>
      <c r="B242" s="15" t="s">
        <v>159</v>
      </c>
      <c r="C242" s="15" t="s">
        <v>44</v>
      </c>
      <c r="D242" s="15" t="s">
        <v>8</v>
      </c>
      <c r="E242" s="15" t="s">
        <v>12</v>
      </c>
      <c r="F242" s="14">
        <v>110</v>
      </c>
      <c r="G242" s="16">
        <v>44722</v>
      </c>
      <c r="H242" s="7">
        <f t="shared" si="3"/>
        <v>1.8333333333333333</v>
      </c>
      <c r="I24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05-Jun-22 - to - 11-Jun-22</v>
      </c>
      <c r="J242" s="24" t="str">
        <f>TEXT(Table1[[#This Row],[Date]],"mmm")</f>
        <v>Jun</v>
      </c>
    </row>
    <row r="243" spans="1:10" ht="15" customHeight="1">
      <c r="A243" s="14" t="s">
        <v>140</v>
      </c>
      <c r="B243" s="15" t="s">
        <v>159</v>
      </c>
      <c r="C243" s="15" t="s">
        <v>161</v>
      </c>
      <c r="D243" s="15" t="s">
        <v>8</v>
      </c>
      <c r="E243" s="15" t="s">
        <v>175</v>
      </c>
      <c r="F243" s="14">
        <v>25</v>
      </c>
      <c r="G243" s="16">
        <v>44722</v>
      </c>
      <c r="H243" s="7">
        <f t="shared" si="3"/>
        <v>0.41666666666666669</v>
      </c>
      <c r="I24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05-Jun-22 - to - 11-Jun-22</v>
      </c>
      <c r="J243" s="24" t="str">
        <f>TEXT(Table1[[#This Row],[Date]],"mmm")</f>
        <v>Jun</v>
      </c>
    </row>
    <row r="244" spans="1:10" ht="15" customHeight="1">
      <c r="A244" s="14" t="s">
        <v>140</v>
      </c>
      <c r="B244" s="15" t="s">
        <v>160</v>
      </c>
      <c r="C244" s="15" t="s">
        <v>17</v>
      </c>
      <c r="D244" s="15" t="s">
        <v>138</v>
      </c>
      <c r="E244" s="15" t="s">
        <v>9</v>
      </c>
      <c r="F244" s="14">
        <v>40</v>
      </c>
      <c r="G244" s="16">
        <v>44722</v>
      </c>
      <c r="H244" s="7">
        <f t="shared" si="3"/>
        <v>0.66666666666666663</v>
      </c>
      <c r="I24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05-Jun-22 - to - 11-Jun-22</v>
      </c>
      <c r="J244" s="24" t="str">
        <f>TEXT(Table1[[#This Row],[Date]],"mmm")</f>
        <v>Jun</v>
      </c>
    </row>
    <row r="245" spans="1:10" ht="15" customHeight="1">
      <c r="A245" s="14" t="s">
        <v>140</v>
      </c>
      <c r="B245" s="15" t="s">
        <v>159</v>
      </c>
      <c r="C245" s="15" t="s">
        <v>76</v>
      </c>
      <c r="D245" s="15" t="s">
        <v>8</v>
      </c>
      <c r="E245" s="15" t="s">
        <v>9</v>
      </c>
      <c r="F245" s="14">
        <v>25</v>
      </c>
      <c r="G245" s="16">
        <v>44722</v>
      </c>
      <c r="H245" s="7">
        <f t="shared" si="3"/>
        <v>0.41666666666666669</v>
      </c>
      <c r="I24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05-Jun-22 - to - 11-Jun-22</v>
      </c>
      <c r="J245" s="24" t="str">
        <f>TEXT(Table1[[#This Row],[Date]],"mmm")</f>
        <v>Jun</v>
      </c>
    </row>
    <row r="246" spans="1:10" ht="15" customHeight="1">
      <c r="A246" s="14" t="s">
        <v>140</v>
      </c>
      <c r="B246" s="15" t="s">
        <v>159</v>
      </c>
      <c r="C246" s="15" t="s">
        <v>77</v>
      </c>
      <c r="D246" s="15" t="s">
        <v>8</v>
      </c>
      <c r="E246" s="15" t="s">
        <v>12</v>
      </c>
      <c r="F246" s="14">
        <v>35</v>
      </c>
      <c r="G246" s="16">
        <v>44722</v>
      </c>
      <c r="H246" s="7">
        <f t="shared" si="3"/>
        <v>0.58333333333333337</v>
      </c>
      <c r="I24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05-Jun-22 - to - 11-Jun-22</v>
      </c>
      <c r="J246" s="24" t="str">
        <f>TEXT(Table1[[#This Row],[Date]],"mmm")</f>
        <v>Jun</v>
      </c>
    </row>
    <row r="247" spans="1:10" ht="15" customHeight="1">
      <c r="A247" s="14" t="s">
        <v>141</v>
      </c>
      <c r="B247" s="15" t="s">
        <v>36</v>
      </c>
      <c r="C247" s="15" t="s">
        <v>37</v>
      </c>
      <c r="D247" s="15" t="s">
        <v>8</v>
      </c>
      <c r="E247" s="15" t="s">
        <v>6</v>
      </c>
      <c r="F247" s="14">
        <v>45</v>
      </c>
      <c r="G247" s="16">
        <v>44751</v>
      </c>
      <c r="H247" s="7">
        <f t="shared" si="3"/>
        <v>0.75</v>
      </c>
      <c r="I24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03-Jul-22 - to - 09-Jul-22</v>
      </c>
      <c r="J247" s="24" t="str">
        <f>TEXT(Table1[[#This Row],[Date]],"mmm")</f>
        <v>Jul</v>
      </c>
    </row>
    <row r="248" spans="1:10" ht="15" customHeight="1">
      <c r="A248" s="14" t="s">
        <v>141</v>
      </c>
      <c r="B248" s="15" t="s">
        <v>157</v>
      </c>
      <c r="C248" s="15" t="s">
        <v>16</v>
      </c>
      <c r="D248" s="15" t="s">
        <v>8</v>
      </c>
      <c r="E248" s="15" t="s">
        <v>6</v>
      </c>
      <c r="F248" s="14">
        <v>15</v>
      </c>
      <c r="G248" s="16">
        <v>44751</v>
      </c>
      <c r="H248" s="7">
        <f t="shared" si="3"/>
        <v>0.25</v>
      </c>
      <c r="I24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03-Jul-22 - to - 09-Jul-22</v>
      </c>
      <c r="J248" s="24" t="str">
        <f>TEXT(Table1[[#This Row],[Date]],"mmm")</f>
        <v>Jul</v>
      </c>
    </row>
    <row r="249" spans="1:10" ht="15" customHeight="1">
      <c r="A249" s="14" t="s">
        <v>141</v>
      </c>
      <c r="B249" s="15" t="s">
        <v>39</v>
      </c>
      <c r="C249" s="15" t="s">
        <v>40</v>
      </c>
      <c r="D249" s="15" t="s">
        <v>8</v>
      </c>
      <c r="E249" s="15" t="s">
        <v>40</v>
      </c>
      <c r="F249" s="14">
        <v>20</v>
      </c>
      <c r="G249" s="16">
        <v>44751</v>
      </c>
      <c r="H249" s="7">
        <f t="shared" si="3"/>
        <v>0.33333333333333331</v>
      </c>
      <c r="I24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03-Jul-22 - to - 09-Jul-22</v>
      </c>
      <c r="J249" s="24" t="str">
        <f>TEXT(Table1[[#This Row],[Date]],"mmm")</f>
        <v>Jul</v>
      </c>
    </row>
    <row r="250" spans="1:10" ht="15" customHeight="1">
      <c r="A250" s="14" t="s">
        <v>141</v>
      </c>
      <c r="B250" s="15" t="s">
        <v>157</v>
      </c>
      <c r="C250" s="15" t="s">
        <v>44</v>
      </c>
      <c r="D250" s="15" t="s">
        <v>8</v>
      </c>
      <c r="E250" s="15" t="s">
        <v>12</v>
      </c>
      <c r="F250" s="14">
        <v>50</v>
      </c>
      <c r="G250" s="16">
        <v>44751</v>
      </c>
      <c r="H250" s="7">
        <f t="shared" si="3"/>
        <v>0.83333333333333337</v>
      </c>
      <c r="I25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03-Jul-22 - to - 09-Jul-22</v>
      </c>
      <c r="J250" s="24" t="str">
        <f>TEXT(Table1[[#This Row],[Date]],"mmm")</f>
        <v>Jul</v>
      </c>
    </row>
    <row r="251" spans="1:10" ht="15" customHeight="1">
      <c r="A251" s="14" t="s">
        <v>141</v>
      </c>
      <c r="B251" s="15" t="s">
        <v>144</v>
      </c>
      <c r="C251" s="15" t="s">
        <v>38</v>
      </c>
      <c r="D251" s="15" t="s">
        <v>11</v>
      </c>
      <c r="E251" s="15" t="s">
        <v>38</v>
      </c>
      <c r="F251" s="14">
        <v>350</v>
      </c>
      <c r="G251" s="16">
        <v>44751</v>
      </c>
      <c r="H251" s="7">
        <f t="shared" si="3"/>
        <v>5.833333333333333</v>
      </c>
      <c r="I25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03-Jul-22 - to - 09-Jul-22</v>
      </c>
      <c r="J251" s="24" t="str">
        <f>TEXT(Table1[[#This Row],[Date]],"mmm")</f>
        <v>Jul</v>
      </c>
    </row>
    <row r="252" spans="1:10" ht="15" customHeight="1">
      <c r="A252" s="14" t="s">
        <v>140</v>
      </c>
      <c r="B252" s="15" t="s">
        <v>42</v>
      </c>
      <c r="C252" s="15" t="s">
        <v>43</v>
      </c>
      <c r="D252" s="15" t="s">
        <v>8</v>
      </c>
      <c r="E252" s="15" t="s">
        <v>6</v>
      </c>
      <c r="F252" s="14">
        <v>35</v>
      </c>
      <c r="G252" s="16">
        <v>44751</v>
      </c>
      <c r="H252" s="7">
        <f t="shared" si="3"/>
        <v>0.58333333333333337</v>
      </c>
      <c r="I25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03-Jul-22 - to - 09-Jul-22</v>
      </c>
      <c r="J252" s="24" t="str">
        <f>TEXT(Table1[[#This Row],[Date]],"mmm")</f>
        <v>Jul</v>
      </c>
    </row>
    <row r="253" spans="1:10" ht="15" customHeight="1">
      <c r="A253" s="14" t="s">
        <v>140</v>
      </c>
      <c r="B253" s="15" t="s">
        <v>144</v>
      </c>
      <c r="C253" s="15" t="s">
        <v>167</v>
      </c>
      <c r="D253" s="15" t="s">
        <v>11</v>
      </c>
      <c r="E253" s="15" t="s">
        <v>38</v>
      </c>
      <c r="F253" s="14">
        <v>180</v>
      </c>
      <c r="G253" s="16">
        <v>44751</v>
      </c>
      <c r="H253" s="7">
        <f t="shared" si="3"/>
        <v>3</v>
      </c>
      <c r="I25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03-Jul-22 - to - 09-Jul-22</v>
      </c>
      <c r="J253" s="24" t="str">
        <f>TEXT(Table1[[#This Row],[Date]],"mmm")</f>
        <v>Jul</v>
      </c>
    </row>
    <row r="254" spans="1:10" ht="15" customHeight="1">
      <c r="A254" s="14" t="s">
        <v>140</v>
      </c>
      <c r="B254" s="15" t="s">
        <v>159</v>
      </c>
      <c r="C254" s="15" t="s">
        <v>161</v>
      </c>
      <c r="D254" s="15" t="s">
        <v>11</v>
      </c>
      <c r="E254" s="15" t="s">
        <v>6</v>
      </c>
      <c r="F254" s="14">
        <v>45</v>
      </c>
      <c r="G254" s="16">
        <v>44751</v>
      </c>
      <c r="H254" s="7">
        <f t="shared" si="3"/>
        <v>0.75</v>
      </c>
      <c r="I25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03-Jul-22 - to - 09-Jul-22</v>
      </c>
      <c r="J254" s="24" t="str">
        <f>TEXT(Table1[[#This Row],[Date]],"mmm")</f>
        <v>Jul</v>
      </c>
    </row>
    <row r="255" spans="1:10" ht="15" customHeight="1">
      <c r="A255" s="14" t="s">
        <v>140</v>
      </c>
      <c r="B255" s="15" t="s">
        <v>159</v>
      </c>
      <c r="C255" s="15" t="s">
        <v>17</v>
      </c>
      <c r="D255" s="15" t="s">
        <v>138</v>
      </c>
      <c r="E255" s="15" t="s">
        <v>17</v>
      </c>
      <c r="F255" s="14">
        <v>35</v>
      </c>
      <c r="G255" s="16">
        <v>44751</v>
      </c>
      <c r="H255" s="7">
        <f t="shared" si="3"/>
        <v>0.58333333333333337</v>
      </c>
      <c r="I25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03-Jul-22 - to - 09-Jul-22</v>
      </c>
      <c r="J255" s="24" t="str">
        <f>TEXT(Table1[[#This Row],[Date]],"mmm")</f>
        <v>Jul</v>
      </c>
    </row>
    <row r="256" spans="1:10" ht="15" customHeight="1">
      <c r="A256" s="14" t="s">
        <v>140</v>
      </c>
      <c r="B256" s="15" t="s">
        <v>42</v>
      </c>
      <c r="C256" s="15" t="s">
        <v>10</v>
      </c>
      <c r="D256" s="15" t="s">
        <v>8</v>
      </c>
      <c r="E256" s="15" t="s">
        <v>6</v>
      </c>
      <c r="F256" s="14">
        <v>20</v>
      </c>
      <c r="G256" s="16">
        <v>44751</v>
      </c>
      <c r="H256" s="7">
        <f t="shared" si="3"/>
        <v>0.33333333333333331</v>
      </c>
      <c r="I25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03-Jul-22 - to - 09-Jul-22</v>
      </c>
      <c r="J256" s="24" t="str">
        <f>TEXT(Table1[[#This Row],[Date]],"mmm")</f>
        <v>Jul</v>
      </c>
    </row>
    <row r="257" spans="1:10" ht="15" customHeight="1">
      <c r="A257" s="14" t="s">
        <v>140</v>
      </c>
      <c r="B257" s="15" t="s">
        <v>159</v>
      </c>
      <c r="C257" s="15" t="s">
        <v>44</v>
      </c>
      <c r="D257" s="15" t="s">
        <v>8</v>
      </c>
      <c r="E257" s="15" t="s">
        <v>12</v>
      </c>
      <c r="F257" s="14">
        <v>110</v>
      </c>
      <c r="G257" s="16">
        <v>44751</v>
      </c>
      <c r="H257" s="7">
        <f t="shared" si="3"/>
        <v>1.8333333333333333</v>
      </c>
      <c r="I25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03-Jul-22 - to - 09-Jul-22</v>
      </c>
      <c r="J257" s="24" t="str">
        <f>TEXT(Table1[[#This Row],[Date]],"mmm")</f>
        <v>Jul</v>
      </c>
    </row>
    <row r="258" spans="1:10" ht="15" customHeight="1">
      <c r="A258" s="14" t="s">
        <v>140</v>
      </c>
      <c r="B258" s="15" t="s">
        <v>159</v>
      </c>
      <c r="C258" s="15" t="s">
        <v>78</v>
      </c>
      <c r="D258" s="15" t="s">
        <v>11</v>
      </c>
      <c r="E258" s="15" t="s">
        <v>6</v>
      </c>
      <c r="F258" s="14">
        <v>35</v>
      </c>
      <c r="G258" s="16">
        <v>44751</v>
      </c>
      <c r="H258" s="7">
        <f t="shared" ref="H258:H321" si="4">IFERROR(IF(ISBLANK(F258)=TRUE(),"",F258/60),"")</f>
        <v>0.58333333333333337</v>
      </c>
      <c r="I25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03-Jul-22 - to - 09-Jul-22</v>
      </c>
      <c r="J258" s="24" t="str">
        <f>TEXT(Table1[[#This Row],[Date]],"mmm")</f>
        <v>Jul</v>
      </c>
    </row>
    <row r="259" spans="1:10" ht="15" customHeight="1">
      <c r="A259" s="14" t="s">
        <v>140</v>
      </c>
      <c r="B259" s="15" t="s">
        <v>160</v>
      </c>
      <c r="C259" s="15" t="s">
        <v>58</v>
      </c>
      <c r="D259" s="15" t="s">
        <v>11</v>
      </c>
      <c r="E259" s="15" t="s">
        <v>125</v>
      </c>
      <c r="F259" s="14">
        <v>45</v>
      </c>
      <c r="G259" s="16">
        <v>44751</v>
      </c>
      <c r="H259" s="7">
        <f t="shared" si="4"/>
        <v>0.75</v>
      </c>
      <c r="I25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03-Jul-22 - to - 09-Jul-22</v>
      </c>
      <c r="J259" s="24" t="str">
        <f>TEXT(Table1[[#This Row],[Date]],"mmm")</f>
        <v>Jul</v>
      </c>
    </row>
    <row r="260" spans="1:10" ht="15" customHeight="1">
      <c r="A260" s="14" t="s">
        <v>141</v>
      </c>
      <c r="B260" s="15" t="s">
        <v>10</v>
      </c>
      <c r="C260" s="15" t="s">
        <v>10</v>
      </c>
      <c r="D260" s="15" t="s">
        <v>8</v>
      </c>
      <c r="E260" s="15" t="s">
        <v>10</v>
      </c>
      <c r="F260" s="14">
        <v>25</v>
      </c>
      <c r="G260" s="16">
        <v>44752</v>
      </c>
      <c r="H260" s="7">
        <f t="shared" si="4"/>
        <v>0.41666666666666669</v>
      </c>
      <c r="I26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10-Jul-22 - to - 16-Jul-22</v>
      </c>
      <c r="J260" s="24" t="str">
        <f>TEXT(Table1[[#This Row],[Date]],"mmm")</f>
        <v>Jul</v>
      </c>
    </row>
    <row r="261" spans="1:10" ht="15" customHeight="1">
      <c r="A261" s="14" t="s">
        <v>141</v>
      </c>
      <c r="B261" s="15" t="s">
        <v>142</v>
      </c>
      <c r="C261" s="15" t="s">
        <v>137</v>
      </c>
      <c r="D261" s="15" t="s">
        <v>8</v>
      </c>
      <c r="E261" s="15" t="s">
        <v>35</v>
      </c>
      <c r="F261" s="14">
        <v>120</v>
      </c>
      <c r="G261" s="16">
        <v>44752</v>
      </c>
      <c r="H261" s="7">
        <f t="shared" si="4"/>
        <v>2</v>
      </c>
      <c r="I26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10-Jul-22 - to - 16-Jul-22</v>
      </c>
      <c r="J261" s="24" t="str">
        <f>TEXT(Table1[[#This Row],[Date]],"mmm")</f>
        <v>Jul</v>
      </c>
    </row>
    <row r="262" spans="1:10" ht="15" customHeight="1">
      <c r="A262" s="14" t="s">
        <v>141</v>
      </c>
      <c r="B262" s="15" t="s">
        <v>36</v>
      </c>
      <c r="C262" s="15" t="s">
        <v>37</v>
      </c>
      <c r="D262" s="15" t="s">
        <v>8</v>
      </c>
      <c r="E262" s="15" t="s">
        <v>36</v>
      </c>
      <c r="F262" s="14">
        <v>45</v>
      </c>
      <c r="G262" s="16">
        <v>44752</v>
      </c>
      <c r="H262" s="7">
        <f t="shared" si="4"/>
        <v>0.75</v>
      </c>
      <c r="I26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10-Jul-22 - to - 16-Jul-22</v>
      </c>
      <c r="J262" s="24" t="str">
        <f>TEXT(Table1[[#This Row],[Date]],"mmm")</f>
        <v>Jul</v>
      </c>
    </row>
    <row r="263" spans="1:10" ht="15" customHeight="1">
      <c r="A263" s="14" t="s">
        <v>141</v>
      </c>
      <c r="B263" s="15" t="s">
        <v>157</v>
      </c>
      <c r="C263" s="15" t="s">
        <v>16</v>
      </c>
      <c r="D263" s="15" t="s">
        <v>8</v>
      </c>
      <c r="E263" s="15" t="s">
        <v>9</v>
      </c>
      <c r="F263" s="14">
        <v>20</v>
      </c>
      <c r="G263" s="16">
        <v>44752</v>
      </c>
      <c r="H263" s="7">
        <f t="shared" si="4"/>
        <v>0.33333333333333331</v>
      </c>
      <c r="I26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10-Jul-22 - to - 16-Jul-22</v>
      </c>
      <c r="J263" s="24" t="str">
        <f>TEXT(Table1[[#This Row],[Date]],"mmm")</f>
        <v>Jul</v>
      </c>
    </row>
    <row r="264" spans="1:10" ht="15" customHeight="1">
      <c r="A264" s="14" t="s">
        <v>141</v>
      </c>
      <c r="B264" s="15" t="s">
        <v>157</v>
      </c>
      <c r="C264" s="15" t="s">
        <v>44</v>
      </c>
      <c r="D264" s="15" t="s">
        <v>8</v>
      </c>
      <c r="E264" s="15" t="s">
        <v>12</v>
      </c>
      <c r="F264" s="14">
        <v>90</v>
      </c>
      <c r="G264" s="16">
        <v>44752</v>
      </c>
      <c r="H264" s="7">
        <f t="shared" si="4"/>
        <v>1.5</v>
      </c>
      <c r="I26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10-Jul-22 - to - 16-Jul-22</v>
      </c>
      <c r="J264" s="24" t="str">
        <f>TEXT(Table1[[#This Row],[Date]],"mmm")</f>
        <v>Jul</v>
      </c>
    </row>
    <row r="265" spans="1:10" ht="15" customHeight="1">
      <c r="A265" s="14" t="s">
        <v>141</v>
      </c>
      <c r="B265" s="15" t="s">
        <v>142</v>
      </c>
      <c r="C265" s="15" t="s">
        <v>17</v>
      </c>
      <c r="D265" s="15" t="s">
        <v>8</v>
      </c>
      <c r="E265" s="15" t="s">
        <v>17</v>
      </c>
      <c r="F265" s="14">
        <v>90</v>
      </c>
      <c r="G265" s="16">
        <v>44752</v>
      </c>
      <c r="H265" s="7">
        <f t="shared" si="4"/>
        <v>1.5</v>
      </c>
      <c r="I26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10-Jul-22 - to - 16-Jul-22</v>
      </c>
      <c r="J265" s="24" t="str">
        <f>TEXT(Table1[[#This Row],[Date]],"mmm")</f>
        <v>Jul</v>
      </c>
    </row>
    <row r="266" spans="1:10" ht="15" customHeight="1">
      <c r="A266" s="14" t="s">
        <v>141</v>
      </c>
      <c r="B266" s="15" t="s">
        <v>142</v>
      </c>
      <c r="C266" s="15" t="s">
        <v>17</v>
      </c>
      <c r="D266" s="15" t="s">
        <v>8</v>
      </c>
      <c r="E266" s="15" t="s">
        <v>17</v>
      </c>
      <c r="F266" s="14">
        <v>120</v>
      </c>
      <c r="G266" s="16">
        <v>44752</v>
      </c>
      <c r="H266" s="7">
        <f t="shared" si="4"/>
        <v>2</v>
      </c>
      <c r="I26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10-Jul-22 - to - 16-Jul-22</v>
      </c>
      <c r="J266" s="24" t="str">
        <f>TEXT(Table1[[#This Row],[Date]],"mmm")</f>
        <v>Jul</v>
      </c>
    </row>
    <row r="267" spans="1:10" ht="15" customHeight="1">
      <c r="A267" s="14" t="s">
        <v>140</v>
      </c>
      <c r="B267" s="15" t="s">
        <v>159</v>
      </c>
      <c r="C267" s="15" t="s">
        <v>47</v>
      </c>
      <c r="D267" s="15" t="s">
        <v>8</v>
      </c>
      <c r="E267" s="15" t="s">
        <v>9</v>
      </c>
      <c r="F267" s="14">
        <v>30</v>
      </c>
      <c r="G267" s="16">
        <v>44752</v>
      </c>
      <c r="H267" s="7">
        <f t="shared" si="4"/>
        <v>0.5</v>
      </c>
      <c r="I26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10-Jul-22 - to - 16-Jul-22</v>
      </c>
      <c r="J267" s="24" t="str">
        <f>TEXT(Table1[[#This Row],[Date]],"mmm")</f>
        <v>Jul</v>
      </c>
    </row>
    <row r="268" spans="1:10" ht="15" customHeight="1">
      <c r="A268" s="14" t="s">
        <v>140</v>
      </c>
      <c r="B268" s="15" t="s">
        <v>10</v>
      </c>
      <c r="C268" s="15" t="s">
        <v>10</v>
      </c>
      <c r="D268" s="15" t="s">
        <v>8</v>
      </c>
      <c r="E268" s="15" t="s">
        <v>10</v>
      </c>
      <c r="F268" s="14">
        <v>25</v>
      </c>
      <c r="G268" s="16">
        <v>44752</v>
      </c>
      <c r="H268" s="7">
        <f t="shared" si="4"/>
        <v>0.41666666666666669</v>
      </c>
      <c r="I26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10-Jul-22 - to - 16-Jul-22</v>
      </c>
      <c r="J268" s="24" t="str">
        <f>TEXT(Table1[[#This Row],[Date]],"mmm")</f>
        <v>Jul</v>
      </c>
    </row>
    <row r="269" spans="1:10" ht="15" customHeight="1">
      <c r="A269" s="14" t="s">
        <v>140</v>
      </c>
      <c r="B269" s="15" t="s">
        <v>152</v>
      </c>
      <c r="C269" s="15" t="s">
        <v>153</v>
      </c>
      <c r="D269" s="15" t="s">
        <v>8</v>
      </c>
      <c r="E269" s="15" t="s">
        <v>12</v>
      </c>
      <c r="F269" s="14">
        <v>45</v>
      </c>
      <c r="G269" s="16">
        <v>44752</v>
      </c>
      <c r="H269" s="7">
        <f t="shared" si="4"/>
        <v>0.75</v>
      </c>
      <c r="I26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10-Jul-22 - to - 16-Jul-22</v>
      </c>
      <c r="J269" s="24" t="str">
        <f>TEXT(Table1[[#This Row],[Date]],"mmm")</f>
        <v>Jul</v>
      </c>
    </row>
    <row r="270" spans="1:10" ht="15" customHeight="1">
      <c r="A270" s="14" t="s">
        <v>140</v>
      </c>
      <c r="B270" s="15" t="s">
        <v>159</v>
      </c>
      <c r="C270" s="15" t="s">
        <v>48</v>
      </c>
      <c r="D270" s="15" t="s">
        <v>11</v>
      </c>
      <c r="E270" s="15" t="s">
        <v>88</v>
      </c>
      <c r="F270" s="14">
        <v>35</v>
      </c>
      <c r="G270" s="16">
        <v>44752</v>
      </c>
      <c r="H270" s="7">
        <f t="shared" si="4"/>
        <v>0.58333333333333337</v>
      </c>
      <c r="I27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10-Jul-22 - to - 16-Jul-22</v>
      </c>
      <c r="J270" s="24" t="str">
        <f>TEXT(Table1[[#This Row],[Date]],"mmm")</f>
        <v>Jul</v>
      </c>
    </row>
    <row r="271" spans="1:10" ht="15" customHeight="1">
      <c r="A271" s="14" t="s">
        <v>140</v>
      </c>
      <c r="B271" s="15" t="s">
        <v>160</v>
      </c>
      <c r="C271" s="15" t="s">
        <v>17</v>
      </c>
      <c r="D271" s="15" t="s">
        <v>11</v>
      </c>
      <c r="E271" s="15" t="s">
        <v>9</v>
      </c>
      <c r="F271" s="14">
        <v>35</v>
      </c>
      <c r="G271" s="16">
        <v>44752</v>
      </c>
      <c r="H271" s="7">
        <f t="shared" si="4"/>
        <v>0.58333333333333337</v>
      </c>
      <c r="I27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10-Jul-22 - to - 16-Jul-22</v>
      </c>
      <c r="J271" s="24" t="str">
        <f>TEXT(Table1[[#This Row],[Date]],"mmm")</f>
        <v>Jul</v>
      </c>
    </row>
    <row r="272" spans="1:10" ht="15" customHeight="1">
      <c r="A272" s="14" t="s">
        <v>140</v>
      </c>
      <c r="B272" s="15" t="s">
        <v>160</v>
      </c>
      <c r="C272" s="15" t="s">
        <v>17</v>
      </c>
      <c r="D272" s="15" t="s">
        <v>11</v>
      </c>
      <c r="E272" s="15" t="s">
        <v>17</v>
      </c>
      <c r="F272" s="14">
        <v>45</v>
      </c>
      <c r="G272" s="16">
        <v>44752</v>
      </c>
      <c r="H272" s="7">
        <f t="shared" si="4"/>
        <v>0.75</v>
      </c>
      <c r="I27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10-Jul-22 - to - 16-Jul-22</v>
      </c>
      <c r="J272" s="24" t="str">
        <f>TEXT(Table1[[#This Row],[Date]],"mmm")</f>
        <v>Jul</v>
      </c>
    </row>
    <row r="273" spans="1:10" ht="15" customHeight="1">
      <c r="A273" s="14" t="s">
        <v>140</v>
      </c>
      <c r="B273" s="15" t="s">
        <v>159</v>
      </c>
      <c r="C273" s="15" t="s">
        <v>17</v>
      </c>
      <c r="D273" s="15" t="s">
        <v>11</v>
      </c>
      <c r="E273" s="15" t="s">
        <v>17</v>
      </c>
      <c r="F273" s="14">
        <v>35</v>
      </c>
      <c r="G273" s="16">
        <v>44752</v>
      </c>
      <c r="H273" s="7">
        <f t="shared" si="4"/>
        <v>0.58333333333333337</v>
      </c>
      <c r="I27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10-Jul-22 - to - 16-Jul-22</v>
      </c>
      <c r="J273" s="24" t="str">
        <f>TEXT(Table1[[#This Row],[Date]],"mmm")</f>
        <v>Jul</v>
      </c>
    </row>
    <row r="274" spans="1:10" ht="15" customHeight="1">
      <c r="A274" s="14" t="s">
        <v>140</v>
      </c>
      <c r="B274" s="15" t="s">
        <v>159</v>
      </c>
      <c r="C274" s="15" t="s">
        <v>44</v>
      </c>
      <c r="D274" s="15" t="s">
        <v>8</v>
      </c>
      <c r="E274" s="15" t="s">
        <v>12</v>
      </c>
      <c r="F274" s="14">
        <v>85</v>
      </c>
      <c r="G274" s="16">
        <v>44752</v>
      </c>
      <c r="H274" s="7">
        <f t="shared" si="4"/>
        <v>1.4166666666666667</v>
      </c>
      <c r="I27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10-Jul-22 - to - 16-Jul-22</v>
      </c>
      <c r="J274" s="24" t="str">
        <f>TEXT(Table1[[#This Row],[Date]],"mmm")</f>
        <v>Jul</v>
      </c>
    </row>
    <row r="275" spans="1:10" ht="15" customHeight="1">
      <c r="A275" s="14" t="s">
        <v>140</v>
      </c>
      <c r="B275" s="15" t="s">
        <v>154</v>
      </c>
      <c r="C275" s="15" t="s">
        <v>17</v>
      </c>
      <c r="D275" s="15" t="s">
        <v>8</v>
      </c>
      <c r="E275" s="15" t="s">
        <v>17</v>
      </c>
      <c r="F275" s="14">
        <v>25</v>
      </c>
      <c r="G275" s="16">
        <v>44752</v>
      </c>
      <c r="H275" s="7">
        <f t="shared" si="4"/>
        <v>0.41666666666666669</v>
      </c>
      <c r="I27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10-Jul-22 - to - 16-Jul-22</v>
      </c>
      <c r="J275" s="24" t="str">
        <f>TEXT(Table1[[#This Row],[Date]],"mmm")</f>
        <v>Jul</v>
      </c>
    </row>
    <row r="276" spans="1:10" ht="15" customHeight="1">
      <c r="A276" s="14" t="s">
        <v>140</v>
      </c>
      <c r="B276" s="15" t="s">
        <v>159</v>
      </c>
      <c r="C276" s="15" t="s">
        <v>76</v>
      </c>
      <c r="D276" s="15" t="s">
        <v>8</v>
      </c>
      <c r="E276" s="15" t="s">
        <v>76</v>
      </c>
      <c r="F276" s="14">
        <v>25</v>
      </c>
      <c r="G276" s="16">
        <v>44752</v>
      </c>
      <c r="H276" s="7">
        <f t="shared" si="4"/>
        <v>0.41666666666666669</v>
      </c>
      <c r="I27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10-Jul-22 - to - 16-Jul-22</v>
      </c>
      <c r="J276" s="24" t="str">
        <f>TEXT(Table1[[#This Row],[Date]],"mmm")</f>
        <v>Jul</v>
      </c>
    </row>
    <row r="277" spans="1:10" ht="15" customHeight="1">
      <c r="A277" s="14" t="s">
        <v>140</v>
      </c>
      <c r="B277" s="15" t="s">
        <v>159</v>
      </c>
      <c r="C277" s="15" t="s">
        <v>68</v>
      </c>
      <c r="D277" s="15" t="s">
        <v>69</v>
      </c>
      <c r="E277" s="15" t="s">
        <v>6</v>
      </c>
      <c r="F277" s="14">
        <v>25</v>
      </c>
      <c r="G277" s="16">
        <v>44752</v>
      </c>
      <c r="H277" s="7">
        <f t="shared" si="4"/>
        <v>0.41666666666666669</v>
      </c>
      <c r="I27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10-Jul-22 - to - 16-Jul-22</v>
      </c>
      <c r="J277" s="24" t="str">
        <f>TEXT(Table1[[#This Row],[Date]],"mmm")</f>
        <v>Jul</v>
      </c>
    </row>
    <row r="278" spans="1:10" ht="15" customHeight="1">
      <c r="A278" s="14" t="s">
        <v>140</v>
      </c>
      <c r="B278" s="15" t="s">
        <v>159</v>
      </c>
      <c r="C278" s="15" t="s">
        <v>70</v>
      </c>
      <c r="D278" s="15" t="s">
        <v>69</v>
      </c>
      <c r="E278" s="15" t="s">
        <v>70</v>
      </c>
      <c r="F278" s="14">
        <v>35</v>
      </c>
      <c r="G278" s="16">
        <v>44752</v>
      </c>
      <c r="H278" s="7">
        <f t="shared" si="4"/>
        <v>0.58333333333333337</v>
      </c>
      <c r="I27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10-Jul-22 - to - 16-Jul-22</v>
      </c>
      <c r="J278" s="24" t="str">
        <f>TEXT(Table1[[#This Row],[Date]],"mmm")</f>
        <v>Jul</v>
      </c>
    </row>
    <row r="279" spans="1:10" ht="15" customHeight="1">
      <c r="A279" s="14" t="s">
        <v>140</v>
      </c>
      <c r="B279" s="15" t="s">
        <v>159</v>
      </c>
      <c r="C279" s="15" t="s">
        <v>71</v>
      </c>
      <c r="D279" s="15" t="s">
        <v>11</v>
      </c>
      <c r="E279" s="15" t="s">
        <v>71</v>
      </c>
      <c r="F279" s="14">
        <v>25</v>
      </c>
      <c r="G279" s="16">
        <v>44752</v>
      </c>
      <c r="H279" s="7">
        <f t="shared" si="4"/>
        <v>0.41666666666666669</v>
      </c>
      <c r="I27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10-Jul-22 - to - 16-Jul-22</v>
      </c>
      <c r="J279" s="24" t="str">
        <f>TEXT(Table1[[#This Row],[Date]],"mmm")</f>
        <v>Jul</v>
      </c>
    </row>
    <row r="280" spans="1:10" ht="15" customHeight="1">
      <c r="A280" s="14" t="s">
        <v>140</v>
      </c>
      <c r="B280" s="15" t="s">
        <v>160</v>
      </c>
      <c r="C280" s="15" t="s">
        <v>17</v>
      </c>
      <c r="D280" s="15" t="s">
        <v>11</v>
      </c>
      <c r="E280" s="15" t="s">
        <v>17</v>
      </c>
      <c r="F280" s="14">
        <v>35</v>
      </c>
      <c r="G280" s="16">
        <v>44752</v>
      </c>
      <c r="H280" s="7">
        <f t="shared" si="4"/>
        <v>0.58333333333333337</v>
      </c>
      <c r="I28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10-Jul-22 - to - 16-Jul-22</v>
      </c>
      <c r="J280" s="24" t="str">
        <f>TEXT(Table1[[#This Row],[Date]],"mmm")</f>
        <v>Jul</v>
      </c>
    </row>
    <row r="281" spans="1:10" ht="15" customHeight="1">
      <c r="A281" s="14" t="s">
        <v>141</v>
      </c>
      <c r="B281" s="15" t="s">
        <v>10</v>
      </c>
      <c r="C281" s="15" t="s">
        <v>10</v>
      </c>
      <c r="D281" s="15" t="s">
        <v>8</v>
      </c>
      <c r="E281" s="15" t="s">
        <v>10</v>
      </c>
      <c r="F281" s="14">
        <v>20</v>
      </c>
      <c r="G281" s="16">
        <v>44753</v>
      </c>
      <c r="H281" s="7">
        <f t="shared" si="4"/>
        <v>0.33333333333333331</v>
      </c>
      <c r="I28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10-Jul-22 - to - 16-Jul-22</v>
      </c>
      <c r="J281" s="24" t="str">
        <f>TEXT(Table1[[#This Row],[Date]],"mmm")</f>
        <v>Jul</v>
      </c>
    </row>
    <row r="282" spans="1:10" ht="15" customHeight="1">
      <c r="A282" s="14" t="s">
        <v>141</v>
      </c>
      <c r="B282" s="15" t="s">
        <v>36</v>
      </c>
      <c r="C282" s="15" t="s">
        <v>37</v>
      </c>
      <c r="D282" s="15" t="s">
        <v>8</v>
      </c>
      <c r="E282" s="15" t="s">
        <v>36</v>
      </c>
      <c r="F282" s="14">
        <v>45</v>
      </c>
      <c r="G282" s="16">
        <v>44753</v>
      </c>
      <c r="H282" s="7">
        <f t="shared" si="4"/>
        <v>0.75</v>
      </c>
      <c r="I28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10-Jul-22 - to - 16-Jul-22</v>
      </c>
      <c r="J282" s="24" t="str">
        <f>TEXT(Table1[[#This Row],[Date]],"mmm")</f>
        <v>Jul</v>
      </c>
    </row>
    <row r="283" spans="1:10" ht="15" customHeight="1">
      <c r="A283" s="14" t="s">
        <v>141</v>
      </c>
      <c r="B283" s="15" t="s">
        <v>157</v>
      </c>
      <c r="C283" s="15" t="s">
        <v>16</v>
      </c>
      <c r="D283" s="15" t="s">
        <v>8</v>
      </c>
      <c r="E283" s="15" t="s">
        <v>9</v>
      </c>
      <c r="F283" s="14">
        <v>20</v>
      </c>
      <c r="G283" s="16">
        <v>44753</v>
      </c>
      <c r="H283" s="7">
        <f t="shared" si="4"/>
        <v>0.33333333333333331</v>
      </c>
      <c r="I28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10-Jul-22 - to - 16-Jul-22</v>
      </c>
      <c r="J283" s="24" t="str">
        <f>TEXT(Table1[[#This Row],[Date]],"mmm")</f>
        <v>Jul</v>
      </c>
    </row>
    <row r="284" spans="1:10" ht="15" customHeight="1">
      <c r="A284" s="14" t="s">
        <v>141</v>
      </c>
      <c r="B284" s="15" t="s">
        <v>142</v>
      </c>
      <c r="C284" s="15" t="s">
        <v>75</v>
      </c>
      <c r="D284" s="15" t="s">
        <v>69</v>
      </c>
      <c r="E284" s="15" t="s">
        <v>75</v>
      </c>
      <c r="F284" s="14">
        <v>250</v>
      </c>
      <c r="G284" s="16">
        <v>44753</v>
      </c>
      <c r="H284" s="7">
        <f t="shared" si="4"/>
        <v>4.166666666666667</v>
      </c>
      <c r="I28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10-Jul-22 - to - 16-Jul-22</v>
      </c>
      <c r="J284" s="24" t="str">
        <f>TEXT(Table1[[#This Row],[Date]],"mmm")</f>
        <v>Jul</v>
      </c>
    </row>
    <row r="285" spans="1:10" ht="15" customHeight="1">
      <c r="A285" s="14" t="s">
        <v>141</v>
      </c>
      <c r="B285" s="15" t="s">
        <v>142</v>
      </c>
      <c r="C285" s="15" t="s">
        <v>137</v>
      </c>
      <c r="D285" s="15" t="s">
        <v>8</v>
      </c>
      <c r="E285" s="15" t="s">
        <v>35</v>
      </c>
      <c r="F285" s="14">
        <v>90</v>
      </c>
      <c r="G285" s="16">
        <v>44753</v>
      </c>
      <c r="H285" s="7">
        <f t="shared" si="4"/>
        <v>1.5</v>
      </c>
      <c r="I28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10-Jul-22 - to - 16-Jul-22</v>
      </c>
      <c r="J285" s="24" t="str">
        <f>TEXT(Table1[[#This Row],[Date]],"mmm")</f>
        <v>Jul</v>
      </c>
    </row>
    <row r="286" spans="1:10" ht="15" customHeight="1">
      <c r="A286" s="14" t="s">
        <v>141</v>
      </c>
      <c r="B286" s="15" t="s">
        <v>157</v>
      </c>
      <c r="C286" s="15" t="s">
        <v>44</v>
      </c>
      <c r="D286" s="15" t="s">
        <v>8</v>
      </c>
      <c r="E286" s="15" t="s">
        <v>12</v>
      </c>
      <c r="F286" s="14">
        <v>90</v>
      </c>
      <c r="G286" s="16">
        <v>44753</v>
      </c>
      <c r="H286" s="7">
        <f t="shared" si="4"/>
        <v>1.5</v>
      </c>
      <c r="I28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10-Jul-22 - to - 16-Jul-22</v>
      </c>
      <c r="J286" s="24" t="str">
        <f>TEXT(Table1[[#This Row],[Date]],"mmm")</f>
        <v>Jul</v>
      </c>
    </row>
    <row r="287" spans="1:10" ht="15" customHeight="1">
      <c r="A287" s="14" t="s">
        <v>140</v>
      </c>
      <c r="B287" s="15" t="s">
        <v>159</v>
      </c>
      <c r="C287" s="15" t="s">
        <v>48</v>
      </c>
      <c r="D287" s="15" t="s">
        <v>11</v>
      </c>
      <c r="E287" s="15" t="s">
        <v>88</v>
      </c>
      <c r="F287" s="14">
        <v>20</v>
      </c>
      <c r="G287" s="16">
        <v>44753</v>
      </c>
      <c r="H287" s="7">
        <f t="shared" si="4"/>
        <v>0.33333333333333331</v>
      </c>
      <c r="I28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10-Jul-22 - to - 16-Jul-22</v>
      </c>
      <c r="J287" s="24" t="str">
        <f>TEXT(Table1[[#This Row],[Date]],"mmm")</f>
        <v>Jul</v>
      </c>
    </row>
    <row r="288" spans="1:10" ht="15" customHeight="1">
      <c r="A288" s="14" t="s">
        <v>140</v>
      </c>
      <c r="B288" s="15" t="s">
        <v>10</v>
      </c>
      <c r="C288" s="15" t="s">
        <v>10</v>
      </c>
      <c r="D288" s="15" t="s">
        <v>8</v>
      </c>
      <c r="E288" s="15" t="s">
        <v>10</v>
      </c>
      <c r="F288" s="14">
        <v>20</v>
      </c>
      <c r="G288" s="16">
        <v>44753</v>
      </c>
      <c r="H288" s="7">
        <f t="shared" si="4"/>
        <v>0.33333333333333331</v>
      </c>
      <c r="I28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10-Jul-22 - to - 16-Jul-22</v>
      </c>
      <c r="J288" s="24" t="str">
        <f>TEXT(Table1[[#This Row],[Date]],"mmm")</f>
        <v>Jul</v>
      </c>
    </row>
    <row r="289" spans="1:10" ht="15" customHeight="1">
      <c r="A289" s="14" t="s">
        <v>140</v>
      </c>
      <c r="B289" s="15" t="s">
        <v>20</v>
      </c>
      <c r="C289" s="15" t="s">
        <v>20</v>
      </c>
      <c r="D289" s="15" t="s">
        <v>11</v>
      </c>
      <c r="E289" s="15" t="s">
        <v>20</v>
      </c>
      <c r="F289" s="14">
        <v>35</v>
      </c>
      <c r="G289" s="16">
        <v>44753</v>
      </c>
      <c r="H289" s="7">
        <f t="shared" si="4"/>
        <v>0.58333333333333337</v>
      </c>
      <c r="I28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10-Jul-22 - to - 16-Jul-22</v>
      </c>
      <c r="J289" s="24" t="str">
        <f>TEXT(Table1[[#This Row],[Date]],"mmm")</f>
        <v>Jul</v>
      </c>
    </row>
    <row r="290" spans="1:10" ht="15" customHeight="1">
      <c r="A290" s="14" t="s">
        <v>140</v>
      </c>
      <c r="B290" s="15" t="s">
        <v>159</v>
      </c>
      <c r="C290" s="15" t="s">
        <v>52</v>
      </c>
      <c r="D290" s="15" t="s">
        <v>138</v>
      </c>
      <c r="E290" s="15" t="s">
        <v>9</v>
      </c>
      <c r="F290" s="14">
        <v>45</v>
      </c>
      <c r="G290" s="16">
        <v>44753</v>
      </c>
      <c r="H290" s="7">
        <f t="shared" si="4"/>
        <v>0.75</v>
      </c>
      <c r="I29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10-Jul-22 - to - 16-Jul-22</v>
      </c>
      <c r="J290" s="24" t="str">
        <f>TEXT(Table1[[#This Row],[Date]],"mmm")</f>
        <v>Jul</v>
      </c>
    </row>
    <row r="291" spans="1:10" ht="15" customHeight="1">
      <c r="A291" s="14" t="s">
        <v>140</v>
      </c>
      <c r="B291" s="15" t="s">
        <v>159</v>
      </c>
      <c r="C291" s="15" t="s">
        <v>66</v>
      </c>
      <c r="D291" s="15" t="s">
        <v>13</v>
      </c>
      <c r="E291" s="15" t="s">
        <v>66</v>
      </c>
      <c r="F291" s="14">
        <v>30</v>
      </c>
      <c r="G291" s="16">
        <v>44753</v>
      </c>
      <c r="H291" s="7">
        <f t="shared" si="4"/>
        <v>0.5</v>
      </c>
      <c r="I29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10-Jul-22 - to - 16-Jul-22</v>
      </c>
      <c r="J291" s="24" t="str">
        <f>TEXT(Table1[[#This Row],[Date]],"mmm")</f>
        <v>Jul</v>
      </c>
    </row>
    <row r="292" spans="1:10" ht="15" customHeight="1">
      <c r="A292" s="14" t="s">
        <v>140</v>
      </c>
      <c r="B292" s="15" t="s">
        <v>152</v>
      </c>
      <c r="C292" s="15" t="s">
        <v>153</v>
      </c>
      <c r="D292" s="15" t="s">
        <v>8</v>
      </c>
      <c r="E292" s="15" t="s">
        <v>12</v>
      </c>
      <c r="F292" s="14">
        <v>25</v>
      </c>
      <c r="G292" s="16">
        <v>44753</v>
      </c>
      <c r="H292" s="7">
        <f t="shared" si="4"/>
        <v>0.41666666666666669</v>
      </c>
      <c r="I29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10-Jul-22 - to - 16-Jul-22</v>
      </c>
      <c r="J292" s="24" t="str">
        <f>TEXT(Table1[[#This Row],[Date]],"mmm")</f>
        <v>Jul</v>
      </c>
    </row>
    <row r="293" spans="1:10" ht="15" customHeight="1">
      <c r="A293" s="14" t="s">
        <v>140</v>
      </c>
      <c r="B293" s="15" t="s">
        <v>159</v>
      </c>
      <c r="C293" s="15" t="s">
        <v>79</v>
      </c>
      <c r="D293" s="15" t="s">
        <v>8</v>
      </c>
      <c r="E293" s="15" t="s">
        <v>9</v>
      </c>
      <c r="F293" s="14">
        <v>55</v>
      </c>
      <c r="G293" s="16">
        <v>44753</v>
      </c>
      <c r="H293" s="7">
        <f t="shared" si="4"/>
        <v>0.91666666666666663</v>
      </c>
      <c r="I29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10-Jul-22 - to - 16-Jul-22</v>
      </c>
      <c r="J293" s="24" t="str">
        <f>TEXT(Table1[[#This Row],[Date]],"mmm")</f>
        <v>Jul</v>
      </c>
    </row>
    <row r="294" spans="1:10" ht="15" customHeight="1">
      <c r="A294" s="14" t="s">
        <v>140</v>
      </c>
      <c r="B294" s="15" t="s">
        <v>159</v>
      </c>
      <c r="C294" s="15" t="s">
        <v>80</v>
      </c>
      <c r="D294" s="15" t="s">
        <v>8</v>
      </c>
      <c r="E294" s="15" t="s">
        <v>22</v>
      </c>
      <c r="F294" s="14">
        <v>20</v>
      </c>
      <c r="G294" s="16">
        <v>44753</v>
      </c>
      <c r="H294" s="7">
        <f t="shared" si="4"/>
        <v>0.33333333333333331</v>
      </c>
      <c r="I29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10-Jul-22 - to - 16-Jul-22</v>
      </c>
      <c r="J294" s="24" t="str">
        <f>TEXT(Table1[[#This Row],[Date]],"mmm")</f>
        <v>Jul</v>
      </c>
    </row>
    <row r="295" spans="1:10" ht="15" customHeight="1">
      <c r="A295" s="14" t="s">
        <v>140</v>
      </c>
      <c r="B295" s="15" t="s">
        <v>159</v>
      </c>
      <c r="C295" s="15" t="s">
        <v>44</v>
      </c>
      <c r="D295" s="15" t="s">
        <v>8</v>
      </c>
      <c r="E295" s="15" t="s">
        <v>12</v>
      </c>
      <c r="F295" s="14">
        <v>110</v>
      </c>
      <c r="G295" s="16">
        <v>44753</v>
      </c>
      <c r="H295" s="7">
        <f t="shared" si="4"/>
        <v>1.8333333333333333</v>
      </c>
      <c r="I29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10-Jul-22 - to - 16-Jul-22</v>
      </c>
      <c r="J295" s="24" t="str">
        <f>TEXT(Table1[[#This Row],[Date]],"mmm")</f>
        <v>Jul</v>
      </c>
    </row>
    <row r="296" spans="1:10" ht="15" customHeight="1">
      <c r="A296" s="14" t="s">
        <v>140</v>
      </c>
      <c r="B296" s="15" t="s">
        <v>159</v>
      </c>
      <c r="C296" s="15" t="s">
        <v>83</v>
      </c>
      <c r="D296" s="15" t="s">
        <v>138</v>
      </c>
      <c r="E296" s="15" t="s">
        <v>9</v>
      </c>
      <c r="F296" s="14">
        <v>45</v>
      </c>
      <c r="G296" s="16">
        <v>44753</v>
      </c>
      <c r="H296" s="7">
        <f t="shared" si="4"/>
        <v>0.75</v>
      </c>
      <c r="I29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10-Jul-22 - to - 16-Jul-22</v>
      </c>
      <c r="J296" s="24" t="str">
        <f>TEXT(Table1[[#This Row],[Date]],"mmm")</f>
        <v>Jul</v>
      </c>
    </row>
    <row r="297" spans="1:10" ht="15" customHeight="1">
      <c r="A297" s="14" t="s">
        <v>140</v>
      </c>
      <c r="B297" s="15" t="s">
        <v>159</v>
      </c>
      <c r="C297" s="15" t="s">
        <v>71</v>
      </c>
      <c r="D297" s="15" t="s">
        <v>11</v>
      </c>
      <c r="E297" s="15" t="s">
        <v>71</v>
      </c>
      <c r="F297" s="14">
        <v>50</v>
      </c>
      <c r="G297" s="16">
        <v>44753</v>
      </c>
      <c r="H297" s="7">
        <f t="shared" si="4"/>
        <v>0.83333333333333337</v>
      </c>
      <c r="I29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10-Jul-22 - to - 16-Jul-22</v>
      </c>
      <c r="J297" s="24" t="str">
        <f>TEXT(Table1[[#This Row],[Date]],"mmm")</f>
        <v>Jul</v>
      </c>
    </row>
    <row r="298" spans="1:10" ht="15" customHeight="1">
      <c r="A298" s="14" t="s">
        <v>140</v>
      </c>
      <c r="B298" s="15" t="s">
        <v>159</v>
      </c>
      <c r="C298" s="15" t="s">
        <v>83</v>
      </c>
      <c r="D298" s="15" t="s">
        <v>11</v>
      </c>
      <c r="E298" s="15" t="s">
        <v>9</v>
      </c>
      <c r="F298" s="14">
        <v>20</v>
      </c>
      <c r="G298" s="16">
        <v>44753</v>
      </c>
      <c r="H298" s="7">
        <f t="shared" si="4"/>
        <v>0.33333333333333331</v>
      </c>
      <c r="I29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10-Jul-22 - to - 16-Jul-22</v>
      </c>
      <c r="J298" s="24" t="str">
        <f>TEXT(Table1[[#This Row],[Date]],"mmm")</f>
        <v>Jul</v>
      </c>
    </row>
    <row r="299" spans="1:10" ht="15" customHeight="1">
      <c r="A299" s="14" t="s">
        <v>140</v>
      </c>
      <c r="B299" s="15" t="s">
        <v>6</v>
      </c>
      <c r="C299" s="15" t="s">
        <v>7</v>
      </c>
      <c r="D299" s="15" t="s">
        <v>8</v>
      </c>
      <c r="E299" s="15" t="s">
        <v>9</v>
      </c>
      <c r="F299" s="14">
        <v>20</v>
      </c>
      <c r="G299" s="16">
        <v>44753</v>
      </c>
      <c r="H299" s="7">
        <f t="shared" si="4"/>
        <v>0.33333333333333331</v>
      </c>
      <c r="I29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10-Jul-22 - to - 16-Jul-22</v>
      </c>
      <c r="J299" s="24" t="str">
        <f>TEXT(Table1[[#This Row],[Date]],"mmm")</f>
        <v>Jul</v>
      </c>
    </row>
    <row r="300" spans="1:10" ht="15" customHeight="1">
      <c r="A300" s="14" t="s">
        <v>141</v>
      </c>
      <c r="B300" s="15" t="s">
        <v>36</v>
      </c>
      <c r="C300" s="15" t="s">
        <v>37</v>
      </c>
      <c r="D300" s="15" t="s">
        <v>8</v>
      </c>
      <c r="E300" s="15" t="s">
        <v>6</v>
      </c>
      <c r="F300" s="14">
        <v>60</v>
      </c>
      <c r="G300" s="16">
        <v>44782</v>
      </c>
      <c r="H300" s="7">
        <f t="shared" si="4"/>
        <v>1</v>
      </c>
      <c r="I30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07-Aug-22 - to - 13-Aug-22</v>
      </c>
      <c r="J300" s="24" t="str">
        <f>TEXT(Table1[[#This Row],[Date]],"mmm")</f>
        <v>Aug</v>
      </c>
    </row>
    <row r="301" spans="1:10" ht="15" customHeight="1">
      <c r="A301" s="14" t="s">
        <v>141</v>
      </c>
      <c r="B301" s="15" t="s">
        <v>142</v>
      </c>
      <c r="C301" s="15" t="s">
        <v>137</v>
      </c>
      <c r="D301" s="15" t="s">
        <v>8</v>
      </c>
      <c r="E301" s="15" t="s">
        <v>35</v>
      </c>
      <c r="F301" s="14">
        <v>180</v>
      </c>
      <c r="G301" s="16">
        <v>44782</v>
      </c>
      <c r="H301" s="7">
        <f t="shared" si="4"/>
        <v>3</v>
      </c>
      <c r="I30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07-Aug-22 - to - 13-Aug-22</v>
      </c>
      <c r="J301" s="24" t="str">
        <f>TEXT(Table1[[#This Row],[Date]],"mmm")</f>
        <v>Aug</v>
      </c>
    </row>
    <row r="302" spans="1:10" ht="15" customHeight="1">
      <c r="A302" s="14" t="s">
        <v>141</v>
      </c>
      <c r="B302" s="15" t="s">
        <v>157</v>
      </c>
      <c r="C302" s="15" t="s">
        <v>16</v>
      </c>
      <c r="D302" s="15" t="s">
        <v>8</v>
      </c>
      <c r="E302" s="15" t="s">
        <v>6</v>
      </c>
      <c r="F302" s="14">
        <v>30</v>
      </c>
      <c r="G302" s="16">
        <v>44782</v>
      </c>
      <c r="H302" s="7">
        <f t="shared" si="4"/>
        <v>0.5</v>
      </c>
      <c r="I30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07-Aug-22 - to - 13-Aug-22</v>
      </c>
      <c r="J302" s="24" t="str">
        <f>TEXT(Table1[[#This Row],[Date]],"mmm")</f>
        <v>Aug</v>
      </c>
    </row>
    <row r="303" spans="1:10" ht="15" customHeight="1">
      <c r="A303" s="14" t="s">
        <v>141</v>
      </c>
      <c r="B303" s="15" t="s">
        <v>39</v>
      </c>
      <c r="C303" s="15" t="s">
        <v>40</v>
      </c>
      <c r="D303" s="15" t="s">
        <v>8</v>
      </c>
      <c r="E303" s="15" t="s">
        <v>40</v>
      </c>
      <c r="F303" s="14">
        <v>20</v>
      </c>
      <c r="G303" s="16">
        <v>44782</v>
      </c>
      <c r="H303" s="7">
        <f t="shared" si="4"/>
        <v>0.33333333333333331</v>
      </c>
      <c r="I30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07-Aug-22 - to - 13-Aug-22</v>
      </c>
      <c r="J303" s="24" t="str">
        <f>TEXT(Table1[[#This Row],[Date]],"mmm")</f>
        <v>Aug</v>
      </c>
    </row>
    <row r="304" spans="1:10" ht="15" customHeight="1">
      <c r="A304" s="14" t="s">
        <v>141</v>
      </c>
      <c r="B304" s="15" t="s">
        <v>157</v>
      </c>
      <c r="C304" s="15" t="s">
        <v>44</v>
      </c>
      <c r="D304" s="15" t="s">
        <v>8</v>
      </c>
      <c r="E304" s="15" t="s">
        <v>12</v>
      </c>
      <c r="F304" s="14">
        <v>90</v>
      </c>
      <c r="G304" s="16">
        <v>44782</v>
      </c>
      <c r="H304" s="7">
        <f t="shared" si="4"/>
        <v>1.5</v>
      </c>
      <c r="I30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07-Aug-22 - to - 13-Aug-22</v>
      </c>
      <c r="J304" s="24" t="str">
        <f>TEXT(Table1[[#This Row],[Date]],"mmm")</f>
        <v>Aug</v>
      </c>
    </row>
    <row r="305" spans="1:10" ht="15" customHeight="1">
      <c r="A305" s="14" t="s">
        <v>141</v>
      </c>
      <c r="B305" s="15" t="s">
        <v>39</v>
      </c>
      <c r="C305" s="15" t="s">
        <v>20</v>
      </c>
      <c r="D305" s="15" t="s">
        <v>138</v>
      </c>
      <c r="E305" s="15" t="s">
        <v>20</v>
      </c>
      <c r="F305" s="14">
        <v>25</v>
      </c>
      <c r="G305" s="16">
        <v>44782</v>
      </c>
      <c r="H305" s="7">
        <f t="shared" si="4"/>
        <v>0.41666666666666669</v>
      </c>
      <c r="I30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07-Aug-22 - to - 13-Aug-22</v>
      </c>
      <c r="J305" s="24" t="str">
        <f>TEXT(Table1[[#This Row],[Date]],"mmm")</f>
        <v>Aug</v>
      </c>
    </row>
    <row r="306" spans="1:10" ht="15" customHeight="1">
      <c r="A306" s="14" t="s">
        <v>141</v>
      </c>
      <c r="B306" s="15" t="s">
        <v>142</v>
      </c>
      <c r="C306" s="15" t="s">
        <v>38</v>
      </c>
      <c r="D306" s="15" t="s">
        <v>11</v>
      </c>
      <c r="E306" s="15" t="s">
        <v>38</v>
      </c>
      <c r="F306" s="14">
        <v>30</v>
      </c>
      <c r="G306" s="16">
        <v>44782</v>
      </c>
      <c r="H306" s="7">
        <f t="shared" si="4"/>
        <v>0.5</v>
      </c>
      <c r="I30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07-Aug-22 - to - 13-Aug-22</v>
      </c>
      <c r="J306" s="24" t="str">
        <f>TEXT(Table1[[#This Row],[Date]],"mmm")</f>
        <v>Aug</v>
      </c>
    </row>
    <row r="307" spans="1:10" ht="15" customHeight="1">
      <c r="A307" s="14" t="s">
        <v>141</v>
      </c>
      <c r="B307" s="15" t="s">
        <v>142</v>
      </c>
      <c r="C307" s="15" t="s">
        <v>38</v>
      </c>
      <c r="D307" s="15" t="s">
        <v>11</v>
      </c>
      <c r="E307" s="15" t="s">
        <v>38</v>
      </c>
      <c r="F307" s="14">
        <v>45</v>
      </c>
      <c r="G307" s="16">
        <v>44782</v>
      </c>
      <c r="H307" s="7">
        <f t="shared" si="4"/>
        <v>0.75</v>
      </c>
      <c r="I30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07-Aug-22 - to - 13-Aug-22</v>
      </c>
      <c r="J307" s="24" t="str">
        <f>TEXT(Table1[[#This Row],[Date]],"mmm")</f>
        <v>Aug</v>
      </c>
    </row>
    <row r="308" spans="1:10" ht="15" customHeight="1">
      <c r="A308" s="14" t="s">
        <v>140</v>
      </c>
      <c r="B308" s="15" t="s">
        <v>42</v>
      </c>
      <c r="C308" s="15" t="s">
        <v>43</v>
      </c>
      <c r="D308" s="15" t="s">
        <v>8</v>
      </c>
      <c r="E308" s="15" t="s">
        <v>6</v>
      </c>
      <c r="F308" s="14">
        <v>45</v>
      </c>
      <c r="G308" s="16">
        <v>44782</v>
      </c>
      <c r="H308" s="7">
        <f t="shared" si="4"/>
        <v>0.75</v>
      </c>
      <c r="I30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07-Aug-22 - to - 13-Aug-22</v>
      </c>
      <c r="J308" s="24" t="str">
        <f>TEXT(Table1[[#This Row],[Date]],"mmm")</f>
        <v>Aug</v>
      </c>
    </row>
    <row r="309" spans="1:10" ht="15" customHeight="1">
      <c r="A309" s="14" t="s">
        <v>140</v>
      </c>
      <c r="B309" s="15" t="s">
        <v>159</v>
      </c>
      <c r="C309" s="15" t="s">
        <v>78</v>
      </c>
      <c r="D309" s="15" t="s">
        <v>11</v>
      </c>
      <c r="E309" s="15" t="s">
        <v>6</v>
      </c>
      <c r="F309" s="14">
        <v>55</v>
      </c>
      <c r="G309" s="16">
        <v>44782</v>
      </c>
      <c r="H309" s="7">
        <f t="shared" si="4"/>
        <v>0.91666666666666663</v>
      </c>
      <c r="I30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07-Aug-22 - to - 13-Aug-22</v>
      </c>
      <c r="J309" s="24" t="str">
        <f>TEXT(Table1[[#This Row],[Date]],"mmm")</f>
        <v>Aug</v>
      </c>
    </row>
    <row r="310" spans="1:10" ht="15" customHeight="1">
      <c r="A310" s="14" t="s">
        <v>140</v>
      </c>
      <c r="B310" s="15" t="s">
        <v>159</v>
      </c>
      <c r="C310" s="15" t="s">
        <v>17</v>
      </c>
      <c r="D310" s="15" t="s">
        <v>11</v>
      </c>
      <c r="E310" s="15" t="s">
        <v>17</v>
      </c>
      <c r="F310" s="14">
        <v>120</v>
      </c>
      <c r="G310" s="16">
        <v>44782</v>
      </c>
      <c r="H310" s="7">
        <f t="shared" si="4"/>
        <v>2</v>
      </c>
      <c r="I31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07-Aug-22 - to - 13-Aug-22</v>
      </c>
      <c r="J310" s="24" t="str">
        <f>TEXT(Table1[[#This Row],[Date]],"mmm")</f>
        <v>Aug</v>
      </c>
    </row>
    <row r="311" spans="1:10" ht="15" customHeight="1">
      <c r="A311" s="14" t="s">
        <v>140</v>
      </c>
      <c r="B311" s="15" t="s">
        <v>154</v>
      </c>
      <c r="C311" s="15" t="s">
        <v>38</v>
      </c>
      <c r="D311" s="15" t="s">
        <v>138</v>
      </c>
      <c r="E311" s="15" t="s">
        <v>38</v>
      </c>
      <c r="F311" s="14">
        <v>35</v>
      </c>
      <c r="G311" s="16">
        <v>44782</v>
      </c>
      <c r="H311" s="7">
        <f t="shared" si="4"/>
        <v>0.58333333333333337</v>
      </c>
      <c r="I31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07-Aug-22 - to - 13-Aug-22</v>
      </c>
      <c r="J311" s="24" t="str">
        <f>TEXT(Table1[[#This Row],[Date]],"mmm")</f>
        <v>Aug</v>
      </c>
    </row>
    <row r="312" spans="1:10" ht="15" customHeight="1">
      <c r="A312" s="14" t="s">
        <v>140</v>
      </c>
      <c r="B312" s="15" t="s">
        <v>42</v>
      </c>
      <c r="C312" s="15" t="s">
        <v>10</v>
      </c>
      <c r="D312" s="15" t="s">
        <v>8</v>
      </c>
      <c r="E312" s="15" t="s">
        <v>6</v>
      </c>
      <c r="F312" s="14">
        <v>20</v>
      </c>
      <c r="G312" s="16">
        <v>44782</v>
      </c>
      <c r="H312" s="7">
        <f t="shared" si="4"/>
        <v>0.33333333333333331</v>
      </c>
      <c r="I31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07-Aug-22 - to - 13-Aug-22</v>
      </c>
      <c r="J312" s="24" t="str">
        <f>TEXT(Table1[[#This Row],[Date]],"mmm")</f>
        <v>Aug</v>
      </c>
    </row>
    <row r="313" spans="1:10" ht="15" customHeight="1">
      <c r="A313" s="14" t="s">
        <v>140</v>
      </c>
      <c r="B313" s="15" t="s">
        <v>159</v>
      </c>
      <c r="C313" s="15" t="s">
        <v>44</v>
      </c>
      <c r="D313" s="15" t="s">
        <v>8</v>
      </c>
      <c r="E313" s="15" t="s">
        <v>12</v>
      </c>
      <c r="F313" s="14">
        <v>140</v>
      </c>
      <c r="G313" s="16">
        <v>44782</v>
      </c>
      <c r="H313" s="7">
        <f t="shared" si="4"/>
        <v>2.3333333333333335</v>
      </c>
      <c r="I31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07-Aug-22 - to - 13-Aug-22</v>
      </c>
      <c r="J313" s="24" t="str">
        <f>TEXT(Table1[[#This Row],[Date]],"mmm")</f>
        <v>Aug</v>
      </c>
    </row>
    <row r="314" spans="1:10" ht="15" customHeight="1">
      <c r="A314" s="14" t="s">
        <v>140</v>
      </c>
      <c r="B314" s="15" t="s">
        <v>159</v>
      </c>
      <c r="C314" s="15" t="s">
        <v>20</v>
      </c>
      <c r="D314" s="15" t="s">
        <v>11</v>
      </c>
      <c r="E314" s="15" t="s">
        <v>6</v>
      </c>
      <c r="F314" s="14">
        <v>30</v>
      </c>
      <c r="G314" s="16">
        <v>44782</v>
      </c>
      <c r="H314" s="7">
        <f t="shared" si="4"/>
        <v>0.5</v>
      </c>
      <c r="I31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07-Aug-22 - to - 13-Aug-22</v>
      </c>
      <c r="J314" s="24" t="str">
        <f>TEXT(Table1[[#This Row],[Date]],"mmm")</f>
        <v>Aug</v>
      </c>
    </row>
    <row r="315" spans="1:10" ht="15" customHeight="1">
      <c r="A315" s="14" t="s">
        <v>140</v>
      </c>
      <c r="B315" s="15" t="s">
        <v>160</v>
      </c>
      <c r="C315" s="15" t="s">
        <v>17</v>
      </c>
      <c r="D315" s="15" t="s">
        <v>11</v>
      </c>
      <c r="E315" s="15" t="s">
        <v>17</v>
      </c>
      <c r="F315" s="14">
        <v>45</v>
      </c>
      <c r="G315" s="16">
        <v>44782</v>
      </c>
      <c r="H315" s="7">
        <f t="shared" si="4"/>
        <v>0.75</v>
      </c>
      <c r="I31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07-Aug-22 - to - 13-Aug-22</v>
      </c>
      <c r="J315" s="24" t="str">
        <f>TEXT(Table1[[#This Row],[Date]],"mmm")</f>
        <v>Aug</v>
      </c>
    </row>
    <row r="316" spans="1:10" ht="15" customHeight="1">
      <c r="A316" s="14" t="s">
        <v>141</v>
      </c>
      <c r="B316" s="15" t="s">
        <v>10</v>
      </c>
      <c r="C316" s="15" t="s">
        <v>10</v>
      </c>
      <c r="D316" s="15" t="s">
        <v>8</v>
      </c>
      <c r="E316" s="15" t="s">
        <v>10</v>
      </c>
      <c r="F316" s="14">
        <v>20</v>
      </c>
      <c r="G316" s="16">
        <v>44783</v>
      </c>
      <c r="H316" s="7">
        <f t="shared" si="4"/>
        <v>0.33333333333333331</v>
      </c>
      <c r="I31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07-Aug-22 - to - 13-Aug-22</v>
      </c>
      <c r="J316" s="24" t="str">
        <f>TEXT(Table1[[#This Row],[Date]],"mmm")</f>
        <v>Aug</v>
      </c>
    </row>
    <row r="317" spans="1:10" ht="15" customHeight="1">
      <c r="A317" s="14" t="s">
        <v>141</v>
      </c>
      <c r="B317" s="15" t="s">
        <v>142</v>
      </c>
      <c r="C317" s="15" t="s">
        <v>137</v>
      </c>
      <c r="D317" s="15" t="s">
        <v>8</v>
      </c>
      <c r="E317" s="15" t="s">
        <v>35</v>
      </c>
      <c r="F317" s="14">
        <v>120</v>
      </c>
      <c r="G317" s="16">
        <v>44783</v>
      </c>
      <c r="H317" s="7">
        <f t="shared" si="4"/>
        <v>2</v>
      </c>
      <c r="I31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07-Aug-22 - to - 13-Aug-22</v>
      </c>
      <c r="J317" s="24" t="str">
        <f>TEXT(Table1[[#This Row],[Date]],"mmm")</f>
        <v>Aug</v>
      </c>
    </row>
    <row r="318" spans="1:10" ht="15" customHeight="1">
      <c r="A318" s="14" t="s">
        <v>141</v>
      </c>
      <c r="B318" s="15" t="s">
        <v>36</v>
      </c>
      <c r="C318" s="15" t="s">
        <v>37</v>
      </c>
      <c r="D318" s="15" t="s">
        <v>8</v>
      </c>
      <c r="E318" s="15" t="s">
        <v>36</v>
      </c>
      <c r="F318" s="14">
        <v>60</v>
      </c>
      <c r="G318" s="16">
        <v>44783</v>
      </c>
      <c r="H318" s="7">
        <f t="shared" si="4"/>
        <v>1</v>
      </c>
      <c r="I31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07-Aug-22 - to - 13-Aug-22</v>
      </c>
      <c r="J318" s="24" t="str">
        <f>TEXT(Table1[[#This Row],[Date]],"mmm")</f>
        <v>Aug</v>
      </c>
    </row>
    <row r="319" spans="1:10" ht="15" customHeight="1">
      <c r="A319" s="14" t="s">
        <v>141</v>
      </c>
      <c r="B319" s="15" t="s">
        <v>157</v>
      </c>
      <c r="C319" s="15" t="s">
        <v>16</v>
      </c>
      <c r="D319" s="15" t="s">
        <v>8</v>
      </c>
      <c r="E319" s="15" t="s">
        <v>9</v>
      </c>
      <c r="F319" s="14">
        <v>30</v>
      </c>
      <c r="G319" s="16">
        <v>44783</v>
      </c>
      <c r="H319" s="7">
        <f t="shared" si="4"/>
        <v>0.5</v>
      </c>
      <c r="I31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07-Aug-22 - to - 13-Aug-22</v>
      </c>
      <c r="J319" s="24" t="str">
        <f>TEXT(Table1[[#This Row],[Date]],"mmm")</f>
        <v>Aug</v>
      </c>
    </row>
    <row r="320" spans="1:10" ht="15" customHeight="1">
      <c r="A320" s="14" t="s">
        <v>141</v>
      </c>
      <c r="B320" s="15" t="s">
        <v>157</v>
      </c>
      <c r="C320" s="15" t="s">
        <v>44</v>
      </c>
      <c r="D320" s="15" t="s">
        <v>8</v>
      </c>
      <c r="E320" s="15" t="s">
        <v>12</v>
      </c>
      <c r="F320" s="14">
        <v>90</v>
      </c>
      <c r="G320" s="16">
        <v>44783</v>
      </c>
      <c r="H320" s="7">
        <f t="shared" si="4"/>
        <v>1.5</v>
      </c>
      <c r="I32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07-Aug-22 - to - 13-Aug-22</v>
      </c>
      <c r="J320" s="24" t="str">
        <f>TEXT(Table1[[#This Row],[Date]],"mmm")</f>
        <v>Aug</v>
      </c>
    </row>
    <row r="321" spans="1:10" ht="15" customHeight="1">
      <c r="A321" s="14" t="s">
        <v>141</v>
      </c>
      <c r="B321" s="15" t="s">
        <v>142</v>
      </c>
      <c r="C321" s="15" t="s">
        <v>9</v>
      </c>
      <c r="D321" s="15" t="s">
        <v>8</v>
      </c>
      <c r="E321" s="15" t="s">
        <v>9</v>
      </c>
      <c r="F321" s="14">
        <v>30</v>
      </c>
      <c r="G321" s="16">
        <v>44783</v>
      </c>
      <c r="H321" s="7">
        <f t="shared" si="4"/>
        <v>0.5</v>
      </c>
      <c r="I32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07-Aug-22 - to - 13-Aug-22</v>
      </c>
      <c r="J321" s="24" t="str">
        <f>TEXT(Table1[[#This Row],[Date]],"mmm")</f>
        <v>Aug</v>
      </c>
    </row>
    <row r="322" spans="1:10" ht="15" customHeight="1">
      <c r="A322" s="14" t="s">
        <v>141</v>
      </c>
      <c r="B322" s="15" t="s">
        <v>142</v>
      </c>
      <c r="C322" s="15" t="s">
        <v>6</v>
      </c>
      <c r="D322" s="15" t="s">
        <v>11</v>
      </c>
      <c r="E322" s="15" t="s">
        <v>6</v>
      </c>
      <c r="F322" s="14">
        <v>30</v>
      </c>
      <c r="G322" s="16">
        <v>44783</v>
      </c>
      <c r="H322" s="7">
        <f t="shared" ref="H322:H385" si="5">IFERROR(IF(ISBLANK(F322)=TRUE(),"",F322/60),"")</f>
        <v>0.5</v>
      </c>
      <c r="I32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07-Aug-22 - to - 13-Aug-22</v>
      </c>
      <c r="J322" s="24" t="str">
        <f>TEXT(Table1[[#This Row],[Date]],"mmm")</f>
        <v>Aug</v>
      </c>
    </row>
    <row r="323" spans="1:10" ht="15" customHeight="1">
      <c r="A323" s="14" t="s">
        <v>141</v>
      </c>
      <c r="B323" s="15" t="s">
        <v>142</v>
      </c>
      <c r="C323" s="15" t="s">
        <v>17</v>
      </c>
      <c r="D323" s="15" t="s">
        <v>8</v>
      </c>
      <c r="E323" s="15" t="s">
        <v>17</v>
      </c>
      <c r="F323" s="14">
        <v>120</v>
      </c>
      <c r="G323" s="16">
        <v>44783</v>
      </c>
      <c r="H323" s="7">
        <f t="shared" si="5"/>
        <v>2</v>
      </c>
      <c r="I32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07-Aug-22 - to - 13-Aug-22</v>
      </c>
      <c r="J323" s="24" t="str">
        <f>TEXT(Table1[[#This Row],[Date]],"mmm")</f>
        <v>Aug</v>
      </c>
    </row>
    <row r="324" spans="1:10" ht="15" customHeight="1">
      <c r="A324" s="14" t="s">
        <v>140</v>
      </c>
      <c r="B324" s="15" t="s">
        <v>159</v>
      </c>
      <c r="C324" s="15" t="s">
        <v>47</v>
      </c>
      <c r="D324" s="15" t="s">
        <v>8</v>
      </c>
      <c r="E324" s="15" t="s">
        <v>9</v>
      </c>
      <c r="F324" s="14">
        <v>30</v>
      </c>
      <c r="G324" s="16">
        <v>44783</v>
      </c>
      <c r="H324" s="7">
        <f t="shared" si="5"/>
        <v>0.5</v>
      </c>
      <c r="I32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07-Aug-22 - to - 13-Aug-22</v>
      </c>
      <c r="J324" s="24" t="str">
        <f>TEXT(Table1[[#This Row],[Date]],"mmm")</f>
        <v>Aug</v>
      </c>
    </row>
    <row r="325" spans="1:10" ht="15" customHeight="1">
      <c r="A325" s="14" t="s">
        <v>140</v>
      </c>
      <c r="B325" s="15" t="s">
        <v>10</v>
      </c>
      <c r="C325" s="15" t="s">
        <v>10</v>
      </c>
      <c r="D325" s="15" t="s">
        <v>8</v>
      </c>
      <c r="E325" s="15" t="s">
        <v>10</v>
      </c>
      <c r="F325" s="14">
        <v>25</v>
      </c>
      <c r="G325" s="16">
        <v>44783</v>
      </c>
      <c r="H325" s="7">
        <f t="shared" si="5"/>
        <v>0.41666666666666669</v>
      </c>
      <c r="I32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07-Aug-22 - to - 13-Aug-22</v>
      </c>
      <c r="J325" s="24" t="str">
        <f>TEXT(Table1[[#This Row],[Date]],"mmm")</f>
        <v>Aug</v>
      </c>
    </row>
    <row r="326" spans="1:10" ht="15" customHeight="1">
      <c r="A326" s="14" t="s">
        <v>140</v>
      </c>
      <c r="B326" s="15" t="s">
        <v>152</v>
      </c>
      <c r="C326" s="15" t="s">
        <v>153</v>
      </c>
      <c r="D326" s="15" t="s">
        <v>8</v>
      </c>
      <c r="E326" s="15" t="s">
        <v>12</v>
      </c>
      <c r="F326" s="14">
        <v>35</v>
      </c>
      <c r="G326" s="16">
        <v>44783</v>
      </c>
      <c r="H326" s="7">
        <f t="shared" si="5"/>
        <v>0.58333333333333337</v>
      </c>
      <c r="I32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07-Aug-22 - to - 13-Aug-22</v>
      </c>
      <c r="J326" s="24" t="str">
        <f>TEXT(Table1[[#This Row],[Date]],"mmm")</f>
        <v>Aug</v>
      </c>
    </row>
    <row r="327" spans="1:10" ht="15" customHeight="1">
      <c r="A327" s="14" t="s">
        <v>140</v>
      </c>
      <c r="B327" s="15" t="s">
        <v>160</v>
      </c>
      <c r="C327" s="15" t="s">
        <v>17</v>
      </c>
      <c r="D327" s="15" t="s">
        <v>11</v>
      </c>
      <c r="E327" s="15" t="s">
        <v>9</v>
      </c>
      <c r="F327" s="14">
        <v>30</v>
      </c>
      <c r="G327" s="16">
        <v>44783</v>
      </c>
      <c r="H327" s="7">
        <f t="shared" si="5"/>
        <v>0.5</v>
      </c>
      <c r="I32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07-Aug-22 - to - 13-Aug-22</v>
      </c>
      <c r="J327" s="24" t="str">
        <f>TEXT(Table1[[#This Row],[Date]],"mmm")</f>
        <v>Aug</v>
      </c>
    </row>
    <row r="328" spans="1:10" ht="15" customHeight="1">
      <c r="A328" s="14" t="s">
        <v>140</v>
      </c>
      <c r="B328" s="15" t="s">
        <v>159</v>
      </c>
      <c r="C328" s="15" t="s">
        <v>161</v>
      </c>
      <c r="D328" s="15" t="s">
        <v>8</v>
      </c>
      <c r="E328" s="15" t="s">
        <v>9</v>
      </c>
      <c r="F328" s="14">
        <v>25</v>
      </c>
      <c r="G328" s="16">
        <v>44783</v>
      </c>
      <c r="H328" s="7">
        <f t="shared" si="5"/>
        <v>0.41666666666666669</v>
      </c>
      <c r="I32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07-Aug-22 - to - 13-Aug-22</v>
      </c>
      <c r="J328" s="24" t="str">
        <f>TEXT(Table1[[#This Row],[Date]],"mmm")</f>
        <v>Aug</v>
      </c>
    </row>
    <row r="329" spans="1:10" ht="15" customHeight="1">
      <c r="A329" s="14" t="s">
        <v>140</v>
      </c>
      <c r="B329" s="15" t="s">
        <v>159</v>
      </c>
      <c r="C329" s="15" t="s">
        <v>44</v>
      </c>
      <c r="D329" s="15" t="s">
        <v>8</v>
      </c>
      <c r="E329" s="15" t="s">
        <v>12</v>
      </c>
      <c r="F329" s="14">
        <v>85</v>
      </c>
      <c r="G329" s="16">
        <v>44783</v>
      </c>
      <c r="H329" s="7">
        <f t="shared" si="5"/>
        <v>1.4166666666666667</v>
      </c>
      <c r="I32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07-Aug-22 - to - 13-Aug-22</v>
      </c>
      <c r="J329" s="24" t="str">
        <f>TEXT(Table1[[#This Row],[Date]],"mmm")</f>
        <v>Aug</v>
      </c>
    </row>
    <row r="330" spans="1:10" ht="15" customHeight="1">
      <c r="A330" s="14" t="s">
        <v>140</v>
      </c>
      <c r="B330" s="15" t="s">
        <v>154</v>
      </c>
      <c r="C330" s="15" t="s">
        <v>17</v>
      </c>
      <c r="D330" s="15" t="s">
        <v>11</v>
      </c>
      <c r="E330" s="15" t="s">
        <v>17</v>
      </c>
      <c r="F330" s="14">
        <v>25</v>
      </c>
      <c r="G330" s="16">
        <v>44783</v>
      </c>
      <c r="H330" s="7">
        <f t="shared" si="5"/>
        <v>0.41666666666666669</v>
      </c>
      <c r="I33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07-Aug-22 - to - 13-Aug-22</v>
      </c>
      <c r="J330" s="24" t="str">
        <f>TEXT(Table1[[#This Row],[Date]],"mmm")</f>
        <v>Aug</v>
      </c>
    </row>
    <row r="331" spans="1:10" ht="15" customHeight="1">
      <c r="A331" s="14" t="s">
        <v>140</v>
      </c>
      <c r="B331" s="15" t="s">
        <v>159</v>
      </c>
      <c r="C331" s="15" t="s">
        <v>176</v>
      </c>
      <c r="D331" s="15" t="s">
        <v>13</v>
      </c>
      <c r="E331" s="15" t="s">
        <v>176</v>
      </c>
      <c r="F331" s="14">
        <v>35</v>
      </c>
      <c r="G331" s="16">
        <v>44783</v>
      </c>
      <c r="H331" s="7">
        <f t="shared" si="5"/>
        <v>0.58333333333333337</v>
      </c>
      <c r="I33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07-Aug-22 - to - 13-Aug-22</v>
      </c>
      <c r="J331" s="24" t="str">
        <f>TEXT(Table1[[#This Row],[Date]],"mmm")</f>
        <v>Aug</v>
      </c>
    </row>
    <row r="332" spans="1:10" ht="15" customHeight="1">
      <c r="A332" s="14" t="s">
        <v>140</v>
      </c>
      <c r="B332" s="15" t="s">
        <v>160</v>
      </c>
      <c r="C332" s="15" t="s">
        <v>50</v>
      </c>
      <c r="D332" s="15" t="s">
        <v>11</v>
      </c>
      <c r="E332" s="15" t="s">
        <v>9</v>
      </c>
      <c r="F332" s="14">
        <v>60</v>
      </c>
      <c r="G332" s="16">
        <v>44783</v>
      </c>
      <c r="H332" s="7">
        <f t="shared" si="5"/>
        <v>1</v>
      </c>
      <c r="I33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07-Aug-22 - to - 13-Aug-22</v>
      </c>
      <c r="J332" s="24" t="str">
        <f>TEXT(Table1[[#This Row],[Date]],"mmm")</f>
        <v>Aug</v>
      </c>
    </row>
    <row r="333" spans="1:10" ht="15" customHeight="1">
      <c r="A333" s="14" t="s">
        <v>140</v>
      </c>
      <c r="B333" s="15" t="s">
        <v>159</v>
      </c>
      <c r="C333" s="15" t="s">
        <v>70</v>
      </c>
      <c r="D333" s="15" t="s">
        <v>69</v>
      </c>
      <c r="E333" s="15" t="s">
        <v>70</v>
      </c>
      <c r="F333" s="14">
        <v>35</v>
      </c>
      <c r="G333" s="16">
        <v>44783</v>
      </c>
      <c r="H333" s="7">
        <f t="shared" si="5"/>
        <v>0.58333333333333337</v>
      </c>
      <c r="I33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07-Aug-22 - to - 13-Aug-22</v>
      </c>
      <c r="J333" s="24" t="str">
        <f>TEXT(Table1[[#This Row],[Date]],"mmm")</f>
        <v>Aug</v>
      </c>
    </row>
    <row r="334" spans="1:10" ht="15" customHeight="1">
      <c r="A334" s="14" t="s">
        <v>140</v>
      </c>
      <c r="B334" s="15" t="s">
        <v>159</v>
      </c>
      <c r="C334" s="15" t="s">
        <v>71</v>
      </c>
      <c r="D334" s="15" t="s">
        <v>11</v>
      </c>
      <c r="E334" s="15" t="s">
        <v>71</v>
      </c>
      <c r="F334" s="14">
        <v>30</v>
      </c>
      <c r="G334" s="16">
        <v>44783</v>
      </c>
      <c r="H334" s="7">
        <f t="shared" si="5"/>
        <v>0.5</v>
      </c>
      <c r="I33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07-Aug-22 - to - 13-Aug-22</v>
      </c>
      <c r="J334" s="24" t="str">
        <f>TEXT(Table1[[#This Row],[Date]],"mmm")</f>
        <v>Aug</v>
      </c>
    </row>
    <row r="335" spans="1:10" ht="15" customHeight="1">
      <c r="A335" s="14" t="s">
        <v>140</v>
      </c>
      <c r="B335" s="15" t="s">
        <v>160</v>
      </c>
      <c r="C335" s="15" t="s">
        <v>17</v>
      </c>
      <c r="D335" s="15" t="s">
        <v>11</v>
      </c>
      <c r="E335" s="15" t="s">
        <v>17</v>
      </c>
      <c r="F335" s="14">
        <v>45</v>
      </c>
      <c r="G335" s="16">
        <v>44783</v>
      </c>
      <c r="H335" s="7">
        <f t="shared" si="5"/>
        <v>0.75</v>
      </c>
      <c r="I33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07-Aug-22 - to - 13-Aug-22</v>
      </c>
      <c r="J335" s="24" t="str">
        <f>TEXT(Table1[[#This Row],[Date]],"mmm")</f>
        <v>Aug</v>
      </c>
    </row>
    <row r="336" spans="1:10" ht="15" customHeight="1">
      <c r="A336" s="14" t="s">
        <v>140</v>
      </c>
      <c r="B336" s="15" t="s">
        <v>144</v>
      </c>
      <c r="C336" s="15" t="s">
        <v>50</v>
      </c>
      <c r="D336" s="15" t="s">
        <v>11</v>
      </c>
      <c r="E336" s="15" t="s">
        <v>9</v>
      </c>
      <c r="F336" s="14">
        <v>25</v>
      </c>
      <c r="G336" s="16">
        <v>44783</v>
      </c>
      <c r="H336" s="7">
        <f t="shared" si="5"/>
        <v>0.41666666666666669</v>
      </c>
      <c r="I33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07-Aug-22 - to - 13-Aug-22</v>
      </c>
      <c r="J336" s="24" t="str">
        <f>TEXT(Table1[[#This Row],[Date]],"mmm")</f>
        <v>Aug</v>
      </c>
    </row>
    <row r="337" spans="1:10" ht="15" customHeight="1">
      <c r="A337" s="14" t="s">
        <v>140</v>
      </c>
      <c r="B337" s="15" t="s">
        <v>159</v>
      </c>
      <c r="C337" s="15" t="s">
        <v>15</v>
      </c>
      <c r="D337" s="15" t="s">
        <v>11</v>
      </c>
      <c r="E337" s="15" t="s">
        <v>9</v>
      </c>
      <c r="F337" s="14">
        <v>25</v>
      </c>
      <c r="G337" s="16">
        <v>44783</v>
      </c>
      <c r="H337" s="7">
        <f t="shared" si="5"/>
        <v>0.41666666666666669</v>
      </c>
      <c r="I33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07-Aug-22 - to - 13-Aug-22</v>
      </c>
      <c r="J337" s="24" t="str">
        <f>TEXT(Table1[[#This Row],[Date]],"mmm")</f>
        <v>Aug</v>
      </c>
    </row>
    <row r="338" spans="1:10" ht="15" customHeight="1">
      <c r="A338" s="14" t="s">
        <v>140</v>
      </c>
      <c r="B338" s="15" t="s">
        <v>160</v>
      </c>
      <c r="C338" s="15" t="s">
        <v>15</v>
      </c>
      <c r="D338" s="15" t="s">
        <v>11</v>
      </c>
      <c r="E338" s="15" t="s">
        <v>9</v>
      </c>
      <c r="F338" s="14">
        <v>25</v>
      </c>
      <c r="G338" s="16">
        <v>44783</v>
      </c>
      <c r="H338" s="7">
        <f t="shared" si="5"/>
        <v>0.41666666666666669</v>
      </c>
      <c r="I33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07-Aug-22 - to - 13-Aug-22</v>
      </c>
      <c r="J338" s="24" t="str">
        <f>TEXT(Table1[[#This Row],[Date]],"mmm")</f>
        <v>Aug</v>
      </c>
    </row>
    <row r="339" spans="1:10" ht="15" customHeight="1">
      <c r="A339" s="14" t="s">
        <v>141</v>
      </c>
      <c r="B339" s="15" t="s">
        <v>10</v>
      </c>
      <c r="C339" s="15" t="s">
        <v>10</v>
      </c>
      <c r="D339" s="15" t="s">
        <v>8</v>
      </c>
      <c r="E339" s="15" t="s">
        <v>10</v>
      </c>
      <c r="F339" s="14">
        <v>40</v>
      </c>
      <c r="G339" s="16">
        <v>44784</v>
      </c>
      <c r="H339" s="7">
        <f t="shared" si="5"/>
        <v>0.66666666666666663</v>
      </c>
      <c r="I33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07-Aug-22 - to - 13-Aug-22</v>
      </c>
      <c r="J339" s="24" t="str">
        <f>TEXT(Table1[[#This Row],[Date]],"mmm")</f>
        <v>Aug</v>
      </c>
    </row>
    <row r="340" spans="1:10" ht="15" customHeight="1">
      <c r="A340" s="14" t="s">
        <v>141</v>
      </c>
      <c r="B340" s="15" t="s">
        <v>36</v>
      </c>
      <c r="C340" s="15" t="s">
        <v>37</v>
      </c>
      <c r="D340" s="15" t="s">
        <v>8</v>
      </c>
      <c r="E340" s="15" t="s">
        <v>36</v>
      </c>
      <c r="F340" s="14">
        <v>45</v>
      </c>
      <c r="G340" s="16">
        <v>44784</v>
      </c>
      <c r="H340" s="7">
        <f t="shared" si="5"/>
        <v>0.75</v>
      </c>
      <c r="I34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07-Aug-22 - to - 13-Aug-22</v>
      </c>
      <c r="J340" s="24" t="str">
        <f>TEXT(Table1[[#This Row],[Date]],"mmm")</f>
        <v>Aug</v>
      </c>
    </row>
    <row r="341" spans="1:10" ht="15" customHeight="1">
      <c r="A341" s="14" t="s">
        <v>141</v>
      </c>
      <c r="B341" s="15" t="s">
        <v>157</v>
      </c>
      <c r="C341" s="15" t="s">
        <v>16</v>
      </c>
      <c r="D341" s="15" t="s">
        <v>8</v>
      </c>
      <c r="E341" s="15" t="s">
        <v>9</v>
      </c>
      <c r="F341" s="14">
        <v>15</v>
      </c>
      <c r="G341" s="16">
        <v>44784</v>
      </c>
      <c r="H341" s="7">
        <f t="shared" si="5"/>
        <v>0.25</v>
      </c>
      <c r="I34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07-Aug-22 - to - 13-Aug-22</v>
      </c>
      <c r="J341" s="24" t="str">
        <f>TEXT(Table1[[#This Row],[Date]],"mmm")</f>
        <v>Aug</v>
      </c>
    </row>
    <row r="342" spans="1:10" ht="15" customHeight="1">
      <c r="A342" s="14" t="s">
        <v>141</v>
      </c>
      <c r="B342" s="15" t="s">
        <v>142</v>
      </c>
      <c r="C342" s="15" t="s">
        <v>75</v>
      </c>
      <c r="D342" s="15" t="s">
        <v>69</v>
      </c>
      <c r="E342" s="15" t="s">
        <v>75</v>
      </c>
      <c r="F342" s="14">
        <v>200</v>
      </c>
      <c r="G342" s="16">
        <v>44784</v>
      </c>
      <c r="H342" s="7">
        <f t="shared" si="5"/>
        <v>3.3333333333333335</v>
      </c>
      <c r="I34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07-Aug-22 - to - 13-Aug-22</v>
      </c>
      <c r="J342" s="24" t="str">
        <f>TEXT(Table1[[#This Row],[Date]],"mmm")</f>
        <v>Aug</v>
      </c>
    </row>
    <row r="343" spans="1:10" ht="15" customHeight="1">
      <c r="A343" s="14" t="s">
        <v>141</v>
      </c>
      <c r="B343" s="15" t="s">
        <v>158</v>
      </c>
      <c r="C343" s="15" t="s">
        <v>20</v>
      </c>
      <c r="D343" s="15" t="s">
        <v>138</v>
      </c>
      <c r="E343" s="15" t="s">
        <v>20</v>
      </c>
      <c r="F343" s="14">
        <v>25</v>
      </c>
      <c r="G343" s="16">
        <v>44784</v>
      </c>
      <c r="H343" s="7">
        <f t="shared" si="5"/>
        <v>0.41666666666666669</v>
      </c>
      <c r="I34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07-Aug-22 - to - 13-Aug-22</v>
      </c>
      <c r="J343" s="24" t="str">
        <f>TEXT(Table1[[#This Row],[Date]],"mmm")</f>
        <v>Aug</v>
      </c>
    </row>
    <row r="344" spans="1:10" ht="15" customHeight="1">
      <c r="A344" s="14" t="s">
        <v>141</v>
      </c>
      <c r="B344" s="15" t="s">
        <v>142</v>
      </c>
      <c r="C344" s="15" t="s">
        <v>137</v>
      </c>
      <c r="D344" s="15" t="s">
        <v>8</v>
      </c>
      <c r="E344" s="15" t="s">
        <v>35</v>
      </c>
      <c r="F344" s="14">
        <v>90</v>
      </c>
      <c r="G344" s="16">
        <v>44784</v>
      </c>
      <c r="H344" s="7">
        <f t="shared" si="5"/>
        <v>1.5</v>
      </c>
      <c r="I34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07-Aug-22 - to - 13-Aug-22</v>
      </c>
      <c r="J344" s="24" t="str">
        <f>TEXT(Table1[[#This Row],[Date]],"mmm")</f>
        <v>Aug</v>
      </c>
    </row>
    <row r="345" spans="1:10" ht="15" customHeight="1">
      <c r="A345" s="14" t="s">
        <v>141</v>
      </c>
      <c r="B345" s="15" t="s">
        <v>157</v>
      </c>
      <c r="C345" s="15" t="s">
        <v>44</v>
      </c>
      <c r="D345" s="15" t="s">
        <v>8</v>
      </c>
      <c r="E345" s="15" t="s">
        <v>12</v>
      </c>
      <c r="F345" s="14">
        <v>90</v>
      </c>
      <c r="G345" s="16">
        <v>44784</v>
      </c>
      <c r="H345" s="7">
        <f t="shared" si="5"/>
        <v>1.5</v>
      </c>
      <c r="I34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07-Aug-22 - to - 13-Aug-22</v>
      </c>
      <c r="J345" s="24" t="str">
        <f>TEXT(Table1[[#This Row],[Date]],"mmm")</f>
        <v>Aug</v>
      </c>
    </row>
    <row r="346" spans="1:10" ht="15" customHeight="1">
      <c r="A346" s="14" t="s">
        <v>140</v>
      </c>
      <c r="B346" s="15" t="s">
        <v>159</v>
      </c>
      <c r="C346" s="15" t="s">
        <v>48</v>
      </c>
      <c r="D346" s="15" t="s">
        <v>11</v>
      </c>
      <c r="E346" s="15" t="s">
        <v>88</v>
      </c>
      <c r="F346" s="14">
        <v>20</v>
      </c>
      <c r="G346" s="16">
        <v>44784</v>
      </c>
      <c r="H346" s="7">
        <f t="shared" si="5"/>
        <v>0.33333333333333331</v>
      </c>
      <c r="I34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07-Aug-22 - to - 13-Aug-22</v>
      </c>
      <c r="J346" s="24" t="str">
        <f>TEXT(Table1[[#This Row],[Date]],"mmm")</f>
        <v>Aug</v>
      </c>
    </row>
    <row r="347" spans="1:10" ht="15" customHeight="1">
      <c r="A347" s="14" t="s">
        <v>140</v>
      </c>
      <c r="B347" s="15" t="s">
        <v>10</v>
      </c>
      <c r="C347" s="15" t="s">
        <v>10</v>
      </c>
      <c r="D347" s="15" t="s">
        <v>8</v>
      </c>
      <c r="E347" s="15" t="s">
        <v>10</v>
      </c>
      <c r="F347" s="14">
        <v>20</v>
      </c>
      <c r="G347" s="16">
        <v>44784</v>
      </c>
      <c r="H347" s="7">
        <f t="shared" si="5"/>
        <v>0.33333333333333331</v>
      </c>
      <c r="I34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07-Aug-22 - to - 13-Aug-22</v>
      </c>
      <c r="J347" s="24" t="str">
        <f>TEXT(Table1[[#This Row],[Date]],"mmm")</f>
        <v>Aug</v>
      </c>
    </row>
    <row r="348" spans="1:10" ht="15" customHeight="1">
      <c r="A348" s="14" t="s">
        <v>140</v>
      </c>
      <c r="B348" s="15" t="s">
        <v>20</v>
      </c>
      <c r="C348" s="15" t="s">
        <v>20</v>
      </c>
      <c r="D348" s="15" t="s">
        <v>11</v>
      </c>
      <c r="E348" s="15" t="s">
        <v>20</v>
      </c>
      <c r="F348" s="14">
        <v>60</v>
      </c>
      <c r="G348" s="16">
        <v>44784</v>
      </c>
      <c r="H348" s="7">
        <f t="shared" si="5"/>
        <v>1</v>
      </c>
      <c r="I34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07-Aug-22 - to - 13-Aug-22</v>
      </c>
      <c r="J348" s="24" t="str">
        <f>TEXT(Table1[[#This Row],[Date]],"mmm")</f>
        <v>Aug</v>
      </c>
    </row>
    <row r="349" spans="1:10" ht="15" customHeight="1">
      <c r="A349" s="14" t="s">
        <v>140</v>
      </c>
      <c r="B349" s="15" t="s">
        <v>159</v>
      </c>
      <c r="C349" s="15" t="s">
        <v>52</v>
      </c>
      <c r="D349" s="15" t="s">
        <v>138</v>
      </c>
      <c r="E349" s="15" t="s">
        <v>9</v>
      </c>
      <c r="F349" s="14">
        <v>45</v>
      </c>
      <c r="G349" s="16">
        <v>44784</v>
      </c>
      <c r="H349" s="7">
        <f t="shared" si="5"/>
        <v>0.75</v>
      </c>
      <c r="I34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07-Aug-22 - to - 13-Aug-22</v>
      </c>
      <c r="J349" s="24" t="str">
        <f>TEXT(Table1[[#This Row],[Date]],"mmm")</f>
        <v>Aug</v>
      </c>
    </row>
    <row r="350" spans="1:10" ht="15" customHeight="1">
      <c r="A350" s="14" t="s">
        <v>140</v>
      </c>
      <c r="B350" s="15" t="s">
        <v>159</v>
      </c>
      <c r="C350" s="15" t="s">
        <v>81</v>
      </c>
      <c r="D350" s="15" t="s">
        <v>138</v>
      </c>
      <c r="E350" s="15" t="s">
        <v>81</v>
      </c>
      <c r="F350" s="14">
        <v>30</v>
      </c>
      <c r="G350" s="16">
        <v>44784</v>
      </c>
      <c r="H350" s="7">
        <f t="shared" si="5"/>
        <v>0.5</v>
      </c>
      <c r="I35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07-Aug-22 - to - 13-Aug-22</v>
      </c>
      <c r="J350" s="24" t="str">
        <f>TEXT(Table1[[#This Row],[Date]],"mmm")</f>
        <v>Aug</v>
      </c>
    </row>
    <row r="351" spans="1:10" ht="15" customHeight="1">
      <c r="A351" s="14" t="s">
        <v>140</v>
      </c>
      <c r="B351" s="15" t="s">
        <v>152</v>
      </c>
      <c r="C351" s="15" t="s">
        <v>153</v>
      </c>
      <c r="D351" s="15" t="s">
        <v>8</v>
      </c>
      <c r="E351" s="15" t="s">
        <v>12</v>
      </c>
      <c r="F351" s="14">
        <v>25</v>
      </c>
      <c r="G351" s="16">
        <v>44784</v>
      </c>
      <c r="H351" s="7">
        <f t="shared" si="5"/>
        <v>0.41666666666666669</v>
      </c>
      <c r="I35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07-Aug-22 - to - 13-Aug-22</v>
      </c>
      <c r="J351" s="24" t="str">
        <f>TEXT(Table1[[#This Row],[Date]],"mmm")</f>
        <v>Aug</v>
      </c>
    </row>
    <row r="352" spans="1:10" ht="15" customHeight="1">
      <c r="A352" s="14" t="s">
        <v>140</v>
      </c>
      <c r="B352" s="15" t="s">
        <v>159</v>
      </c>
      <c r="C352" s="15" t="s">
        <v>82</v>
      </c>
      <c r="D352" s="15" t="s">
        <v>8</v>
      </c>
      <c r="E352" s="15" t="s">
        <v>82</v>
      </c>
      <c r="F352" s="14">
        <v>20</v>
      </c>
      <c r="G352" s="16">
        <v>44784</v>
      </c>
      <c r="H352" s="7">
        <f t="shared" si="5"/>
        <v>0.33333333333333331</v>
      </c>
      <c r="I35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07-Aug-22 - to - 13-Aug-22</v>
      </c>
      <c r="J352" s="24" t="str">
        <f>TEXT(Table1[[#This Row],[Date]],"mmm")</f>
        <v>Aug</v>
      </c>
    </row>
    <row r="353" spans="1:10" ht="15" customHeight="1">
      <c r="A353" s="14" t="s">
        <v>140</v>
      </c>
      <c r="B353" s="15" t="s">
        <v>159</v>
      </c>
      <c r="C353" s="15" t="s">
        <v>80</v>
      </c>
      <c r="D353" s="15" t="s">
        <v>8</v>
      </c>
      <c r="E353" s="15" t="s">
        <v>22</v>
      </c>
      <c r="F353" s="14">
        <v>20</v>
      </c>
      <c r="G353" s="16">
        <v>44784</v>
      </c>
      <c r="H353" s="7">
        <f t="shared" si="5"/>
        <v>0.33333333333333331</v>
      </c>
      <c r="I35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07-Aug-22 - to - 13-Aug-22</v>
      </c>
      <c r="J353" s="24" t="str">
        <f>TEXT(Table1[[#This Row],[Date]],"mmm")</f>
        <v>Aug</v>
      </c>
    </row>
    <row r="354" spans="1:10" ht="15" customHeight="1">
      <c r="A354" s="14" t="s">
        <v>140</v>
      </c>
      <c r="B354" s="15" t="s">
        <v>159</v>
      </c>
      <c r="C354" s="15" t="s">
        <v>44</v>
      </c>
      <c r="D354" s="15" t="s">
        <v>8</v>
      </c>
      <c r="E354" s="15" t="s">
        <v>12</v>
      </c>
      <c r="F354" s="14">
        <v>110</v>
      </c>
      <c r="G354" s="16">
        <v>44784</v>
      </c>
      <c r="H354" s="7">
        <f t="shared" si="5"/>
        <v>1.8333333333333333</v>
      </c>
      <c r="I35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07-Aug-22 - to - 13-Aug-22</v>
      </c>
      <c r="J354" s="24" t="str">
        <f>TEXT(Table1[[#This Row],[Date]],"mmm")</f>
        <v>Aug</v>
      </c>
    </row>
    <row r="355" spans="1:10" ht="15" customHeight="1">
      <c r="A355" s="14" t="s">
        <v>140</v>
      </c>
      <c r="B355" s="15" t="s">
        <v>159</v>
      </c>
      <c r="C355" s="15" t="s">
        <v>83</v>
      </c>
      <c r="D355" s="15" t="s">
        <v>138</v>
      </c>
      <c r="E355" s="15" t="s">
        <v>9</v>
      </c>
      <c r="F355" s="14">
        <v>45</v>
      </c>
      <c r="G355" s="16">
        <v>44784</v>
      </c>
      <c r="H355" s="7">
        <f t="shared" si="5"/>
        <v>0.75</v>
      </c>
      <c r="I35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07-Aug-22 - to - 13-Aug-22</v>
      </c>
      <c r="J355" s="24" t="str">
        <f>TEXT(Table1[[#This Row],[Date]],"mmm")</f>
        <v>Aug</v>
      </c>
    </row>
    <row r="356" spans="1:10" ht="15" customHeight="1">
      <c r="A356" s="14" t="s">
        <v>140</v>
      </c>
      <c r="B356" s="15" t="s">
        <v>159</v>
      </c>
      <c r="C356" s="15" t="s">
        <v>71</v>
      </c>
      <c r="D356" s="15" t="s">
        <v>11</v>
      </c>
      <c r="E356" s="15" t="s">
        <v>71</v>
      </c>
      <c r="F356" s="14">
        <v>30</v>
      </c>
      <c r="G356" s="16">
        <v>44784</v>
      </c>
      <c r="H356" s="7">
        <f t="shared" si="5"/>
        <v>0.5</v>
      </c>
      <c r="I35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07-Aug-22 - to - 13-Aug-22</v>
      </c>
      <c r="J356" s="24" t="str">
        <f>TEXT(Table1[[#This Row],[Date]],"mmm")</f>
        <v>Aug</v>
      </c>
    </row>
    <row r="357" spans="1:10" ht="15" customHeight="1">
      <c r="A357" s="14" t="s">
        <v>140</v>
      </c>
      <c r="B357" s="15" t="s">
        <v>160</v>
      </c>
      <c r="C357" s="15" t="s">
        <v>17</v>
      </c>
      <c r="D357" s="15" t="s">
        <v>11</v>
      </c>
      <c r="E357" s="15" t="s">
        <v>9</v>
      </c>
      <c r="F357" s="14">
        <v>20</v>
      </c>
      <c r="G357" s="16">
        <v>44784</v>
      </c>
      <c r="H357" s="7">
        <f t="shared" si="5"/>
        <v>0.33333333333333331</v>
      </c>
      <c r="I35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07-Aug-22 - to - 13-Aug-22</v>
      </c>
      <c r="J357" s="24" t="str">
        <f>TEXT(Table1[[#This Row],[Date]],"mmm")</f>
        <v>Aug</v>
      </c>
    </row>
    <row r="358" spans="1:10" ht="15" customHeight="1">
      <c r="A358" s="14" t="s">
        <v>140</v>
      </c>
      <c r="B358" s="15" t="s">
        <v>159</v>
      </c>
      <c r="C358" s="15" t="s">
        <v>17</v>
      </c>
      <c r="D358" s="15" t="s">
        <v>11</v>
      </c>
      <c r="E358" s="15" t="s">
        <v>9</v>
      </c>
      <c r="F358" s="14">
        <v>20</v>
      </c>
      <c r="G358" s="16">
        <v>44784</v>
      </c>
      <c r="H358" s="7">
        <f t="shared" si="5"/>
        <v>0.33333333333333331</v>
      </c>
      <c r="I35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07-Aug-22 - to - 13-Aug-22</v>
      </c>
      <c r="J358" s="24" t="str">
        <f>TEXT(Table1[[#This Row],[Date]],"mmm")</f>
        <v>Aug</v>
      </c>
    </row>
    <row r="359" spans="1:10" ht="15" customHeight="1">
      <c r="A359" s="14" t="s">
        <v>140</v>
      </c>
      <c r="B359" s="15" t="s">
        <v>159</v>
      </c>
      <c r="C359" s="15" t="s">
        <v>17</v>
      </c>
      <c r="D359" s="15" t="s">
        <v>11</v>
      </c>
      <c r="E359" s="15" t="s">
        <v>9</v>
      </c>
      <c r="F359" s="14">
        <v>20</v>
      </c>
      <c r="G359" s="16">
        <v>44784</v>
      </c>
      <c r="H359" s="7">
        <f t="shared" si="5"/>
        <v>0.33333333333333331</v>
      </c>
      <c r="I35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07-Aug-22 - to - 13-Aug-22</v>
      </c>
      <c r="J359" s="24" t="str">
        <f>TEXT(Table1[[#This Row],[Date]],"mmm")</f>
        <v>Aug</v>
      </c>
    </row>
    <row r="360" spans="1:10" ht="15" customHeight="1">
      <c r="A360" s="14" t="s">
        <v>140</v>
      </c>
      <c r="B360" s="15" t="s">
        <v>6</v>
      </c>
      <c r="C360" s="15" t="s">
        <v>7</v>
      </c>
      <c r="D360" s="15" t="s">
        <v>8</v>
      </c>
      <c r="E360" s="15" t="s">
        <v>9</v>
      </c>
      <c r="F360" s="14">
        <v>20</v>
      </c>
      <c r="G360" s="16">
        <v>44784</v>
      </c>
      <c r="H360" s="7">
        <f t="shared" si="5"/>
        <v>0.33333333333333331</v>
      </c>
      <c r="I36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07-Aug-22 - to - 13-Aug-22</v>
      </c>
      <c r="J360" s="24" t="str">
        <f>TEXT(Table1[[#This Row],[Date]],"mmm")</f>
        <v>Aug</v>
      </c>
    </row>
    <row r="361" spans="1:10" ht="15" customHeight="1">
      <c r="A361" s="14" t="s">
        <v>141</v>
      </c>
      <c r="B361" s="15" t="s">
        <v>36</v>
      </c>
      <c r="C361" s="15" t="s">
        <v>37</v>
      </c>
      <c r="D361" s="15" t="s">
        <v>8</v>
      </c>
      <c r="E361" s="15" t="s">
        <v>6</v>
      </c>
      <c r="F361" s="14">
        <v>60</v>
      </c>
      <c r="G361" s="16">
        <v>44813</v>
      </c>
      <c r="H361" s="7">
        <f t="shared" si="5"/>
        <v>1</v>
      </c>
      <c r="I36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04-Sep-22 - to - 10-Sep-22</v>
      </c>
      <c r="J361" s="24" t="str">
        <f>TEXT(Table1[[#This Row],[Date]],"mmm")</f>
        <v>Sep</v>
      </c>
    </row>
    <row r="362" spans="1:10" ht="15" customHeight="1">
      <c r="A362" s="14" t="s">
        <v>141</v>
      </c>
      <c r="B362" s="15" t="s">
        <v>142</v>
      </c>
      <c r="C362" s="15" t="s">
        <v>137</v>
      </c>
      <c r="D362" s="15" t="s">
        <v>8</v>
      </c>
      <c r="E362" s="15" t="s">
        <v>35</v>
      </c>
      <c r="F362" s="14">
        <v>120</v>
      </c>
      <c r="G362" s="16">
        <v>44813</v>
      </c>
      <c r="H362" s="7">
        <f t="shared" si="5"/>
        <v>2</v>
      </c>
      <c r="I36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04-Sep-22 - to - 10-Sep-22</v>
      </c>
      <c r="J362" s="24" t="str">
        <f>TEXT(Table1[[#This Row],[Date]],"mmm")</f>
        <v>Sep</v>
      </c>
    </row>
    <row r="363" spans="1:10" ht="15" customHeight="1">
      <c r="A363" s="14" t="s">
        <v>141</v>
      </c>
      <c r="B363" s="15" t="s">
        <v>157</v>
      </c>
      <c r="C363" s="15" t="s">
        <v>16</v>
      </c>
      <c r="D363" s="15" t="s">
        <v>8</v>
      </c>
      <c r="E363" s="15" t="s">
        <v>6</v>
      </c>
      <c r="F363" s="14">
        <v>30</v>
      </c>
      <c r="G363" s="16">
        <v>44813</v>
      </c>
      <c r="H363" s="7">
        <f t="shared" si="5"/>
        <v>0.5</v>
      </c>
      <c r="I36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04-Sep-22 - to - 10-Sep-22</v>
      </c>
      <c r="J363" s="24" t="str">
        <f>TEXT(Table1[[#This Row],[Date]],"mmm")</f>
        <v>Sep</v>
      </c>
    </row>
    <row r="364" spans="1:10" ht="15" customHeight="1">
      <c r="A364" s="14" t="s">
        <v>141</v>
      </c>
      <c r="B364" s="15" t="s">
        <v>39</v>
      </c>
      <c r="C364" s="15" t="s">
        <v>40</v>
      </c>
      <c r="D364" s="15" t="s">
        <v>8</v>
      </c>
      <c r="E364" s="15" t="s">
        <v>40</v>
      </c>
      <c r="F364" s="14">
        <v>20</v>
      </c>
      <c r="G364" s="16">
        <v>44813</v>
      </c>
      <c r="H364" s="7">
        <f t="shared" si="5"/>
        <v>0.33333333333333331</v>
      </c>
      <c r="I36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04-Sep-22 - to - 10-Sep-22</v>
      </c>
      <c r="J364" s="24" t="str">
        <f>TEXT(Table1[[#This Row],[Date]],"mmm")</f>
        <v>Sep</v>
      </c>
    </row>
    <row r="365" spans="1:10" ht="15" customHeight="1">
      <c r="A365" s="14" t="s">
        <v>141</v>
      </c>
      <c r="B365" s="15" t="s">
        <v>157</v>
      </c>
      <c r="C365" s="15" t="s">
        <v>44</v>
      </c>
      <c r="D365" s="15" t="s">
        <v>8</v>
      </c>
      <c r="E365" s="15" t="s">
        <v>12</v>
      </c>
      <c r="F365" s="14">
        <v>90</v>
      </c>
      <c r="G365" s="16">
        <v>44813</v>
      </c>
      <c r="H365" s="7">
        <f t="shared" si="5"/>
        <v>1.5</v>
      </c>
      <c r="I36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04-Sep-22 - to - 10-Sep-22</v>
      </c>
      <c r="J365" s="24" t="str">
        <f>TEXT(Table1[[#This Row],[Date]],"mmm")</f>
        <v>Sep</v>
      </c>
    </row>
    <row r="366" spans="1:10" ht="15" customHeight="1">
      <c r="A366" s="14" t="s">
        <v>141</v>
      </c>
      <c r="B366" s="15" t="s">
        <v>142</v>
      </c>
      <c r="C366" s="15" t="s">
        <v>17</v>
      </c>
      <c r="D366" s="15" t="s">
        <v>11</v>
      </c>
      <c r="E366" s="15" t="s">
        <v>17</v>
      </c>
      <c r="F366" s="14">
        <v>45</v>
      </c>
      <c r="G366" s="16">
        <v>44813</v>
      </c>
      <c r="H366" s="7">
        <f t="shared" si="5"/>
        <v>0.75</v>
      </c>
      <c r="I36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04-Sep-22 - to - 10-Sep-22</v>
      </c>
      <c r="J366" s="24" t="str">
        <f>TEXT(Table1[[#This Row],[Date]],"mmm")</f>
        <v>Sep</v>
      </c>
    </row>
    <row r="367" spans="1:10" ht="15" customHeight="1">
      <c r="A367" s="14" t="s">
        <v>141</v>
      </c>
      <c r="B367" s="15" t="s">
        <v>157</v>
      </c>
      <c r="C367" s="15" t="s">
        <v>38</v>
      </c>
      <c r="D367" s="15" t="s">
        <v>11</v>
      </c>
      <c r="E367" s="15" t="s">
        <v>38</v>
      </c>
      <c r="F367" s="14">
        <v>115</v>
      </c>
      <c r="G367" s="16">
        <v>44813</v>
      </c>
      <c r="H367" s="7">
        <f t="shared" si="5"/>
        <v>1.9166666666666667</v>
      </c>
      <c r="I36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04-Sep-22 - to - 10-Sep-22</v>
      </c>
      <c r="J367" s="24" t="str">
        <f>TEXT(Table1[[#This Row],[Date]],"mmm")</f>
        <v>Sep</v>
      </c>
    </row>
    <row r="368" spans="1:10" ht="15" customHeight="1">
      <c r="A368" s="14" t="s">
        <v>140</v>
      </c>
      <c r="B368" s="15" t="s">
        <v>42</v>
      </c>
      <c r="C368" s="15" t="s">
        <v>43</v>
      </c>
      <c r="D368" s="15" t="s">
        <v>8</v>
      </c>
      <c r="E368" s="15" t="s">
        <v>6</v>
      </c>
      <c r="F368" s="14">
        <v>35</v>
      </c>
      <c r="G368" s="16">
        <v>44813</v>
      </c>
      <c r="H368" s="7">
        <f t="shared" si="5"/>
        <v>0.58333333333333337</v>
      </c>
      <c r="I36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04-Sep-22 - to - 10-Sep-22</v>
      </c>
      <c r="J368" s="24" t="str">
        <f>TEXT(Table1[[#This Row],[Date]],"mmm")</f>
        <v>Sep</v>
      </c>
    </row>
    <row r="369" spans="1:10" ht="15" customHeight="1">
      <c r="A369" s="14" t="s">
        <v>140</v>
      </c>
      <c r="B369" s="15" t="s">
        <v>159</v>
      </c>
      <c r="C369" s="15" t="s">
        <v>78</v>
      </c>
      <c r="D369" s="15" t="s">
        <v>11</v>
      </c>
      <c r="E369" s="15" t="s">
        <v>6</v>
      </c>
      <c r="F369" s="14">
        <v>120</v>
      </c>
      <c r="G369" s="16">
        <v>44813</v>
      </c>
      <c r="H369" s="7">
        <f t="shared" si="5"/>
        <v>2</v>
      </c>
      <c r="I36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04-Sep-22 - to - 10-Sep-22</v>
      </c>
      <c r="J369" s="24" t="str">
        <f>TEXT(Table1[[#This Row],[Date]],"mmm")</f>
        <v>Sep</v>
      </c>
    </row>
    <row r="370" spans="1:10" ht="15" customHeight="1">
      <c r="A370" s="14" t="s">
        <v>140</v>
      </c>
      <c r="B370" s="15" t="s">
        <v>159</v>
      </c>
      <c r="C370" s="15" t="s">
        <v>17</v>
      </c>
      <c r="D370" s="15" t="s">
        <v>11</v>
      </c>
      <c r="E370" s="15" t="s">
        <v>17</v>
      </c>
      <c r="F370" s="14">
        <v>65</v>
      </c>
      <c r="G370" s="16">
        <v>44813</v>
      </c>
      <c r="H370" s="7">
        <f t="shared" si="5"/>
        <v>1.0833333333333333</v>
      </c>
      <c r="I37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04-Sep-22 - to - 10-Sep-22</v>
      </c>
      <c r="J370" s="24" t="str">
        <f>TEXT(Table1[[#This Row],[Date]],"mmm")</f>
        <v>Sep</v>
      </c>
    </row>
    <row r="371" spans="1:10" ht="15" customHeight="1">
      <c r="A371" s="14" t="s">
        <v>140</v>
      </c>
      <c r="B371" s="15" t="s">
        <v>159</v>
      </c>
      <c r="C371" s="15" t="s">
        <v>38</v>
      </c>
      <c r="D371" s="15" t="s">
        <v>138</v>
      </c>
      <c r="E371" s="15" t="s">
        <v>38</v>
      </c>
      <c r="F371" s="14">
        <v>70</v>
      </c>
      <c r="G371" s="16">
        <v>44813</v>
      </c>
      <c r="H371" s="7">
        <f t="shared" si="5"/>
        <v>1.1666666666666667</v>
      </c>
      <c r="I37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04-Sep-22 - to - 10-Sep-22</v>
      </c>
      <c r="J371" s="24" t="str">
        <f>TEXT(Table1[[#This Row],[Date]],"mmm")</f>
        <v>Sep</v>
      </c>
    </row>
    <row r="372" spans="1:10" ht="15" customHeight="1">
      <c r="A372" s="14" t="s">
        <v>140</v>
      </c>
      <c r="B372" s="15" t="s">
        <v>42</v>
      </c>
      <c r="C372" s="15" t="s">
        <v>10</v>
      </c>
      <c r="D372" s="15" t="s">
        <v>8</v>
      </c>
      <c r="E372" s="15" t="s">
        <v>6</v>
      </c>
      <c r="F372" s="14">
        <v>20</v>
      </c>
      <c r="G372" s="16">
        <v>44813</v>
      </c>
      <c r="H372" s="7">
        <f t="shared" si="5"/>
        <v>0.33333333333333331</v>
      </c>
      <c r="I37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04-Sep-22 - to - 10-Sep-22</v>
      </c>
      <c r="J372" s="24" t="str">
        <f>TEXT(Table1[[#This Row],[Date]],"mmm")</f>
        <v>Sep</v>
      </c>
    </row>
    <row r="373" spans="1:10" ht="15" customHeight="1">
      <c r="A373" s="14" t="s">
        <v>140</v>
      </c>
      <c r="B373" s="15" t="s">
        <v>159</v>
      </c>
      <c r="C373" s="15" t="s">
        <v>44</v>
      </c>
      <c r="D373" s="15" t="s">
        <v>8</v>
      </c>
      <c r="E373" s="15" t="s">
        <v>12</v>
      </c>
      <c r="F373" s="14">
        <v>110</v>
      </c>
      <c r="G373" s="16">
        <v>44813</v>
      </c>
      <c r="H373" s="7">
        <f t="shared" si="5"/>
        <v>1.8333333333333333</v>
      </c>
      <c r="I37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04-Sep-22 - to - 10-Sep-22</v>
      </c>
      <c r="J373" s="24" t="str">
        <f>TEXT(Table1[[#This Row],[Date]],"mmm")</f>
        <v>Sep</v>
      </c>
    </row>
    <row r="374" spans="1:10" ht="15" customHeight="1">
      <c r="A374" s="14" t="s">
        <v>140</v>
      </c>
      <c r="B374" s="15" t="s">
        <v>159</v>
      </c>
      <c r="C374" s="15" t="s">
        <v>54</v>
      </c>
      <c r="D374" s="15" t="s">
        <v>138</v>
      </c>
      <c r="E374" s="15" t="s">
        <v>72</v>
      </c>
      <c r="F374" s="14">
        <v>20</v>
      </c>
      <c r="G374" s="16">
        <v>44813</v>
      </c>
      <c r="H374" s="7">
        <f t="shared" si="5"/>
        <v>0.33333333333333331</v>
      </c>
      <c r="I37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04-Sep-22 - to - 10-Sep-22</v>
      </c>
      <c r="J374" s="24" t="str">
        <f>TEXT(Table1[[#This Row],[Date]],"mmm")</f>
        <v>Sep</v>
      </c>
    </row>
    <row r="375" spans="1:10" ht="15" customHeight="1">
      <c r="A375" s="14" t="s">
        <v>140</v>
      </c>
      <c r="B375" s="15" t="s">
        <v>160</v>
      </c>
      <c r="C375" s="15" t="s">
        <v>17</v>
      </c>
      <c r="D375" s="15" t="s">
        <v>11</v>
      </c>
      <c r="E375" s="15" t="s">
        <v>17</v>
      </c>
      <c r="F375" s="14">
        <v>45</v>
      </c>
      <c r="G375" s="16">
        <v>44813</v>
      </c>
      <c r="H375" s="7">
        <f t="shared" si="5"/>
        <v>0.75</v>
      </c>
      <c r="I37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04-Sep-22 - to - 10-Sep-22</v>
      </c>
      <c r="J375" s="24" t="str">
        <f>TEXT(Table1[[#This Row],[Date]],"mmm")</f>
        <v>Sep</v>
      </c>
    </row>
    <row r="376" spans="1:10" ht="15" customHeight="1">
      <c r="A376" s="14" t="s">
        <v>140</v>
      </c>
      <c r="B376" s="15" t="s">
        <v>159</v>
      </c>
      <c r="C376" s="15" t="s">
        <v>161</v>
      </c>
      <c r="D376" s="15" t="s">
        <v>8</v>
      </c>
      <c r="E376" s="15" t="s">
        <v>6</v>
      </c>
      <c r="F376" s="14">
        <v>25</v>
      </c>
      <c r="G376" s="16">
        <v>44813</v>
      </c>
      <c r="H376" s="7">
        <f t="shared" si="5"/>
        <v>0.41666666666666669</v>
      </c>
      <c r="I37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04-Sep-22 - to - 10-Sep-22</v>
      </c>
      <c r="J376" s="24" t="str">
        <f>TEXT(Table1[[#This Row],[Date]],"mmm")</f>
        <v>Sep</v>
      </c>
    </row>
    <row r="377" spans="1:10" ht="15" customHeight="1">
      <c r="A377" s="14" t="s">
        <v>141</v>
      </c>
      <c r="B377" s="15" t="s">
        <v>10</v>
      </c>
      <c r="C377" s="15" t="s">
        <v>10</v>
      </c>
      <c r="D377" s="15" t="s">
        <v>8</v>
      </c>
      <c r="E377" s="15" t="s">
        <v>10</v>
      </c>
      <c r="F377" s="14">
        <v>20</v>
      </c>
      <c r="G377" s="16">
        <v>44815</v>
      </c>
      <c r="H377" s="7">
        <f t="shared" si="5"/>
        <v>0.33333333333333331</v>
      </c>
      <c r="I37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377" s="24" t="str">
        <f>TEXT(Table1[[#This Row],[Date]],"mmm")</f>
        <v>Sep</v>
      </c>
    </row>
    <row r="378" spans="1:10" ht="15" customHeight="1">
      <c r="A378" s="14" t="s">
        <v>141</v>
      </c>
      <c r="B378" s="15" t="s">
        <v>36</v>
      </c>
      <c r="C378" s="15" t="s">
        <v>37</v>
      </c>
      <c r="D378" s="15" t="s">
        <v>8</v>
      </c>
      <c r="E378" s="15" t="s">
        <v>36</v>
      </c>
      <c r="F378" s="14">
        <v>45</v>
      </c>
      <c r="G378" s="16">
        <v>44815</v>
      </c>
      <c r="H378" s="7">
        <f t="shared" si="5"/>
        <v>0.75</v>
      </c>
      <c r="I37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378" s="24" t="str">
        <f>TEXT(Table1[[#This Row],[Date]],"mmm")</f>
        <v>Sep</v>
      </c>
    </row>
    <row r="379" spans="1:10" ht="15" customHeight="1">
      <c r="A379" s="14" t="s">
        <v>141</v>
      </c>
      <c r="B379" s="15" t="s">
        <v>157</v>
      </c>
      <c r="C379" s="15" t="s">
        <v>16</v>
      </c>
      <c r="D379" s="15" t="s">
        <v>8</v>
      </c>
      <c r="E379" s="15" t="s">
        <v>9</v>
      </c>
      <c r="F379" s="14">
        <v>15</v>
      </c>
      <c r="G379" s="16">
        <v>44815</v>
      </c>
      <c r="H379" s="7">
        <f t="shared" si="5"/>
        <v>0.25</v>
      </c>
      <c r="I37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379" s="24" t="str">
        <f>TEXT(Table1[[#This Row],[Date]],"mmm")</f>
        <v>Sep</v>
      </c>
    </row>
    <row r="380" spans="1:10" ht="15" customHeight="1">
      <c r="A380" s="14" t="s">
        <v>141</v>
      </c>
      <c r="B380" s="15" t="s">
        <v>142</v>
      </c>
      <c r="C380" s="15" t="s">
        <v>75</v>
      </c>
      <c r="D380" s="15" t="s">
        <v>69</v>
      </c>
      <c r="E380" s="15" t="s">
        <v>75</v>
      </c>
      <c r="F380" s="14">
        <v>220</v>
      </c>
      <c r="G380" s="16">
        <v>44815</v>
      </c>
      <c r="H380" s="7">
        <f t="shared" si="5"/>
        <v>3.6666666666666665</v>
      </c>
      <c r="I38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380" s="24" t="str">
        <f>TEXT(Table1[[#This Row],[Date]],"mmm")</f>
        <v>Sep</v>
      </c>
    </row>
    <row r="381" spans="1:10" ht="15" customHeight="1">
      <c r="A381" s="14" t="s">
        <v>141</v>
      </c>
      <c r="B381" s="15" t="s">
        <v>142</v>
      </c>
      <c r="C381" s="15" t="s">
        <v>137</v>
      </c>
      <c r="D381" s="15" t="s">
        <v>8</v>
      </c>
      <c r="E381" s="15" t="s">
        <v>35</v>
      </c>
      <c r="F381" s="14">
        <v>90</v>
      </c>
      <c r="G381" s="16">
        <v>44815</v>
      </c>
      <c r="H381" s="7">
        <f t="shared" si="5"/>
        <v>1.5</v>
      </c>
      <c r="I38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381" s="24" t="str">
        <f>TEXT(Table1[[#This Row],[Date]],"mmm")</f>
        <v>Sep</v>
      </c>
    </row>
    <row r="382" spans="1:10" ht="15" customHeight="1">
      <c r="A382" s="14" t="s">
        <v>141</v>
      </c>
      <c r="B382" s="15" t="s">
        <v>157</v>
      </c>
      <c r="C382" s="15" t="s">
        <v>44</v>
      </c>
      <c r="D382" s="15" t="s">
        <v>8</v>
      </c>
      <c r="E382" s="15" t="s">
        <v>12</v>
      </c>
      <c r="F382" s="14">
        <v>90</v>
      </c>
      <c r="G382" s="16">
        <v>44815</v>
      </c>
      <c r="H382" s="7">
        <f t="shared" si="5"/>
        <v>1.5</v>
      </c>
      <c r="I38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382" s="24" t="str">
        <f>TEXT(Table1[[#This Row],[Date]],"mmm")</f>
        <v>Sep</v>
      </c>
    </row>
    <row r="383" spans="1:10" ht="15" customHeight="1">
      <c r="A383" s="14" t="s">
        <v>140</v>
      </c>
      <c r="B383" s="15" t="s">
        <v>159</v>
      </c>
      <c r="C383" s="15" t="s">
        <v>48</v>
      </c>
      <c r="D383" s="15" t="s">
        <v>11</v>
      </c>
      <c r="E383" s="15" t="s">
        <v>88</v>
      </c>
      <c r="F383" s="14">
        <v>20</v>
      </c>
      <c r="G383" s="16">
        <v>44815</v>
      </c>
      <c r="H383" s="7">
        <f t="shared" si="5"/>
        <v>0.33333333333333331</v>
      </c>
      <c r="I38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383" s="24" t="str">
        <f>TEXT(Table1[[#This Row],[Date]],"mmm")</f>
        <v>Sep</v>
      </c>
    </row>
    <row r="384" spans="1:10" ht="15" customHeight="1">
      <c r="A384" s="14" t="s">
        <v>140</v>
      </c>
      <c r="B384" s="15" t="s">
        <v>10</v>
      </c>
      <c r="C384" s="15" t="s">
        <v>10</v>
      </c>
      <c r="D384" s="15" t="s">
        <v>8</v>
      </c>
      <c r="E384" s="15" t="s">
        <v>10</v>
      </c>
      <c r="F384" s="14">
        <v>20</v>
      </c>
      <c r="G384" s="16">
        <v>44815</v>
      </c>
      <c r="H384" s="7">
        <f t="shared" si="5"/>
        <v>0.33333333333333331</v>
      </c>
      <c r="I38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384" s="24" t="str">
        <f>TEXT(Table1[[#This Row],[Date]],"mmm")</f>
        <v>Sep</v>
      </c>
    </row>
    <row r="385" spans="1:10" ht="15" customHeight="1">
      <c r="A385" s="14" t="s">
        <v>140</v>
      </c>
      <c r="B385" s="15" t="s">
        <v>20</v>
      </c>
      <c r="C385" s="15" t="s">
        <v>20</v>
      </c>
      <c r="D385" s="15" t="s">
        <v>11</v>
      </c>
      <c r="E385" s="15" t="s">
        <v>20</v>
      </c>
      <c r="F385" s="14">
        <v>25</v>
      </c>
      <c r="G385" s="16">
        <v>44815</v>
      </c>
      <c r="H385" s="7">
        <f t="shared" si="5"/>
        <v>0.41666666666666669</v>
      </c>
      <c r="I38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385" s="24" t="str">
        <f>TEXT(Table1[[#This Row],[Date]],"mmm")</f>
        <v>Sep</v>
      </c>
    </row>
    <row r="386" spans="1:10" ht="15" customHeight="1">
      <c r="A386" s="14" t="s">
        <v>140</v>
      </c>
      <c r="B386" s="15" t="s">
        <v>159</v>
      </c>
      <c r="C386" s="15" t="s">
        <v>52</v>
      </c>
      <c r="D386" s="15" t="s">
        <v>138</v>
      </c>
      <c r="E386" s="15" t="s">
        <v>52</v>
      </c>
      <c r="F386" s="14">
        <v>45</v>
      </c>
      <c r="G386" s="16">
        <v>44815</v>
      </c>
      <c r="H386" s="7">
        <f t="shared" ref="H386:H449" si="6">IFERROR(IF(ISBLANK(F386)=TRUE(),"",F386/60),"")</f>
        <v>0.75</v>
      </c>
      <c r="I38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386" s="24" t="str">
        <f>TEXT(Table1[[#This Row],[Date]],"mmm")</f>
        <v>Sep</v>
      </c>
    </row>
    <row r="387" spans="1:10" ht="15" customHeight="1">
      <c r="A387" s="14" t="s">
        <v>140</v>
      </c>
      <c r="B387" s="15" t="s">
        <v>159</v>
      </c>
      <c r="C387" s="15" t="s">
        <v>84</v>
      </c>
      <c r="D387" s="15" t="s">
        <v>138</v>
      </c>
      <c r="E387" s="15" t="s">
        <v>9</v>
      </c>
      <c r="F387" s="14">
        <v>25</v>
      </c>
      <c r="G387" s="16">
        <v>44815</v>
      </c>
      <c r="H387" s="7">
        <f t="shared" si="6"/>
        <v>0.41666666666666669</v>
      </c>
      <c r="I38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387" s="24" t="str">
        <f>TEXT(Table1[[#This Row],[Date]],"mmm")</f>
        <v>Sep</v>
      </c>
    </row>
    <row r="388" spans="1:10" ht="15" customHeight="1">
      <c r="A388" s="14" t="s">
        <v>140</v>
      </c>
      <c r="B388" s="15" t="s">
        <v>152</v>
      </c>
      <c r="C388" s="15" t="s">
        <v>153</v>
      </c>
      <c r="D388" s="15" t="s">
        <v>8</v>
      </c>
      <c r="E388" s="15" t="s">
        <v>12</v>
      </c>
      <c r="F388" s="14">
        <v>20</v>
      </c>
      <c r="G388" s="16">
        <v>44815</v>
      </c>
      <c r="H388" s="7">
        <f t="shared" si="6"/>
        <v>0.33333333333333331</v>
      </c>
      <c r="I38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388" s="24" t="str">
        <f>TEXT(Table1[[#This Row],[Date]],"mmm")</f>
        <v>Sep</v>
      </c>
    </row>
    <row r="389" spans="1:10" ht="15" customHeight="1">
      <c r="A389" s="14" t="s">
        <v>140</v>
      </c>
      <c r="B389" s="15" t="s">
        <v>159</v>
      </c>
      <c r="C389" s="15" t="s">
        <v>44</v>
      </c>
      <c r="D389" s="15" t="s">
        <v>8</v>
      </c>
      <c r="E389" s="15" t="s">
        <v>12</v>
      </c>
      <c r="F389" s="14">
        <v>65</v>
      </c>
      <c r="G389" s="16">
        <v>44815</v>
      </c>
      <c r="H389" s="7">
        <f t="shared" si="6"/>
        <v>1.0833333333333333</v>
      </c>
      <c r="I38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389" s="24" t="str">
        <f>TEXT(Table1[[#This Row],[Date]],"mmm")</f>
        <v>Sep</v>
      </c>
    </row>
    <row r="390" spans="1:10" ht="15" customHeight="1">
      <c r="A390" s="14" t="s">
        <v>140</v>
      </c>
      <c r="B390" s="15" t="s">
        <v>159</v>
      </c>
      <c r="C390" s="15" t="s">
        <v>83</v>
      </c>
      <c r="D390" s="15" t="s">
        <v>138</v>
      </c>
      <c r="E390" s="15" t="s">
        <v>9</v>
      </c>
      <c r="F390" s="14">
        <v>25</v>
      </c>
      <c r="G390" s="16">
        <v>44815</v>
      </c>
      <c r="H390" s="7">
        <f t="shared" si="6"/>
        <v>0.41666666666666669</v>
      </c>
      <c r="I39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390" s="24" t="str">
        <f>TEXT(Table1[[#This Row],[Date]],"mmm")</f>
        <v>Sep</v>
      </c>
    </row>
    <row r="391" spans="1:10" ht="15" customHeight="1">
      <c r="A391" s="14" t="s">
        <v>140</v>
      </c>
      <c r="B391" s="15" t="s">
        <v>159</v>
      </c>
      <c r="C391" s="15" t="s">
        <v>15</v>
      </c>
      <c r="D391" s="15" t="s">
        <v>11</v>
      </c>
      <c r="E391" s="15" t="s">
        <v>9</v>
      </c>
      <c r="F391" s="14">
        <v>35</v>
      </c>
      <c r="G391" s="16">
        <v>44815</v>
      </c>
      <c r="H391" s="7">
        <f t="shared" si="6"/>
        <v>0.58333333333333337</v>
      </c>
      <c r="I39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391" s="24" t="str">
        <f>TEXT(Table1[[#This Row],[Date]],"mmm")</f>
        <v>Sep</v>
      </c>
    </row>
    <row r="392" spans="1:10" ht="15" customHeight="1">
      <c r="A392" s="14" t="s">
        <v>140</v>
      </c>
      <c r="B392" s="15" t="s">
        <v>159</v>
      </c>
      <c r="C392" s="15" t="s">
        <v>17</v>
      </c>
      <c r="D392" s="15" t="s">
        <v>11</v>
      </c>
      <c r="E392" s="15" t="s">
        <v>9</v>
      </c>
      <c r="F392" s="14">
        <v>45</v>
      </c>
      <c r="G392" s="16">
        <v>44815</v>
      </c>
      <c r="H392" s="7">
        <f t="shared" si="6"/>
        <v>0.75</v>
      </c>
      <c r="I39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392" s="24" t="str">
        <f>TEXT(Table1[[#This Row],[Date]],"mmm")</f>
        <v>Sep</v>
      </c>
    </row>
    <row r="393" spans="1:10" ht="15" customHeight="1">
      <c r="A393" s="14" t="s">
        <v>140</v>
      </c>
      <c r="B393" s="15" t="s">
        <v>160</v>
      </c>
      <c r="C393" s="15" t="s">
        <v>17</v>
      </c>
      <c r="D393" s="15" t="s">
        <v>11</v>
      </c>
      <c r="E393" s="15" t="s">
        <v>9</v>
      </c>
      <c r="F393" s="14">
        <v>20</v>
      </c>
      <c r="G393" s="16">
        <v>44815</v>
      </c>
      <c r="H393" s="7">
        <f t="shared" si="6"/>
        <v>0.33333333333333331</v>
      </c>
      <c r="I39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393" s="24" t="str">
        <f>TEXT(Table1[[#This Row],[Date]],"mmm")</f>
        <v>Sep</v>
      </c>
    </row>
    <row r="394" spans="1:10" ht="15" customHeight="1">
      <c r="A394" s="14" t="s">
        <v>140</v>
      </c>
      <c r="B394" s="15" t="s">
        <v>6</v>
      </c>
      <c r="C394" s="15" t="s">
        <v>7</v>
      </c>
      <c r="D394" s="15" t="s">
        <v>8</v>
      </c>
      <c r="E394" s="15" t="s">
        <v>9</v>
      </c>
      <c r="F394" s="14">
        <v>25</v>
      </c>
      <c r="G394" s="16">
        <v>44815</v>
      </c>
      <c r="H394" s="7">
        <f t="shared" si="6"/>
        <v>0.41666666666666669</v>
      </c>
      <c r="I39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394" s="24" t="str">
        <f>TEXT(Table1[[#This Row],[Date]],"mmm")</f>
        <v>Sep</v>
      </c>
    </row>
    <row r="395" spans="1:10" ht="15" customHeight="1">
      <c r="A395" s="14" t="s">
        <v>140</v>
      </c>
      <c r="B395" s="15" t="s">
        <v>6</v>
      </c>
      <c r="C395" s="15" t="s">
        <v>85</v>
      </c>
      <c r="D395" s="15" t="s">
        <v>11</v>
      </c>
      <c r="E395" s="15" t="s">
        <v>85</v>
      </c>
      <c r="F395" s="14">
        <v>110</v>
      </c>
      <c r="G395" s="16">
        <v>44815</v>
      </c>
      <c r="H395" s="7">
        <f t="shared" si="6"/>
        <v>1.8333333333333333</v>
      </c>
      <c r="I39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395" s="24" t="str">
        <f>TEXT(Table1[[#This Row],[Date]],"mmm")</f>
        <v>Sep</v>
      </c>
    </row>
    <row r="396" spans="1:10" ht="15" customHeight="1">
      <c r="A396" s="14" t="s">
        <v>141</v>
      </c>
      <c r="B396" s="15" t="s">
        <v>36</v>
      </c>
      <c r="C396" s="15" t="s">
        <v>37</v>
      </c>
      <c r="D396" s="15" t="s">
        <v>8</v>
      </c>
      <c r="E396" s="15" t="s">
        <v>6</v>
      </c>
      <c r="F396" s="14">
        <v>60</v>
      </c>
      <c r="G396" s="16">
        <v>44842</v>
      </c>
      <c r="H396" s="7">
        <f t="shared" si="6"/>
        <v>1</v>
      </c>
      <c r="I39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02-Oct-22 - to - 08-Oct-22</v>
      </c>
      <c r="J396" s="24" t="str">
        <f>TEXT(Table1[[#This Row],[Date]],"mmm")</f>
        <v>Oct</v>
      </c>
    </row>
    <row r="397" spans="1:10" ht="15" customHeight="1">
      <c r="A397" s="14" t="s">
        <v>141</v>
      </c>
      <c r="B397" s="15" t="s">
        <v>142</v>
      </c>
      <c r="C397" s="15" t="s">
        <v>137</v>
      </c>
      <c r="D397" s="15" t="s">
        <v>8</v>
      </c>
      <c r="E397" s="15" t="s">
        <v>35</v>
      </c>
      <c r="F397" s="14">
        <v>150</v>
      </c>
      <c r="G397" s="16">
        <v>44842</v>
      </c>
      <c r="H397" s="7">
        <f t="shared" si="6"/>
        <v>2.5</v>
      </c>
      <c r="I39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02-Oct-22 - to - 08-Oct-22</v>
      </c>
      <c r="J397" s="24" t="str">
        <f>TEXT(Table1[[#This Row],[Date]],"mmm")</f>
        <v>Oct</v>
      </c>
    </row>
    <row r="398" spans="1:10" ht="15" customHeight="1">
      <c r="A398" s="14" t="s">
        <v>141</v>
      </c>
      <c r="B398" s="15" t="s">
        <v>157</v>
      </c>
      <c r="C398" s="15" t="s">
        <v>16</v>
      </c>
      <c r="D398" s="15" t="s">
        <v>8</v>
      </c>
      <c r="E398" s="15" t="s">
        <v>6</v>
      </c>
      <c r="F398" s="14">
        <v>30</v>
      </c>
      <c r="G398" s="16">
        <v>44842</v>
      </c>
      <c r="H398" s="7">
        <f t="shared" si="6"/>
        <v>0.5</v>
      </c>
      <c r="I39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02-Oct-22 - to - 08-Oct-22</v>
      </c>
      <c r="J398" s="24" t="str">
        <f>TEXT(Table1[[#This Row],[Date]],"mmm")</f>
        <v>Oct</v>
      </c>
    </row>
    <row r="399" spans="1:10" ht="15" customHeight="1">
      <c r="A399" s="14" t="s">
        <v>141</v>
      </c>
      <c r="B399" s="15" t="s">
        <v>39</v>
      </c>
      <c r="C399" s="15" t="s">
        <v>40</v>
      </c>
      <c r="D399" s="15" t="s">
        <v>8</v>
      </c>
      <c r="E399" s="15" t="s">
        <v>40</v>
      </c>
      <c r="F399" s="14">
        <v>20</v>
      </c>
      <c r="G399" s="16">
        <v>44842</v>
      </c>
      <c r="H399" s="7">
        <f t="shared" si="6"/>
        <v>0.33333333333333331</v>
      </c>
      <c r="I39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02-Oct-22 - to - 08-Oct-22</v>
      </c>
      <c r="J399" s="24" t="str">
        <f>TEXT(Table1[[#This Row],[Date]],"mmm")</f>
        <v>Oct</v>
      </c>
    </row>
    <row r="400" spans="1:10" ht="15" customHeight="1">
      <c r="A400" s="14" t="s">
        <v>141</v>
      </c>
      <c r="B400" s="15" t="s">
        <v>39</v>
      </c>
      <c r="C400" s="15" t="s">
        <v>20</v>
      </c>
      <c r="D400" s="15" t="s">
        <v>138</v>
      </c>
      <c r="E400" s="15" t="s">
        <v>20</v>
      </c>
      <c r="F400" s="14">
        <v>50</v>
      </c>
      <c r="G400" s="16">
        <v>44842</v>
      </c>
      <c r="H400" s="7">
        <f t="shared" si="6"/>
        <v>0.83333333333333337</v>
      </c>
      <c r="I40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02-Oct-22 - to - 08-Oct-22</v>
      </c>
      <c r="J400" s="24" t="str">
        <f>TEXT(Table1[[#This Row],[Date]],"mmm")</f>
        <v>Oct</v>
      </c>
    </row>
    <row r="401" spans="1:10" ht="15" customHeight="1">
      <c r="A401" s="14" t="s">
        <v>141</v>
      </c>
      <c r="B401" s="15" t="s">
        <v>157</v>
      </c>
      <c r="C401" s="15" t="s">
        <v>44</v>
      </c>
      <c r="D401" s="15" t="s">
        <v>8</v>
      </c>
      <c r="E401" s="15" t="s">
        <v>12</v>
      </c>
      <c r="F401" s="14">
        <v>90</v>
      </c>
      <c r="G401" s="16">
        <v>44842</v>
      </c>
      <c r="H401" s="7">
        <f t="shared" si="6"/>
        <v>1.5</v>
      </c>
      <c r="I40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02-Oct-22 - to - 08-Oct-22</v>
      </c>
      <c r="J401" s="24" t="str">
        <f>TEXT(Table1[[#This Row],[Date]],"mmm")</f>
        <v>Oct</v>
      </c>
    </row>
    <row r="402" spans="1:10" ht="15" customHeight="1">
      <c r="A402" s="14" t="s">
        <v>141</v>
      </c>
      <c r="B402" s="15" t="s">
        <v>39</v>
      </c>
      <c r="C402" s="15" t="s">
        <v>38</v>
      </c>
      <c r="D402" s="15" t="s">
        <v>11</v>
      </c>
      <c r="E402" s="15" t="s">
        <v>38</v>
      </c>
      <c r="F402" s="14">
        <v>150</v>
      </c>
      <c r="G402" s="16">
        <v>44842</v>
      </c>
      <c r="H402" s="7">
        <f t="shared" si="6"/>
        <v>2.5</v>
      </c>
      <c r="I40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02-Oct-22 - to - 08-Oct-22</v>
      </c>
      <c r="J402" s="24" t="str">
        <f>TEXT(Table1[[#This Row],[Date]],"mmm")</f>
        <v>Oct</v>
      </c>
    </row>
    <row r="403" spans="1:10" ht="15" customHeight="1">
      <c r="A403" s="14" t="s">
        <v>141</v>
      </c>
      <c r="B403" s="15" t="s">
        <v>39</v>
      </c>
      <c r="C403" s="15" t="s">
        <v>38</v>
      </c>
      <c r="D403" s="15" t="s">
        <v>11</v>
      </c>
      <c r="E403" s="15" t="s">
        <v>38</v>
      </c>
      <c r="F403" s="14">
        <v>30</v>
      </c>
      <c r="G403" s="16">
        <v>44842</v>
      </c>
      <c r="H403" s="7">
        <f t="shared" si="6"/>
        <v>0.5</v>
      </c>
      <c r="I40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02-Oct-22 - to - 08-Oct-22</v>
      </c>
      <c r="J403" s="24" t="str">
        <f>TEXT(Table1[[#This Row],[Date]],"mmm")</f>
        <v>Oct</v>
      </c>
    </row>
    <row r="404" spans="1:10" ht="15" customHeight="1">
      <c r="A404" s="14" t="s">
        <v>140</v>
      </c>
      <c r="B404" s="15" t="s">
        <v>42</v>
      </c>
      <c r="C404" s="15" t="s">
        <v>43</v>
      </c>
      <c r="D404" s="15" t="s">
        <v>8</v>
      </c>
      <c r="E404" s="15" t="s">
        <v>6</v>
      </c>
      <c r="F404" s="14">
        <v>35</v>
      </c>
      <c r="G404" s="16">
        <v>44843</v>
      </c>
      <c r="H404" s="7">
        <f t="shared" si="6"/>
        <v>0.58333333333333337</v>
      </c>
      <c r="I40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404" s="24" t="str">
        <f>TEXT(Table1[[#This Row],[Date]],"mmm")</f>
        <v>Oct</v>
      </c>
    </row>
    <row r="405" spans="1:10" ht="15" customHeight="1">
      <c r="A405" s="14" t="s">
        <v>140</v>
      </c>
      <c r="B405" s="15" t="s">
        <v>159</v>
      </c>
      <c r="C405" s="15" t="s">
        <v>17</v>
      </c>
      <c r="D405" s="15" t="s">
        <v>11</v>
      </c>
      <c r="E405" s="15" t="s">
        <v>17</v>
      </c>
      <c r="F405" s="14">
        <v>45</v>
      </c>
      <c r="G405" s="16">
        <v>44843</v>
      </c>
      <c r="H405" s="7">
        <f t="shared" si="6"/>
        <v>0.75</v>
      </c>
      <c r="I40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405" s="24" t="str">
        <f>TEXT(Table1[[#This Row],[Date]],"mmm")</f>
        <v>Oct</v>
      </c>
    </row>
    <row r="406" spans="1:10" ht="15" customHeight="1">
      <c r="A406" s="14" t="s">
        <v>140</v>
      </c>
      <c r="B406" s="15" t="s">
        <v>159</v>
      </c>
      <c r="C406" s="15" t="s">
        <v>22</v>
      </c>
      <c r="D406" s="15" t="s">
        <v>13</v>
      </c>
      <c r="E406" s="15" t="s">
        <v>6</v>
      </c>
      <c r="F406" s="14">
        <v>120</v>
      </c>
      <c r="G406" s="16">
        <v>44843</v>
      </c>
      <c r="H406" s="7">
        <f t="shared" si="6"/>
        <v>2</v>
      </c>
      <c r="I40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406" s="24" t="str">
        <f>TEXT(Table1[[#This Row],[Date]],"mmm")</f>
        <v>Oct</v>
      </c>
    </row>
    <row r="407" spans="1:10" ht="15" customHeight="1">
      <c r="A407" s="14" t="s">
        <v>140</v>
      </c>
      <c r="B407" s="15" t="s">
        <v>42</v>
      </c>
      <c r="C407" s="15" t="s">
        <v>10</v>
      </c>
      <c r="D407" s="15" t="s">
        <v>8</v>
      </c>
      <c r="E407" s="15" t="s">
        <v>6</v>
      </c>
      <c r="F407" s="14">
        <v>20</v>
      </c>
      <c r="G407" s="16">
        <v>44843</v>
      </c>
      <c r="H407" s="7">
        <f t="shared" si="6"/>
        <v>0.33333333333333331</v>
      </c>
      <c r="I40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407" s="24" t="str">
        <f>TEXT(Table1[[#This Row],[Date]],"mmm")</f>
        <v>Oct</v>
      </c>
    </row>
    <row r="408" spans="1:10" ht="15" customHeight="1">
      <c r="A408" s="14" t="s">
        <v>140</v>
      </c>
      <c r="B408" s="15" t="s">
        <v>159</v>
      </c>
      <c r="C408" s="15" t="s">
        <v>44</v>
      </c>
      <c r="D408" s="15" t="s">
        <v>8</v>
      </c>
      <c r="E408" s="15" t="s">
        <v>12</v>
      </c>
      <c r="F408" s="14">
        <v>95</v>
      </c>
      <c r="G408" s="16">
        <v>44843</v>
      </c>
      <c r="H408" s="7">
        <f t="shared" si="6"/>
        <v>1.5833333333333333</v>
      </c>
      <c r="I40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408" s="24" t="str">
        <f>TEXT(Table1[[#This Row],[Date]],"mmm")</f>
        <v>Oct</v>
      </c>
    </row>
    <row r="409" spans="1:10" ht="15" customHeight="1">
      <c r="A409" s="14" t="s">
        <v>140</v>
      </c>
      <c r="B409" s="15" t="s">
        <v>160</v>
      </c>
      <c r="C409" s="15" t="s">
        <v>17</v>
      </c>
      <c r="D409" s="15" t="s">
        <v>11</v>
      </c>
      <c r="E409" s="15" t="s">
        <v>17</v>
      </c>
      <c r="F409" s="14">
        <v>45</v>
      </c>
      <c r="G409" s="16">
        <v>44843</v>
      </c>
      <c r="H409" s="7">
        <f t="shared" si="6"/>
        <v>0.75</v>
      </c>
      <c r="I40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409" s="24" t="str">
        <f>TEXT(Table1[[#This Row],[Date]],"mmm")</f>
        <v>Oct</v>
      </c>
    </row>
    <row r="410" spans="1:10" ht="15" customHeight="1">
      <c r="A410" s="14" t="s">
        <v>140</v>
      </c>
      <c r="B410" s="15" t="s">
        <v>159</v>
      </c>
      <c r="C410" s="15" t="s">
        <v>23</v>
      </c>
      <c r="D410" s="15" t="s">
        <v>13</v>
      </c>
      <c r="E410" s="15" t="s">
        <v>134</v>
      </c>
      <c r="F410" s="14">
        <v>35</v>
      </c>
      <c r="G410" s="16">
        <v>44843</v>
      </c>
      <c r="H410" s="7">
        <f t="shared" si="6"/>
        <v>0.58333333333333337</v>
      </c>
      <c r="I41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410" s="24" t="str">
        <f>TEXT(Table1[[#This Row],[Date]],"mmm")</f>
        <v>Oct</v>
      </c>
    </row>
    <row r="411" spans="1:10" ht="15" customHeight="1">
      <c r="A411" s="14" t="s">
        <v>140</v>
      </c>
      <c r="B411" s="15" t="s">
        <v>159</v>
      </c>
      <c r="C411" s="15" t="s">
        <v>93</v>
      </c>
      <c r="D411" s="15" t="s">
        <v>13</v>
      </c>
      <c r="E411" s="15" t="s">
        <v>6</v>
      </c>
      <c r="F411" s="14">
        <v>40</v>
      </c>
      <c r="G411" s="16">
        <v>44843</v>
      </c>
      <c r="H411" s="7">
        <f t="shared" si="6"/>
        <v>0.66666666666666663</v>
      </c>
      <c r="I41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411" s="24" t="str">
        <f>TEXT(Table1[[#This Row],[Date]],"mmm")</f>
        <v>Oct</v>
      </c>
    </row>
    <row r="412" spans="1:10" ht="15" customHeight="1">
      <c r="A412" s="14" t="s">
        <v>140</v>
      </c>
      <c r="B412" s="15" t="s">
        <v>159</v>
      </c>
      <c r="C412" s="15" t="s">
        <v>86</v>
      </c>
      <c r="D412" s="15" t="s">
        <v>11</v>
      </c>
      <c r="E412" s="15" t="s">
        <v>6</v>
      </c>
      <c r="F412" s="14">
        <v>50</v>
      </c>
      <c r="G412" s="16">
        <v>44843</v>
      </c>
      <c r="H412" s="7">
        <f t="shared" si="6"/>
        <v>0.83333333333333337</v>
      </c>
      <c r="I41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412" s="24" t="str">
        <f>TEXT(Table1[[#This Row],[Date]],"mmm")</f>
        <v>Oct</v>
      </c>
    </row>
    <row r="413" spans="1:10" ht="15" customHeight="1">
      <c r="A413" s="14" t="s">
        <v>141</v>
      </c>
      <c r="B413" s="15" t="s">
        <v>10</v>
      </c>
      <c r="C413" s="15" t="s">
        <v>10</v>
      </c>
      <c r="D413" s="15" t="s">
        <v>8</v>
      </c>
      <c r="E413" s="15" t="s">
        <v>10</v>
      </c>
      <c r="F413" s="14">
        <v>20</v>
      </c>
      <c r="G413" s="16">
        <v>44844</v>
      </c>
      <c r="H413" s="7">
        <f t="shared" si="6"/>
        <v>0.33333333333333331</v>
      </c>
      <c r="I41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413" s="24" t="str">
        <f>TEXT(Table1[[#This Row],[Date]],"mmm")</f>
        <v>Oct</v>
      </c>
    </row>
    <row r="414" spans="1:10" ht="15" customHeight="1">
      <c r="A414" s="14" t="s">
        <v>141</v>
      </c>
      <c r="B414" s="15" t="s">
        <v>142</v>
      </c>
      <c r="C414" s="15" t="s">
        <v>137</v>
      </c>
      <c r="D414" s="15" t="s">
        <v>8</v>
      </c>
      <c r="E414" s="15" t="s">
        <v>35</v>
      </c>
      <c r="F414" s="14">
        <v>120</v>
      </c>
      <c r="G414" s="16">
        <v>44844</v>
      </c>
      <c r="H414" s="7">
        <f t="shared" si="6"/>
        <v>2</v>
      </c>
      <c r="I41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414" s="24" t="str">
        <f>TEXT(Table1[[#This Row],[Date]],"mmm")</f>
        <v>Oct</v>
      </c>
    </row>
    <row r="415" spans="1:10" ht="15" customHeight="1">
      <c r="A415" s="14" t="s">
        <v>141</v>
      </c>
      <c r="B415" s="15" t="s">
        <v>36</v>
      </c>
      <c r="C415" s="15" t="s">
        <v>37</v>
      </c>
      <c r="D415" s="15" t="s">
        <v>8</v>
      </c>
      <c r="E415" s="15" t="s">
        <v>36</v>
      </c>
      <c r="F415" s="14">
        <v>60</v>
      </c>
      <c r="G415" s="16">
        <v>44844</v>
      </c>
      <c r="H415" s="7">
        <f t="shared" si="6"/>
        <v>1</v>
      </c>
      <c r="I41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415" s="24" t="str">
        <f>TEXT(Table1[[#This Row],[Date]],"mmm")</f>
        <v>Oct</v>
      </c>
    </row>
    <row r="416" spans="1:10" ht="15" customHeight="1">
      <c r="A416" s="14" t="s">
        <v>141</v>
      </c>
      <c r="B416" s="15" t="s">
        <v>157</v>
      </c>
      <c r="C416" s="15" t="s">
        <v>16</v>
      </c>
      <c r="D416" s="15" t="s">
        <v>8</v>
      </c>
      <c r="E416" s="15" t="s">
        <v>9</v>
      </c>
      <c r="F416" s="14">
        <v>30</v>
      </c>
      <c r="G416" s="16">
        <v>44844</v>
      </c>
      <c r="H416" s="7">
        <f t="shared" si="6"/>
        <v>0.5</v>
      </c>
      <c r="I41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416" s="24" t="str">
        <f>TEXT(Table1[[#This Row],[Date]],"mmm")</f>
        <v>Oct</v>
      </c>
    </row>
    <row r="417" spans="1:10" ht="15" customHeight="1">
      <c r="A417" s="14" t="s">
        <v>141</v>
      </c>
      <c r="B417" s="15" t="s">
        <v>157</v>
      </c>
      <c r="C417" s="15" t="s">
        <v>44</v>
      </c>
      <c r="D417" s="15" t="s">
        <v>8</v>
      </c>
      <c r="E417" s="15" t="s">
        <v>12</v>
      </c>
      <c r="F417" s="14">
        <v>90</v>
      </c>
      <c r="G417" s="16">
        <v>44844</v>
      </c>
      <c r="H417" s="7">
        <f t="shared" si="6"/>
        <v>1.5</v>
      </c>
      <c r="I41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417" s="24" t="str">
        <f>TEXT(Table1[[#This Row],[Date]],"mmm")</f>
        <v>Oct</v>
      </c>
    </row>
    <row r="418" spans="1:10" ht="15" customHeight="1">
      <c r="A418" s="14" t="s">
        <v>141</v>
      </c>
      <c r="B418" s="15" t="s">
        <v>157</v>
      </c>
      <c r="C418" s="15" t="s">
        <v>17</v>
      </c>
      <c r="D418" s="15" t="s">
        <v>8</v>
      </c>
      <c r="E418" s="15" t="s">
        <v>17</v>
      </c>
      <c r="F418" s="14">
        <v>10</v>
      </c>
      <c r="G418" s="16">
        <v>44844</v>
      </c>
      <c r="H418" s="7">
        <f t="shared" si="6"/>
        <v>0.16666666666666666</v>
      </c>
      <c r="I41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418" s="24" t="str">
        <f>TEXT(Table1[[#This Row],[Date]],"mmm")</f>
        <v>Oct</v>
      </c>
    </row>
    <row r="419" spans="1:10" ht="15" customHeight="1">
      <c r="A419" s="14" t="s">
        <v>141</v>
      </c>
      <c r="B419" s="15" t="s">
        <v>142</v>
      </c>
      <c r="C419" s="15" t="s">
        <v>87</v>
      </c>
      <c r="D419" s="15" t="s">
        <v>13</v>
      </c>
      <c r="E419" s="15" t="s">
        <v>9</v>
      </c>
      <c r="F419" s="14">
        <v>60</v>
      </c>
      <c r="G419" s="16">
        <v>44844</v>
      </c>
      <c r="H419" s="7">
        <f t="shared" si="6"/>
        <v>1</v>
      </c>
      <c r="I41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419" s="24" t="str">
        <f>TEXT(Table1[[#This Row],[Date]],"mmm")</f>
        <v>Oct</v>
      </c>
    </row>
    <row r="420" spans="1:10" ht="15" customHeight="1">
      <c r="A420" s="14" t="s">
        <v>141</v>
      </c>
      <c r="B420" s="15" t="s">
        <v>154</v>
      </c>
      <c r="C420" s="15" t="s">
        <v>156</v>
      </c>
      <c r="D420" s="15" t="s">
        <v>13</v>
      </c>
      <c r="E420" s="15" t="s">
        <v>6</v>
      </c>
      <c r="F420" s="14">
        <v>110</v>
      </c>
      <c r="G420" s="16">
        <v>44844</v>
      </c>
      <c r="H420" s="7">
        <f t="shared" si="6"/>
        <v>1.8333333333333333</v>
      </c>
      <c r="I42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420" s="24" t="str">
        <f>TEXT(Table1[[#This Row],[Date]],"mmm")</f>
        <v>Oct</v>
      </c>
    </row>
    <row r="421" spans="1:10" ht="15" customHeight="1">
      <c r="A421" s="14" t="s">
        <v>140</v>
      </c>
      <c r="B421" s="15" t="s">
        <v>159</v>
      </c>
      <c r="C421" s="15" t="s">
        <v>47</v>
      </c>
      <c r="D421" s="15" t="s">
        <v>8</v>
      </c>
      <c r="E421" s="15" t="s">
        <v>9</v>
      </c>
      <c r="F421" s="14">
        <v>30</v>
      </c>
      <c r="G421" s="16">
        <v>44844</v>
      </c>
      <c r="H421" s="7">
        <f t="shared" si="6"/>
        <v>0.5</v>
      </c>
      <c r="I42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421" s="24" t="str">
        <f>TEXT(Table1[[#This Row],[Date]],"mmm")</f>
        <v>Oct</v>
      </c>
    </row>
    <row r="422" spans="1:10" ht="15" customHeight="1">
      <c r="A422" s="14" t="s">
        <v>140</v>
      </c>
      <c r="B422" s="15" t="s">
        <v>10</v>
      </c>
      <c r="C422" s="15" t="s">
        <v>10</v>
      </c>
      <c r="D422" s="15" t="s">
        <v>8</v>
      </c>
      <c r="E422" s="15" t="s">
        <v>10</v>
      </c>
      <c r="F422" s="14">
        <v>25</v>
      </c>
      <c r="G422" s="16">
        <v>44844</v>
      </c>
      <c r="H422" s="7">
        <f t="shared" si="6"/>
        <v>0.41666666666666669</v>
      </c>
      <c r="I42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422" s="24" t="str">
        <f>TEXT(Table1[[#This Row],[Date]],"mmm")</f>
        <v>Oct</v>
      </c>
    </row>
    <row r="423" spans="1:10" ht="15" customHeight="1">
      <c r="A423" s="14" t="s">
        <v>140</v>
      </c>
      <c r="B423" s="15" t="s">
        <v>20</v>
      </c>
      <c r="C423" s="15" t="s">
        <v>10</v>
      </c>
      <c r="D423" s="15" t="s">
        <v>8</v>
      </c>
      <c r="E423" s="15" t="s">
        <v>20</v>
      </c>
      <c r="F423" s="14">
        <v>30</v>
      </c>
      <c r="G423" s="16">
        <v>44844</v>
      </c>
      <c r="H423" s="7">
        <f t="shared" si="6"/>
        <v>0.5</v>
      </c>
      <c r="I42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423" s="24" t="str">
        <f>TEXT(Table1[[#This Row],[Date]],"mmm")</f>
        <v>Oct</v>
      </c>
    </row>
    <row r="424" spans="1:10" ht="15" customHeight="1">
      <c r="A424" s="14" t="s">
        <v>140</v>
      </c>
      <c r="B424" s="15" t="s">
        <v>152</v>
      </c>
      <c r="C424" s="15" t="s">
        <v>153</v>
      </c>
      <c r="D424" s="15" t="s">
        <v>8</v>
      </c>
      <c r="E424" s="15" t="s">
        <v>12</v>
      </c>
      <c r="F424" s="14">
        <v>45</v>
      </c>
      <c r="G424" s="16">
        <v>44844</v>
      </c>
      <c r="H424" s="7">
        <f t="shared" si="6"/>
        <v>0.75</v>
      </c>
      <c r="I42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424" s="24" t="str">
        <f>TEXT(Table1[[#This Row],[Date]],"mmm")</f>
        <v>Oct</v>
      </c>
    </row>
    <row r="425" spans="1:10" ht="15" customHeight="1">
      <c r="A425" s="14" t="s">
        <v>140</v>
      </c>
      <c r="B425" s="15" t="s">
        <v>159</v>
      </c>
      <c r="C425" s="15" t="s">
        <v>66</v>
      </c>
      <c r="D425" s="15" t="s">
        <v>13</v>
      </c>
      <c r="E425" s="15" t="s">
        <v>66</v>
      </c>
      <c r="F425" s="14">
        <v>35</v>
      </c>
      <c r="G425" s="16">
        <v>44844</v>
      </c>
      <c r="H425" s="7">
        <f t="shared" si="6"/>
        <v>0.58333333333333337</v>
      </c>
      <c r="I42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425" s="24" t="str">
        <f>TEXT(Table1[[#This Row],[Date]],"mmm")</f>
        <v>Oct</v>
      </c>
    </row>
    <row r="426" spans="1:10" ht="15" customHeight="1">
      <c r="A426" s="14" t="s">
        <v>140</v>
      </c>
      <c r="B426" s="15" t="s">
        <v>159</v>
      </c>
      <c r="C426" s="15" t="s">
        <v>44</v>
      </c>
      <c r="D426" s="15" t="s">
        <v>8</v>
      </c>
      <c r="E426" s="15" t="s">
        <v>12</v>
      </c>
      <c r="F426" s="14">
        <v>90</v>
      </c>
      <c r="G426" s="16">
        <v>44844</v>
      </c>
      <c r="H426" s="7">
        <f t="shared" si="6"/>
        <v>1.5</v>
      </c>
      <c r="I42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426" s="24" t="str">
        <f>TEXT(Table1[[#This Row],[Date]],"mmm")</f>
        <v>Oct</v>
      </c>
    </row>
    <row r="427" spans="1:10" ht="15" customHeight="1">
      <c r="A427" s="14" t="s">
        <v>140</v>
      </c>
      <c r="B427" s="15" t="s">
        <v>154</v>
      </c>
      <c r="C427" s="15" t="s">
        <v>17</v>
      </c>
      <c r="D427" s="15" t="s">
        <v>11</v>
      </c>
      <c r="E427" s="15" t="s">
        <v>17</v>
      </c>
      <c r="F427" s="14">
        <v>25</v>
      </c>
      <c r="G427" s="16">
        <v>44844</v>
      </c>
      <c r="H427" s="7">
        <f t="shared" si="6"/>
        <v>0.41666666666666669</v>
      </c>
      <c r="I42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427" s="24" t="str">
        <f>TEXT(Table1[[#This Row],[Date]],"mmm")</f>
        <v>Oct</v>
      </c>
    </row>
    <row r="428" spans="1:10" ht="15" customHeight="1">
      <c r="A428" s="14" t="s">
        <v>140</v>
      </c>
      <c r="B428" s="15" t="s">
        <v>159</v>
      </c>
      <c r="C428" s="15" t="s">
        <v>49</v>
      </c>
      <c r="D428" s="15" t="s">
        <v>13</v>
      </c>
      <c r="E428" s="15" t="s">
        <v>9</v>
      </c>
      <c r="F428" s="14">
        <v>35</v>
      </c>
      <c r="G428" s="16">
        <v>44844</v>
      </c>
      <c r="H428" s="7">
        <f t="shared" si="6"/>
        <v>0.58333333333333337</v>
      </c>
      <c r="I42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428" s="24" t="str">
        <f>TEXT(Table1[[#This Row],[Date]],"mmm")</f>
        <v>Oct</v>
      </c>
    </row>
    <row r="429" spans="1:10" ht="15" customHeight="1">
      <c r="A429" s="14" t="s">
        <v>140</v>
      </c>
      <c r="B429" s="15" t="s">
        <v>160</v>
      </c>
      <c r="C429" s="15" t="s">
        <v>78</v>
      </c>
      <c r="D429" s="15" t="s">
        <v>11</v>
      </c>
      <c r="E429" s="15" t="s">
        <v>6</v>
      </c>
      <c r="F429" s="14">
        <v>35</v>
      </c>
      <c r="G429" s="16">
        <v>44844</v>
      </c>
      <c r="H429" s="7">
        <f t="shared" si="6"/>
        <v>0.58333333333333337</v>
      </c>
      <c r="I42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429" s="24" t="str">
        <f>TEXT(Table1[[#This Row],[Date]],"mmm")</f>
        <v>Oct</v>
      </c>
    </row>
    <row r="430" spans="1:10" ht="15" customHeight="1">
      <c r="A430" s="14" t="s">
        <v>140</v>
      </c>
      <c r="B430" s="15" t="s">
        <v>159</v>
      </c>
      <c r="C430" s="15" t="s">
        <v>48</v>
      </c>
      <c r="D430" s="15" t="s">
        <v>11</v>
      </c>
      <c r="E430" s="15" t="s">
        <v>88</v>
      </c>
      <c r="F430" s="14">
        <v>45</v>
      </c>
      <c r="G430" s="16">
        <v>44844</v>
      </c>
      <c r="H430" s="7">
        <f t="shared" si="6"/>
        <v>0.75</v>
      </c>
      <c r="I43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430" s="24" t="str">
        <f>TEXT(Table1[[#This Row],[Date]],"mmm")</f>
        <v>Oct</v>
      </c>
    </row>
    <row r="431" spans="1:10" ht="15" customHeight="1">
      <c r="A431" s="14" t="s">
        <v>140</v>
      </c>
      <c r="B431" s="15" t="s">
        <v>159</v>
      </c>
      <c r="C431" s="15" t="s">
        <v>15</v>
      </c>
      <c r="D431" s="15" t="s">
        <v>11</v>
      </c>
      <c r="E431" s="15" t="s">
        <v>9</v>
      </c>
      <c r="F431" s="14">
        <v>30</v>
      </c>
      <c r="G431" s="16">
        <v>44844</v>
      </c>
      <c r="H431" s="7">
        <f t="shared" si="6"/>
        <v>0.5</v>
      </c>
      <c r="I43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431" s="24" t="str">
        <f>TEXT(Table1[[#This Row],[Date]],"mmm")</f>
        <v>Oct</v>
      </c>
    </row>
    <row r="432" spans="1:10" ht="15" customHeight="1">
      <c r="A432" s="14" t="s">
        <v>140</v>
      </c>
      <c r="B432" s="15" t="s">
        <v>159</v>
      </c>
      <c r="C432" s="15" t="s">
        <v>30</v>
      </c>
      <c r="D432" s="15" t="s">
        <v>11</v>
      </c>
      <c r="E432" s="15" t="s">
        <v>9</v>
      </c>
      <c r="F432" s="14">
        <v>30</v>
      </c>
      <c r="G432" s="16">
        <v>44844</v>
      </c>
      <c r="H432" s="7">
        <f t="shared" si="6"/>
        <v>0.5</v>
      </c>
      <c r="I43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432" s="24" t="str">
        <f>TEXT(Table1[[#This Row],[Date]],"mmm")</f>
        <v>Oct</v>
      </c>
    </row>
    <row r="433" spans="1:10" ht="15" customHeight="1">
      <c r="A433" s="14" t="s">
        <v>140</v>
      </c>
      <c r="B433" s="15" t="s">
        <v>144</v>
      </c>
      <c r="C433" s="15" t="s">
        <v>50</v>
      </c>
      <c r="D433" s="15" t="s">
        <v>11</v>
      </c>
      <c r="E433" s="15" t="s">
        <v>9</v>
      </c>
      <c r="F433" s="14">
        <v>25</v>
      </c>
      <c r="G433" s="16">
        <v>44844</v>
      </c>
      <c r="H433" s="7">
        <f t="shared" si="6"/>
        <v>0.41666666666666669</v>
      </c>
      <c r="I43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433" s="24" t="str">
        <f>TEXT(Table1[[#This Row],[Date]],"mmm")</f>
        <v>Oct</v>
      </c>
    </row>
    <row r="434" spans="1:10" ht="15" customHeight="1">
      <c r="A434" s="14" t="s">
        <v>140</v>
      </c>
      <c r="B434" s="15" t="s">
        <v>159</v>
      </c>
      <c r="C434" s="15" t="s">
        <v>172</v>
      </c>
      <c r="D434" s="15" t="s">
        <v>11</v>
      </c>
      <c r="E434" s="15" t="s">
        <v>9</v>
      </c>
      <c r="F434" s="14">
        <v>35</v>
      </c>
      <c r="G434" s="16">
        <v>44844</v>
      </c>
      <c r="H434" s="7">
        <f t="shared" si="6"/>
        <v>0.58333333333333337</v>
      </c>
      <c r="I43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434" s="24" t="str">
        <f>TEXT(Table1[[#This Row],[Date]],"mmm")</f>
        <v>Oct</v>
      </c>
    </row>
    <row r="435" spans="1:10" ht="15" customHeight="1">
      <c r="A435" s="14" t="s">
        <v>141</v>
      </c>
      <c r="B435" s="15" t="s">
        <v>10</v>
      </c>
      <c r="C435" s="15" t="s">
        <v>10</v>
      </c>
      <c r="D435" s="15" t="s">
        <v>8</v>
      </c>
      <c r="E435" s="15" t="s">
        <v>10</v>
      </c>
      <c r="F435" s="14">
        <v>20</v>
      </c>
      <c r="G435" s="16">
        <v>44845</v>
      </c>
      <c r="H435" s="7">
        <f t="shared" si="6"/>
        <v>0.33333333333333331</v>
      </c>
      <c r="I43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435" s="24" t="str">
        <f>TEXT(Table1[[#This Row],[Date]],"mmm")</f>
        <v>Oct</v>
      </c>
    </row>
    <row r="436" spans="1:10" ht="15" customHeight="1">
      <c r="A436" s="14" t="s">
        <v>141</v>
      </c>
      <c r="B436" s="15" t="s">
        <v>36</v>
      </c>
      <c r="C436" s="15" t="s">
        <v>37</v>
      </c>
      <c r="D436" s="15" t="s">
        <v>8</v>
      </c>
      <c r="E436" s="15" t="s">
        <v>36</v>
      </c>
      <c r="F436" s="14">
        <v>60</v>
      </c>
      <c r="G436" s="16">
        <v>44845</v>
      </c>
      <c r="H436" s="7">
        <f t="shared" si="6"/>
        <v>1</v>
      </c>
      <c r="I43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436" s="24" t="str">
        <f>TEXT(Table1[[#This Row],[Date]],"mmm")</f>
        <v>Oct</v>
      </c>
    </row>
    <row r="437" spans="1:10" ht="15" customHeight="1">
      <c r="A437" s="14" t="s">
        <v>141</v>
      </c>
      <c r="B437" s="15" t="s">
        <v>157</v>
      </c>
      <c r="C437" s="15" t="s">
        <v>16</v>
      </c>
      <c r="D437" s="15" t="s">
        <v>8</v>
      </c>
      <c r="E437" s="15" t="s">
        <v>9</v>
      </c>
      <c r="F437" s="14">
        <v>30</v>
      </c>
      <c r="G437" s="16">
        <v>44845</v>
      </c>
      <c r="H437" s="7">
        <f t="shared" si="6"/>
        <v>0.5</v>
      </c>
      <c r="I43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437" s="24" t="str">
        <f>TEXT(Table1[[#This Row],[Date]],"mmm")</f>
        <v>Oct</v>
      </c>
    </row>
    <row r="438" spans="1:10" ht="15" customHeight="1">
      <c r="A438" s="14" t="s">
        <v>141</v>
      </c>
      <c r="B438" s="15" t="s">
        <v>142</v>
      </c>
      <c r="C438" s="15" t="s">
        <v>75</v>
      </c>
      <c r="D438" s="15" t="s">
        <v>69</v>
      </c>
      <c r="E438" s="15" t="s">
        <v>75</v>
      </c>
      <c r="F438" s="14">
        <v>280</v>
      </c>
      <c r="G438" s="16">
        <v>44845</v>
      </c>
      <c r="H438" s="7">
        <f t="shared" si="6"/>
        <v>4.666666666666667</v>
      </c>
      <c r="I43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438" s="24" t="str">
        <f>TEXT(Table1[[#This Row],[Date]],"mmm")</f>
        <v>Oct</v>
      </c>
    </row>
    <row r="439" spans="1:10" ht="15" customHeight="1">
      <c r="A439" s="14" t="s">
        <v>141</v>
      </c>
      <c r="B439" s="15" t="s">
        <v>157</v>
      </c>
      <c r="C439" s="15" t="s">
        <v>44</v>
      </c>
      <c r="D439" s="15" t="s">
        <v>8</v>
      </c>
      <c r="E439" s="15" t="s">
        <v>12</v>
      </c>
      <c r="F439" s="14">
        <v>90</v>
      </c>
      <c r="G439" s="16">
        <v>44845</v>
      </c>
      <c r="H439" s="7">
        <f t="shared" si="6"/>
        <v>1.5</v>
      </c>
      <c r="I43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439" s="24" t="str">
        <f>TEXT(Table1[[#This Row],[Date]],"mmm")</f>
        <v>Oct</v>
      </c>
    </row>
    <row r="440" spans="1:10" ht="15" customHeight="1">
      <c r="A440" s="14" t="s">
        <v>140</v>
      </c>
      <c r="B440" s="15" t="s">
        <v>159</v>
      </c>
      <c r="C440" s="15" t="s">
        <v>48</v>
      </c>
      <c r="D440" s="15" t="s">
        <v>11</v>
      </c>
      <c r="E440" s="15" t="s">
        <v>88</v>
      </c>
      <c r="F440" s="14">
        <v>20</v>
      </c>
      <c r="G440" s="16">
        <v>44845</v>
      </c>
      <c r="H440" s="7">
        <f t="shared" si="6"/>
        <v>0.33333333333333331</v>
      </c>
      <c r="I44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440" s="24" t="str">
        <f>TEXT(Table1[[#This Row],[Date]],"mmm")</f>
        <v>Oct</v>
      </c>
    </row>
    <row r="441" spans="1:10" ht="15" customHeight="1">
      <c r="A441" s="14" t="s">
        <v>140</v>
      </c>
      <c r="B441" s="15" t="s">
        <v>10</v>
      </c>
      <c r="C441" s="15" t="s">
        <v>10</v>
      </c>
      <c r="D441" s="15" t="s">
        <v>8</v>
      </c>
      <c r="E441" s="15" t="s">
        <v>10</v>
      </c>
      <c r="F441" s="14">
        <v>20</v>
      </c>
      <c r="G441" s="16">
        <v>44845</v>
      </c>
      <c r="H441" s="7">
        <f t="shared" si="6"/>
        <v>0.33333333333333331</v>
      </c>
      <c r="I44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441" s="24" t="str">
        <f>TEXT(Table1[[#This Row],[Date]],"mmm")</f>
        <v>Oct</v>
      </c>
    </row>
    <row r="442" spans="1:10" ht="15" customHeight="1">
      <c r="A442" s="14" t="s">
        <v>140</v>
      </c>
      <c r="B442" s="15" t="s">
        <v>20</v>
      </c>
      <c r="C442" s="15" t="s">
        <v>20</v>
      </c>
      <c r="D442" s="15" t="s">
        <v>11</v>
      </c>
      <c r="E442" s="15" t="s">
        <v>20</v>
      </c>
      <c r="F442" s="14">
        <v>45</v>
      </c>
      <c r="G442" s="16">
        <v>44845</v>
      </c>
      <c r="H442" s="7">
        <f t="shared" si="6"/>
        <v>0.75</v>
      </c>
      <c r="I44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442" s="24" t="str">
        <f>TEXT(Table1[[#This Row],[Date]],"mmm")</f>
        <v>Oct</v>
      </c>
    </row>
    <row r="443" spans="1:10" ht="15" customHeight="1">
      <c r="A443" s="14" t="s">
        <v>140</v>
      </c>
      <c r="B443" s="15" t="s">
        <v>159</v>
      </c>
      <c r="C443" s="15" t="s">
        <v>52</v>
      </c>
      <c r="D443" s="15" t="s">
        <v>138</v>
      </c>
      <c r="E443" s="15" t="s">
        <v>9</v>
      </c>
      <c r="F443" s="14">
        <v>45</v>
      </c>
      <c r="G443" s="16">
        <v>44845</v>
      </c>
      <c r="H443" s="7">
        <f t="shared" si="6"/>
        <v>0.75</v>
      </c>
      <c r="I44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443" s="24" t="str">
        <f>TEXT(Table1[[#This Row],[Date]],"mmm")</f>
        <v>Oct</v>
      </c>
    </row>
    <row r="444" spans="1:10" ht="15" customHeight="1">
      <c r="A444" s="14" t="s">
        <v>140</v>
      </c>
      <c r="B444" s="15" t="s">
        <v>159</v>
      </c>
      <c r="C444" s="15" t="s">
        <v>84</v>
      </c>
      <c r="D444" s="15" t="s">
        <v>138</v>
      </c>
      <c r="E444" s="15" t="s">
        <v>9</v>
      </c>
      <c r="F444" s="14">
        <v>45</v>
      </c>
      <c r="G444" s="16">
        <v>44845</v>
      </c>
      <c r="H444" s="7">
        <f t="shared" si="6"/>
        <v>0.75</v>
      </c>
      <c r="I44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444" s="24" t="str">
        <f>TEXT(Table1[[#This Row],[Date]],"mmm")</f>
        <v>Oct</v>
      </c>
    </row>
    <row r="445" spans="1:10" ht="15" customHeight="1">
      <c r="A445" s="14" t="s">
        <v>140</v>
      </c>
      <c r="B445" s="15" t="s">
        <v>152</v>
      </c>
      <c r="C445" s="15" t="s">
        <v>153</v>
      </c>
      <c r="D445" s="15" t="s">
        <v>8</v>
      </c>
      <c r="E445" s="15" t="s">
        <v>12</v>
      </c>
      <c r="F445" s="14">
        <v>25</v>
      </c>
      <c r="G445" s="16">
        <v>44845</v>
      </c>
      <c r="H445" s="7">
        <f t="shared" si="6"/>
        <v>0.41666666666666669</v>
      </c>
      <c r="I44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445" s="24" t="str">
        <f>TEXT(Table1[[#This Row],[Date]],"mmm")</f>
        <v>Oct</v>
      </c>
    </row>
    <row r="446" spans="1:10" ht="15" customHeight="1">
      <c r="A446" s="14" t="s">
        <v>140</v>
      </c>
      <c r="B446" s="15" t="s">
        <v>159</v>
      </c>
      <c r="C446" s="15" t="s">
        <v>44</v>
      </c>
      <c r="D446" s="15" t="s">
        <v>8</v>
      </c>
      <c r="E446" s="15" t="s">
        <v>12</v>
      </c>
      <c r="F446" s="14">
        <v>110</v>
      </c>
      <c r="G446" s="16">
        <v>44845</v>
      </c>
      <c r="H446" s="7">
        <f t="shared" si="6"/>
        <v>1.8333333333333333</v>
      </c>
      <c r="I44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446" s="24" t="str">
        <f>TEXT(Table1[[#This Row],[Date]],"mmm")</f>
        <v>Oct</v>
      </c>
    </row>
    <row r="447" spans="1:10" ht="15" customHeight="1">
      <c r="A447" s="14" t="s">
        <v>140</v>
      </c>
      <c r="B447" s="15" t="s">
        <v>159</v>
      </c>
      <c r="C447" s="15" t="s">
        <v>83</v>
      </c>
      <c r="D447" s="15" t="s">
        <v>138</v>
      </c>
      <c r="E447" s="15" t="s">
        <v>9</v>
      </c>
      <c r="F447" s="14">
        <v>20</v>
      </c>
      <c r="G447" s="16">
        <v>44845</v>
      </c>
      <c r="H447" s="7">
        <f t="shared" si="6"/>
        <v>0.33333333333333331</v>
      </c>
      <c r="I44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447" s="24" t="str">
        <f>TEXT(Table1[[#This Row],[Date]],"mmm")</f>
        <v>Oct</v>
      </c>
    </row>
    <row r="448" spans="1:10" ht="15" customHeight="1">
      <c r="A448" s="14" t="s">
        <v>140</v>
      </c>
      <c r="B448" s="15" t="s">
        <v>159</v>
      </c>
      <c r="C448" s="15" t="s">
        <v>15</v>
      </c>
      <c r="D448" s="15" t="s">
        <v>11</v>
      </c>
      <c r="E448" s="15" t="s">
        <v>9</v>
      </c>
      <c r="F448" s="14">
        <v>20</v>
      </c>
      <c r="G448" s="16">
        <v>44845</v>
      </c>
      <c r="H448" s="7">
        <f t="shared" si="6"/>
        <v>0.33333333333333331</v>
      </c>
      <c r="I44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448" s="24" t="str">
        <f>TEXT(Table1[[#This Row],[Date]],"mmm")</f>
        <v>Oct</v>
      </c>
    </row>
    <row r="449" spans="1:10" ht="15" customHeight="1">
      <c r="A449" s="14" t="s">
        <v>140</v>
      </c>
      <c r="B449" s="15" t="s">
        <v>159</v>
      </c>
      <c r="C449" s="15" t="s">
        <v>17</v>
      </c>
      <c r="D449" s="15" t="s">
        <v>11</v>
      </c>
      <c r="E449" s="15" t="s">
        <v>9</v>
      </c>
      <c r="F449" s="14">
        <v>20</v>
      </c>
      <c r="G449" s="16">
        <v>44845</v>
      </c>
      <c r="H449" s="7">
        <f t="shared" si="6"/>
        <v>0.33333333333333331</v>
      </c>
      <c r="I44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449" s="24" t="str">
        <f>TEXT(Table1[[#This Row],[Date]],"mmm")</f>
        <v>Oct</v>
      </c>
    </row>
    <row r="450" spans="1:10" ht="15" customHeight="1">
      <c r="A450" s="14" t="s">
        <v>140</v>
      </c>
      <c r="B450" s="15" t="s">
        <v>160</v>
      </c>
      <c r="C450" s="15" t="s">
        <v>17</v>
      </c>
      <c r="D450" s="15" t="s">
        <v>11</v>
      </c>
      <c r="E450" s="15" t="s">
        <v>9</v>
      </c>
      <c r="F450" s="14">
        <v>30</v>
      </c>
      <c r="G450" s="16">
        <v>44845</v>
      </c>
      <c r="H450" s="7">
        <f t="shared" ref="H450:H513" si="7">IFERROR(IF(ISBLANK(F450)=TRUE(),"",F450/60),"")</f>
        <v>0.5</v>
      </c>
      <c r="I45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450" s="24" t="str">
        <f>TEXT(Table1[[#This Row],[Date]],"mmm")</f>
        <v>Oct</v>
      </c>
    </row>
    <row r="451" spans="1:10" ht="15" customHeight="1">
      <c r="A451" s="14" t="s">
        <v>140</v>
      </c>
      <c r="B451" s="15" t="s">
        <v>159</v>
      </c>
      <c r="C451" s="15" t="s">
        <v>48</v>
      </c>
      <c r="D451" s="15" t="s">
        <v>11</v>
      </c>
      <c r="E451" s="15" t="s">
        <v>88</v>
      </c>
      <c r="F451" s="14">
        <v>20</v>
      </c>
      <c r="G451" s="16">
        <v>44845</v>
      </c>
      <c r="H451" s="7">
        <f t="shared" si="7"/>
        <v>0.33333333333333331</v>
      </c>
      <c r="I45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451" s="24" t="str">
        <f>TEXT(Table1[[#This Row],[Date]],"mmm")</f>
        <v>Oct</v>
      </c>
    </row>
    <row r="452" spans="1:10" ht="15" customHeight="1">
      <c r="A452" s="14" t="s">
        <v>140</v>
      </c>
      <c r="B452" s="15" t="s">
        <v>10</v>
      </c>
      <c r="C452" s="15" t="s">
        <v>10</v>
      </c>
      <c r="D452" s="15" t="s">
        <v>8</v>
      </c>
      <c r="E452" s="15" t="s">
        <v>10</v>
      </c>
      <c r="F452" s="14">
        <v>40</v>
      </c>
      <c r="G452" s="16">
        <v>44845</v>
      </c>
      <c r="H452" s="7">
        <f t="shared" si="7"/>
        <v>0.66666666666666663</v>
      </c>
      <c r="I45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452" s="24" t="str">
        <f>TEXT(Table1[[#This Row],[Date]],"mmm")</f>
        <v>Oct</v>
      </c>
    </row>
    <row r="453" spans="1:10" ht="15" customHeight="1">
      <c r="A453" s="14" t="s">
        <v>140</v>
      </c>
      <c r="B453" s="15" t="s">
        <v>159</v>
      </c>
      <c r="C453" s="15" t="s">
        <v>17</v>
      </c>
      <c r="D453" s="15" t="s">
        <v>11</v>
      </c>
      <c r="E453" s="15" t="s">
        <v>9</v>
      </c>
      <c r="F453" s="14">
        <v>45</v>
      </c>
      <c r="G453" s="16">
        <v>44845</v>
      </c>
      <c r="H453" s="7">
        <f t="shared" si="7"/>
        <v>0.75</v>
      </c>
      <c r="I45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453" s="24" t="str">
        <f>TEXT(Table1[[#This Row],[Date]],"mmm")</f>
        <v>Oct</v>
      </c>
    </row>
    <row r="454" spans="1:10" ht="15" customHeight="1">
      <c r="A454" s="14" t="s">
        <v>140</v>
      </c>
      <c r="B454" s="15" t="s">
        <v>159</v>
      </c>
      <c r="C454" s="15" t="s">
        <v>17</v>
      </c>
      <c r="D454" s="15" t="s">
        <v>11</v>
      </c>
      <c r="E454" s="15" t="s">
        <v>17</v>
      </c>
      <c r="F454" s="14">
        <v>20</v>
      </c>
      <c r="G454" s="16">
        <v>44845</v>
      </c>
      <c r="H454" s="7">
        <f t="shared" si="7"/>
        <v>0.33333333333333331</v>
      </c>
      <c r="I45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454" s="24" t="str">
        <f>TEXT(Table1[[#This Row],[Date]],"mmm")</f>
        <v>Oct</v>
      </c>
    </row>
    <row r="455" spans="1:10" ht="15" customHeight="1">
      <c r="A455" s="14" t="s">
        <v>140</v>
      </c>
      <c r="B455" s="15" t="s">
        <v>159</v>
      </c>
      <c r="C455" s="15" t="s">
        <v>17</v>
      </c>
      <c r="D455" s="15" t="s">
        <v>11</v>
      </c>
      <c r="E455" s="15" t="s">
        <v>9</v>
      </c>
      <c r="F455" s="14">
        <v>35</v>
      </c>
      <c r="G455" s="16">
        <v>44845</v>
      </c>
      <c r="H455" s="7">
        <f t="shared" si="7"/>
        <v>0.58333333333333337</v>
      </c>
      <c r="I45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455" s="24" t="str">
        <f>TEXT(Table1[[#This Row],[Date]],"mmm")</f>
        <v>Oct</v>
      </c>
    </row>
    <row r="456" spans="1:10" ht="15" customHeight="1">
      <c r="A456" s="14" t="s">
        <v>140</v>
      </c>
      <c r="B456" s="15" t="s">
        <v>160</v>
      </c>
      <c r="C456" s="15" t="s">
        <v>17</v>
      </c>
      <c r="D456" s="15" t="s">
        <v>11</v>
      </c>
      <c r="E456" s="15" t="s">
        <v>17</v>
      </c>
      <c r="F456" s="14">
        <v>40</v>
      </c>
      <c r="G456" s="16">
        <v>44845</v>
      </c>
      <c r="H456" s="7">
        <f t="shared" si="7"/>
        <v>0.66666666666666663</v>
      </c>
      <c r="I45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456" s="24" t="str">
        <f>TEXT(Table1[[#This Row],[Date]],"mmm")</f>
        <v>Oct</v>
      </c>
    </row>
    <row r="457" spans="1:10" ht="15" customHeight="1">
      <c r="A457" s="14" t="s">
        <v>140</v>
      </c>
      <c r="B457" s="15" t="s">
        <v>159</v>
      </c>
      <c r="C457" s="15" t="s">
        <v>52</v>
      </c>
      <c r="D457" s="15" t="s">
        <v>138</v>
      </c>
      <c r="E457" s="15" t="s">
        <v>9</v>
      </c>
      <c r="F457" s="14">
        <v>55</v>
      </c>
      <c r="G457" s="16">
        <v>44845</v>
      </c>
      <c r="H457" s="7">
        <f t="shared" si="7"/>
        <v>0.91666666666666663</v>
      </c>
      <c r="I45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457" s="24" t="str">
        <f>TEXT(Table1[[#This Row],[Date]],"mmm")</f>
        <v>Oct</v>
      </c>
    </row>
    <row r="458" spans="1:10" ht="15" customHeight="1">
      <c r="A458" s="14" t="s">
        <v>140</v>
      </c>
      <c r="B458" s="15" t="s">
        <v>159</v>
      </c>
      <c r="C458" s="15" t="s">
        <v>15</v>
      </c>
      <c r="D458" s="15" t="s">
        <v>138</v>
      </c>
      <c r="E458" s="15" t="s">
        <v>9</v>
      </c>
      <c r="F458" s="14">
        <v>45</v>
      </c>
      <c r="G458" s="16">
        <v>44845</v>
      </c>
      <c r="H458" s="7">
        <f t="shared" si="7"/>
        <v>0.75</v>
      </c>
      <c r="I45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458" s="24" t="str">
        <f>TEXT(Table1[[#This Row],[Date]],"mmm")</f>
        <v>Oct</v>
      </c>
    </row>
    <row r="459" spans="1:10" ht="15" customHeight="1">
      <c r="A459" s="14" t="s">
        <v>140</v>
      </c>
      <c r="B459" s="15" t="s">
        <v>152</v>
      </c>
      <c r="C459" s="15" t="s">
        <v>153</v>
      </c>
      <c r="D459" s="15" t="s">
        <v>8</v>
      </c>
      <c r="E459" s="15" t="s">
        <v>12</v>
      </c>
      <c r="F459" s="14">
        <v>25</v>
      </c>
      <c r="G459" s="16">
        <v>44845</v>
      </c>
      <c r="H459" s="7">
        <f t="shared" si="7"/>
        <v>0.41666666666666669</v>
      </c>
      <c r="I45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459" s="24" t="str">
        <f>TEXT(Table1[[#This Row],[Date]],"mmm")</f>
        <v>Oct</v>
      </c>
    </row>
    <row r="460" spans="1:10" ht="15" customHeight="1">
      <c r="A460" s="14" t="s">
        <v>140</v>
      </c>
      <c r="B460" s="15" t="s">
        <v>159</v>
      </c>
      <c r="C460" s="15" t="s">
        <v>44</v>
      </c>
      <c r="D460" s="15" t="s">
        <v>8</v>
      </c>
      <c r="E460" s="15" t="s">
        <v>12</v>
      </c>
      <c r="F460" s="14">
        <v>110</v>
      </c>
      <c r="G460" s="16">
        <v>44845</v>
      </c>
      <c r="H460" s="7">
        <f t="shared" si="7"/>
        <v>1.8333333333333333</v>
      </c>
      <c r="I46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460" s="24" t="str">
        <f>TEXT(Table1[[#This Row],[Date]],"mmm")</f>
        <v>Oct</v>
      </c>
    </row>
    <row r="461" spans="1:10" ht="15" customHeight="1">
      <c r="A461" s="14" t="s">
        <v>140</v>
      </c>
      <c r="B461" s="15" t="s">
        <v>159</v>
      </c>
      <c r="C461" s="15" t="s">
        <v>71</v>
      </c>
      <c r="D461" s="15" t="s">
        <v>138</v>
      </c>
      <c r="E461" s="15" t="s">
        <v>9</v>
      </c>
      <c r="F461" s="14">
        <v>20</v>
      </c>
      <c r="G461" s="16">
        <v>44845</v>
      </c>
      <c r="H461" s="7">
        <f t="shared" si="7"/>
        <v>0.33333333333333331</v>
      </c>
      <c r="I46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461" s="24" t="str">
        <f>TEXT(Table1[[#This Row],[Date]],"mmm")</f>
        <v>Oct</v>
      </c>
    </row>
    <row r="462" spans="1:10" ht="15" customHeight="1">
      <c r="A462" s="14" t="s">
        <v>140</v>
      </c>
      <c r="B462" s="15" t="s">
        <v>6</v>
      </c>
      <c r="C462" s="15" t="s">
        <v>7</v>
      </c>
      <c r="D462" s="15" t="s">
        <v>8</v>
      </c>
      <c r="E462" s="15" t="s">
        <v>9</v>
      </c>
      <c r="F462" s="14">
        <v>20</v>
      </c>
      <c r="G462" s="16">
        <v>44845</v>
      </c>
      <c r="H462" s="7">
        <f t="shared" si="7"/>
        <v>0.33333333333333331</v>
      </c>
      <c r="I46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462" s="24" t="str">
        <f>TEXT(Table1[[#This Row],[Date]],"mmm")</f>
        <v>Oct</v>
      </c>
    </row>
    <row r="463" spans="1:10" ht="15" customHeight="1">
      <c r="A463" s="14" t="s">
        <v>140</v>
      </c>
      <c r="B463" s="15" t="s">
        <v>6</v>
      </c>
      <c r="C463" s="15" t="s">
        <v>85</v>
      </c>
      <c r="D463" s="15" t="s">
        <v>11</v>
      </c>
      <c r="E463" s="15" t="s">
        <v>85</v>
      </c>
      <c r="F463" s="14">
        <v>95</v>
      </c>
      <c r="G463" s="16">
        <v>44845</v>
      </c>
      <c r="H463" s="7">
        <f t="shared" si="7"/>
        <v>1.5833333333333333</v>
      </c>
      <c r="I46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463" s="24" t="str">
        <f>TEXT(Table1[[#This Row],[Date]],"mmm")</f>
        <v>Oct</v>
      </c>
    </row>
    <row r="464" spans="1:10" ht="15" customHeight="1">
      <c r="A464" s="14" t="s">
        <v>140</v>
      </c>
      <c r="B464" s="15" t="s">
        <v>6</v>
      </c>
      <c r="C464" s="15" t="s">
        <v>7</v>
      </c>
      <c r="D464" s="15" t="s">
        <v>8</v>
      </c>
      <c r="E464" s="15" t="s">
        <v>9</v>
      </c>
      <c r="F464" s="14">
        <v>20</v>
      </c>
      <c r="G464" s="16">
        <v>44845</v>
      </c>
      <c r="H464" s="7">
        <f t="shared" si="7"/>
        <v>0.33333333333333331</v>
      </c>
      <c r="I46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464" s="24" t="str">
        <f>TEXT(Table1[[#This Row],[Date]],"mmm")</f>
        <v>Oct</v>
      </c>
    </row>
    <row r="465" spans="1:10" ht="15" customHeight="1">
      <c r="A465" s="14" t="s">
        <v>140</v>
      </c>
      <c r="B465" s="15" t="s">
        <v>159</v>
      </c>
      <c r="C465" s="15" t="s">
        <v>15</v>
      </c>
      <c r="D465" s="15" t="s">
        <v>11</v>
      </c>
      <c r="E465" s="15" t="s">
        <v>9</v>
      </c>
      <c r="F465" s="14">
        <v>35</v>
      </c>
      <c r="G465" s="16">
        <v>44845</v>
      </c>
      <c r="H465" s="7">
        <f t="shared" si="7"/>
        <v>0.58333333333333337</v>
      </c>
      <c r="I46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465" s="24" t="str">
        <f>TEXT(Table1[[#This Row],[Date]],"mmm")</f>
        <v>Oct</v>
      </c>
    </row>
    <row r="466" spans="1:10" ht="15" customHeight="1">
      <c r="A466" s="14" t="s">
        <v>141</v>
      </c>
      <c r="B466" s="15" t="s">
        <v>10</v>
      </c>
      <c r="C466" s="15" t="s">
        <v>10</v>
      </c>
      <c r="D466" s="15" t="s">
        <v>8</v>
      </c>
      <c r="E466" s="15" t="s">
        <v>10</v>
      </c>
      <c r="F466" s="14">
        <v>20</v>
      </c>
      <c r="G466" s="16">
        <v>44875</v>
      </c>
      <c r="H466" s="7">
        <f t="shared" si="7"/>
        <v>0.33333333333333331</v>
      </c>
      <c r="I46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06-Nov-22 - to - 12-Nov-22</v>
      </c>
      <c r="J466" s="24" t="str">
        <f>TEXT(Table1[[#This Row],[Date]],"mmm")</f>
        <v>Nov</v>
      </c>
    </row>
    <row r="467" spans="1:10" ht="15" customHeight="1">
      <c r="A467" s="14" t="s">
        <v>141</v>
      </c>
      <c r="B467" s="15" t="s">
        <v>36</v>
      </c>
      <c r="C467" s="15" t="s">
        <v>37</v>
      </c>
      <c r="D467" s="15" t="s">
        <v>8</v>
      </c>
      <c r="E467" s="15" t="s">
        <v>36</v>
      </c>
      <c r="F467" s="14">
        <v>50</v>
      </c>
      <c r="G467" s="16">
        <v>44875</v>
      </c>
      <c r="H467" s="7">
        <f t="shared" si="7"/>
        <v>0.83333333333333337</v>
      </c>
      <c r="I46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06-Nov-22 - to - 12-Nov-22</v>
      </c>
      <c r="J467" s="24" t="str">
        <f>TEXT(Table1[[#This Row],[Date]],"mmm")</f>
        <v>Nov</v>
      </c>
    </row>
    <row r="468" spans="1:10" ht="15" customHeight="1">
      <c r="A468" s="14" t="s">
        <v>141</v>
      </c>
      <c r="B468" s="15" t="s">
        <v>157</v>
      </c>
      <c r="C468" s="15" t="s">
        <v>16</v>
      </c>
      <c r="D468" s="15" t="s">
        <v>8</v>
      </c>
      <c r="E468" s="15" t="s">
        <v>9</v>
      </c>
      <c r="F468" s="14">
        <v>30</v>
      </c>
      <c r="G468" s="16">
        <v>44875</v>
      </c>
      <c r="H468" s="7">
        <f t="shared" si="7"/>
        <v>0.5</v>
      </c>
      <c r="I46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06-Nov-22 - to - 12-Nov-22</v>
      </c>
      <c r="J468" s="24" t="str">
        <f>TEXT(Table1[[#This Row],[Date]],"mmm")</f>
        <v>Nov</v>
      </c>
    </row>
    <row r="469" spans="1:10" ht="15" customHeight="1">
      <c r="A469" s="14" t="s">
        <v>141</v>
      </c>
      <c r="B469" s="15" t="s">
        <v>142</v>
      </c>
      <c r="C469" s="15" t="s">
        <v>89</v>
      </c>
      <c r="D469" s="15" t="s">
        <v>69</v>
      </c>
      <c r="E469" s="15" t="s">
        <v>75</v>
      </c>
      <c r="F469" s="14">
        <v>360</v>
      </c>
      <c r="G469" s="16">
        <v>44875</v>
      </c>
      <c r="H469" s="7">
        <f t="shared" si="7"/>
        <v>6</v>
      </c>
      <c r="I46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06-Nov-22 - to - 12-Nov-22</v>
      </c>
      <c r="J469" s="24" t="str">
        <f>TEXT(Table1[[#This Row],[Date]],"mmm")</f>
        <v>Nov</v>
      </c>
    </row>
    <row r="470" spans="1:10" ht="15" customHeight="1">
      <c r="A470" s="14" t="s">
        <v>141</v>
      </c>
      <c r="B470" s="15" t="s">
        <v>157</v>
      </c>
      <c r="C470" s="15" t="s">
        <v>90</v>
      </c>
      <c r="D470" s="15" t="s">
        <v>8</v>
      </c>
      <c r="E470" s="15" t="s">
        <v>31</v>
      </c>
      <c r="F470" s="14">
        <v>40</v>
      </c>
      <c r="G470" s="16">
        <v>44875</v>
      </c>
      <c r="H470" s="7">
        <f t="shared" si="7"/>
        <v>0.66666666666666663</v>
      </c>
      <c r="I47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06-Nov-22 - to - 12-Nov-22</v>
      </c>
      <c r="J470" s="24" t="str">
        <f>TEXT(Table1[[#This Row],[Date]],"mmm")</f>
        <v>Nov</v>
      </c>
    </row>
    <row r="471" spans="1:10" ht="15" customHeight="1">
      <c r="A471" s="14" t="s">
        <v>140</v>
      </c>
      <c r="B471" s="15" t="s">
        <v>159</v>
      </c>
      <c r="C471" s="15" t="s">
        <v>47</v>
      </c>
      <c r="D471" s="15" t="s">
        <v>8</v>
      </c>
      <c r="E471" s="15" t="s">
        <v>9</v>
      </c>
      <c r="F471" s="14">
        <v>35</v>
      </c>
      <c r="G471" s="16">
        <v>44875</v>
      </c>
      <c r="H471" s="7">
        <f t="shared" si="7"/>
        <v>0.58333333333333337</v>
      </c>
      <c r="I47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06-Nov-22 - to - 12-Nov-22</v>
      </c>
      <c r="J471" s="24" t="str">
        <f>TEXT(Table1[[#This Row],[Date]],"mmm")</f>
        <v>Nov</v>
      </c>
    </row>
    <row r="472" spans="1:10" ht="15" customHeight="1">
      <c r="A472" s="14" t="s">
        <v>140</v>
      </c>
      <c r="B472" s="15" t="s">
        <v>10</v>
      </c>
      <c r="C472" s="15" t="s">
        <v>10</v>
      </c>
      <c r="D472" s="15" t="s">
        <v>8</v>
      </c>
      <c r="E472" s="15" t="s">
        <v>10</v>
      </c>
      <c r="F472" s="14">
        <v>25</v>
      </c>
      <c r="G472" s="16">
        <v>44875</v>
      </c>
      <c r="H472" s="7">
        <f t="shared" si="7"/>
        <v>0.41666666666666669</v>
      </c>
      <c r="I47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06-Nov-22 - to - 12-Nov-22</v>
      </c>
      <c r="J472" s="24" t="str">
        <f>TEXT(Table1[[#This Row],[Date]],"mmm")</f>
        <v>Nov</v>
      </c>
    </row>
    <row r="473" spans="1:10" ht="15" customHeight="1">
      <c r="A473" s="14" t="s">
        <v>140</v>
      </c>
      <c r="B473" s="15" t="s">
        <v>152</v>
      </c>
      <c r="C473" s="15" t="s">
        <v>153</v>
      </c>
      <c r="D473" s="15" t="s">
        <v>8</v>
      </c>
      <c r="E473" s="15" t="s">
        <v>12</v>
      </c>
      <c r="F473" s="14">
        <v>35</v>
      </c>
      <c r="G473" s="16">
        <v>44875</v>
      </c>
      <c r="H473" s="7">
        <f t="shared" si="7"/>
        <v>0.58333333333333337</v>
      </c>
      <c r="I47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06-Nov-22 - to - 12-Nov-22</v>
      </c>
      <c r="J473" s="24" t="str">
        <f>TEXT(Table1[[#This Row],[Date]],"mmm")</f>
        <v>Nov</v>
      </c>
    </row>
    <row r="474" spans="1:10" ht="15" customHeight="1">
      <c r="A474" s="14" t="s">
        <v>140</v>
      </c>
      <c r="B474" s="15" t="s">
        <v>159</v>
      </c>
      <c r="C474" s="15" t="s">
        <v>22</v>
      </c>
      <c r="D474" s="15" t="s">
        <v>13</v>
      </c>
      <c r="E474" s="15" t="s">
        <v>22</v>
      </c>
      <c r="F474" s="14">
        <v>30</v>
      </c>
      <c r="G474" s="16">
        <v>44875</v>
      </c>
      <c r="H474" s="7">
        <f t="shared" si="7"/>
        <v>0.5</v>
      </c>
      <c r="I47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06-Nov-22 - to - 12-Nov-22</v>
      </c>
      <c r="J474" s="24" t="str">
        <f>TEXT(Table1[[#This Row],[Date]],"mmm")</f>
        <v>Nov</v>
      </c>
    </row>
    <row r="475" spans="1:10" ht="15" customHeight="1">
      <c r="A475" s="14" t="s">
        <v>140</v>
      </c>
      <c r="B475" s="15" t="s">
        <v>159</v>
      </c>
      <c r="C475" s="15" t="s">
        <v>44</v>
      </c>
      <c r="D475" s="15" t="s">
        <v>8</v>
      </c>
      <c r="E475" s="15" t="s">
        <v>12</v>
      </c>
      <c r="F475" s="14">
        <v>110</v>
      </c>
      <c r="G475" s="16">
        <v>44875</v>
      </c>
      <c r="H475" s="7">
        <f t="shared" si="7"/>
        <v>1.8333333333333333</v>
      </c>
      <c r="I47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06-Nov-22 - to - 12-Nov-22</v>
      </c>
      <c r="J475" s="24" t="str">
        <f>TEXT(Table1[[#This Row],[Date]],"mmm")</f>
        <v>Nov</v>
      </c>
    </row>
    <row r="476" spans="1:10" ht="15" customHeight="1">
      <c r="A476" s="14" t="s">
        <v>140</v>
      </c>
      <c r="B476" s="15" t="s">
        <v>154</v>
      </c>
      <c r="C476" s="15" t="s">
        <v>17</v>
      </c>
      <c r="D476" s="15" t="s">
        <v>11</v>
      </c>
      <c r="E476" s="15" t="s">
        <v>17</v>
      </c>
      <c r="F476" s="14">
        <v>25</v>
      </c>
      <c r="G476" s="16">
        <v>44875</v>
      </c>
      <c r="H476" s="7">
        <f t="shared" si="7"/>
        <v>0.41666666666666669</v>
      </c>
      <c r="I47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06-Nov-22 - to - 12-Nov-22</v>
      </c>
      <c r="J476" s="24" t="str">
        <f>TEXT(Table1[[#This Row],[Date]],"mmm")</f>
        <v>Nov</v>
      </c>
    </row>
    <row r="477" spans="1:10" ht="15" customHeight="1">
      <c r="A477" s="14" t="s">
        <v>140</v>
      </c>
      <c r="B477" s="15" t="s">
        <v>159</v>
      </c>
      <c r="C477" s="15" t="s">
        <v>23</v>
      </c>
      <c r="D477" s="15" t="s">
        <v>13</v>
      </c>
      <c r="E477" s="15" t="s">
        <v>134</v>
      </c>
      <c r="F477" s="14">
        <v>35</v>
      </c>
      <c r="G477" s="16">
        <v>44875</v>
      </c>
      <c r="H477" s="7">
        <f t="shared" si="7"/>
        <v>0.58333333333333337</v>
      </c>
      <c r="I47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06-Nov-22 - to - 12-Nov-22</v>
      </c>
      <c r="J477" s="24" t="str">
        <f>TEXT(Table1[[#This Row],[Date]],"mmm")</f>
        <v>Nov</v>
      </c>
    </row>
    <row r="478" spans="1:10" ht="15" customHeight="1">
      <c r="A478" s="14" t="s">
        <v>140</v>
      </c>
      <c r="B478" s="15" t="s">
        <v>144</v>
      </c>
      <c r="C478" s="15" t="s">
        <v>168</v>
      </c>
      <c r="D478" s="15" t="s">
        <v>11</v>
      </c>
      <c r="E478" s="15" t="s">
        <v>168</v>
      </c>
      <c r="F478" s="14">
        <v>55</v>
      </c>
      <c r="G478" s="16">
        <v>44875</v>
      </c>
      <c r="H478" s="7">
        <f t="shared" si="7"/>
        <v>0.91666666666666663</v>
      </c>
      <c r="I47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06-Nov-22 - to - 12-Nov-22</v>
      </c>
      <c r="J478" s="24" t="str">
        <f>TEXT(Table1[[#This Row],[Date]],"mmm")</f>
        <v>Nov</v>
      </c>
    </row>
    <row r="479" spans="1:10" ht="15" customHeight="1">
      <c r="A479" s="14" t="s">
        <v>140</v>
      </c>
      <c r="B479" s="15" t="s">
        <v>159</v>
      </c>
      <c r="C479" s="15" t="s">
        <v>48</v>
      </c>
      <c r="D479" s="15" t="s">
        <v>11</v>
      </c>
      <c r="E479" s="15" t="s">
        <v>88</v>
      </c>
      <c r="F479" s="14">
        <v>55</v>
      </c>
      <c r="G479" s="16">
        <v>44875</v>
      </c>
      <c r="H479" s="7">
        <f t="shared" si="7"/>
        <v>0.91666666666666663</v>
      </c>
      <c r="I47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06-Nov-22 - to - 12-Nov-22</v>
      </c>
      <c r="J479" s="24" t="str">
        <f>TEXT(Table1[[#This Row],[Date]],"mmm")</f>
        <v>Nov</v>
      </c>
    </row>
    <row r="480" spans="1:10" ht="15" customHeight="1">
      <c r="A480" s="14" t="s">
        <v>140</v>
      </c>
      <c r="B480" s="15" t="s">
        <v>159</v>
      </c>
      <c r="C480" s="15" t="s">
        <v>15</v>
      </c>
      <c r="D480" s="15" t="s">
        <v>11</v>
      </c>
      <c r="E480" s="15" t="s">
        <v>9</v>
      </c>
      <c r="F480" s="14">
        <v>40</v>
      </c>
      <c r="G480" s="16">
        <v>44875</v>
      </c>
      <c r="H480" s="7">
        <f t="shared" si="7"/>
        <v>0.66666666666666663</v>
      </c>
      <c r="I48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06-Nov-22 - to - 12-Nov-22</v>
      </c>
      <c r="J480" s="24" t="str">
        <f>TEXT(Table1[[#This Row],[Date]],"mmm")</f>
        <v>Nov</v>
      </c>
    </row>
    <row r="481" spans="1:10" ht="15" customHeight="1">
      <c r="A481" s="14" t="s">
        <v>140</v>
      </c>
      <c r="B481" s="15" t="s">
        <v>159</v>
      </c>
      <c r="C481" s="15" t="s">
        <v>30</v>
      </c>
      <c r="D481" s="15" t="s">
        <v>11</v>
      </c>
      <c r="E481" s="15" t="s">
        <v>9</v>
      </c>
      <c r="F481" s="14">
        <v>25</v>
      </c>
      <c r="G481" s="16">
        <v>44875</v>
      </c>
      <c r="H481" s="7">
        <f t="shared" si="7"/>
        <v>0.41666666666666669</v>
      </c>
      <c r="I48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06-Nov-22 - to - 12-Nov-22</v>
      </c>
      <c r="J481" s="24" t="str">
        <f>TEXT(Table1[[#This Row],[Date]],"mmm")</f>
        <v>Nov</v>
      </c>
    </row>
    <row r="482" spans="1:10" ht="15" customHeight="1">
      <c r="A482" s="14" t="s">
        <v>140</v>
      </c>
      <c r="B482" s="15" t="s">
        <v>144</v>
      </c>
      <c r="C482" s="15" t="s">
        <v>50</v>
      </c>
      <c r="D482" s="15" t="s">
        <v>11</v>
      </c>
      <c r="E482" s="15" t="s">
        <v>9</v>
      </c>
      <c r="F482" s="14">
        <v>35</v>
      </c>
      <c r="G482" s="16">
        <v>44875</v>
      </c>
      <c r="H482" s="7">
        <f t="shared" si="7"/>
        <v>0.58333333333333337</v>
      </c>
      <c r="I48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06-Nov-22 - to - 12-Nov-22</v>
      </c>
      <c r="J482" s="24" t="str">
        <f>TEXT(Table1[[#This Row],[Date]],"mmm")</f>
        <v>Nov</v>
      </c>
    </row>
    <row r="483" spans="1:10" ht="15" customHeight="1">
      <c r="A483" s="14" t="s">
        <v>140</v>
      </c>
      <c r="B483" s="15" t="s">
        <v>159</v>
      </c>
      <c r="C483" s="15" t="s">
        <v>15</v>
      </c>
      <c r="D483" s="15" t="s">
        <v>11</v>
      </c>
      <c r="E483" s="15" t="s">
        <v>9</v>
      </c>
      <c r="F483" s="14">
        <v>25</v>
      </c>
      <c r="G483" s="16">
        <v>44875</v>
      </c>
      <c r="H483" s="7">
        <f t="shared" si="7"/>
        <v>0.41666666666666669</v>
      </c>
      <c r="I48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06-Nov-22 - to - 12-Nov-22</v>
      </c>
      <c r="J483" s="24" t="str">
        <f>TEXT(Table1[[#This Row],[Date]],"mmm")</f>
        <v>Nov</v>
      </c>
    </row>
    <row r="484" spans="1:10" ht="15" customHeight="1">
      <c r="A484" s="14" t="s">
        <v>141</v>
      </c>
      <c r="B484" s="15" t="s">
        <v>10</v>
      </c>
      <c r="C484" s="15" t="s">
        <v>10</v>
      </c>
      <c r="D484" s="15" t="s">
        <v>8</v>
      </c>
      <c r="E484" s="15" t="s">
        <v>10</v>
      </c>
      <c r="F484" s="14">
        <v>20</v>
      </c>
      <c r="G484" s="16">
        <v>44876</v>
      </c>
      <c r="H484" s="7">
        <f t="shared" si="7"/>
        <v>0.33333333333333331</v>
      </c>
      <c r="I48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06-Nov-22 - to - 12-Nov-22</v>
      </c>
      <c r="J484" s="24" t="str">
        <f>TEXT(Table1[[#This Row],[Date]],"mmm")</f>
        <v>Nov</v>
      </c>
    </row>
    <row r="485" spans="1:10" ht="15" customHeight="1">
      <c r="A485" s="14" t="s">
        <v>141</v>
      </c>
      <c r="B485" s="15" t="s">
        <v>36</v>
      </c>
      <c r="C485" s="15" t="s">
        <v>37</v>
      </c>
      <c r="D485" s="15" t="s">
        <v>8</v>
      </c>
      <c r="E485" s="15" t="s">
        <v>36</v>
      </c>
      <c r="F485" s="14">
        <v>60</v>
      </c>
      <c r="G485" s="16">
        <v>44876</v>
      </c>
      <c r="H485" s="7">
        <f t="shared" si="7"/>
        <v>1</v>
      </c>
      <c r="I48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06-Nov-22 - to - 12-Nov-22</v>
      </c>
      <c r="J485" s="24" t="str">
        <f>TEXT(Table1[[#This Row],[Date]],"mmm")</f>
        <v>Nov</v>
      </c>
    </row>
    <row r="486" spans="1:10" ht="15" customHeight="1">
      <c r="A486" s="14" t="s">
        <v>141</v>
      </c>
      <c r="B486" s="15" t="s">
        <v>157</v>
      </c>
      <c r="C486" s="15" t="s">
        <v>16</v>
      </c>
      <c r="D486" s="15" t="s">
        <v>8</v>
      </c>
      <c r="E486" s="15" t="s">
        <v>9</v>
      </c>
      <c r="F486" s="14">
        <v>30</v>
      </c>
      <c r="G486" s="16">
        <v>44876</v>
      </c>
      <c r="H486" s="7">
        <f t="shared" si="7"/>
        <v>0.5</v>
      </c>
      <c r="I48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06-Nov-22 - to - 12-Nov-22</v>
      </c>
      <c r="J486" s="24" t="str">
        <f>TEXT(Table1[[#This Row],[Date]],"mmm")</f>
        <v>Nov</v>
      </c>
    </row>
    <row r="487" spans="1:10" ht="15" customHeight="1">
      <c r="A487" s="14" t="s">
        <v>141</v>
      </c>
      <c r="B487" s="15" t="s">
        <v>142</v>
      </c>
      <c r="C487" s="15" t="s">
        <v>75</v>
      </c>
      <c r="D487" s="15" t="s">
        <v>69</v>
      </c>
      <c r="E487" s="15" t="s">
        <v>75</v>
      </c>
      <c r="F487" s="14">
        <v>260</v>
      </c>
      <c r="G487" s="16">
        <v>44876</v>
      </c>
      <c r="H487" s="7">
        <f t="shared" si="7"/>
        <v>4.333333333333333</v>
      </c>
      <c r="I48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06-Nov-22 - to - 12-Nov-22</v>
      </c>
      <c r="J487" s="24" t="str">
        <f>TEXT(Table1[[#This Row],[Date]],"mmm")</f>
        <v>Nov</v>
      </c>
    </row>
    <row r="488" spans="1:10" ht="15" customHeight="1">
      <c r="A488" s="14" t="s">
        <v>141</v>
      </c>
      <c r="B488" s="15" t="s">
        <v>157</v>
      </c>
      <c r="C488" s="15" t="s">
        <v>20</v>
      </c>
      <c r="D488" s="15" t="s">
        <v>138</v>
      </c>
      <c r="E488" s="15" t="s">
        <v>20</v>
      </c>
      <c r="F488" s="14">
        <v>50</v>
      </c>
      <c r="G488" s="16">
        <v>44876</v>
      </c>
      <c r="H488" s="7">
        <f t="shared" si="7"/>
        <v>0.83333333333333337</v>
      </c>
      <c r="I48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06-Nov-22 - to - 12-Nov-22</v>
      </c>
      <c r="J488" s="24" t="str">
        <f>TEXT(Table1[[#This Row],[Date]],"mmm")</f>
        <v>Nov</v>
      </c>
    </row>
    <row r="489" spans="1:10" ht="15" customHeight="1">
      <c r="A489" s="14" t="s">
        <v>141</v>
      </c>
      <c r="B489" s="15" t="s">
        <v>157</v>
      </c>
      <c r="C489" s="15" t="s">
        <v>44</v>
      </c>
      <c r="D489" s="15" t="s">
        <v>8</v>
      </c>
      <c r="E489" s="15" t="s">
        <v>12</v>
      </c>
      <c r="F489" s="14">
        <v>90</v>
      </c>
      <c r="G489" s="16">
        <v>44876</v>
      </c>
      <c r="H489" s="7">
        <f t="shared" si="7"/>
        <v>1.5</v>
      </c>
      <c r="I48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06-Nov-22 - to - 12-Nov-22</v>
      </c>
      <c r="J489" s="24" t="str">
        <f>TEXT(Table1[[#This Row],[Date]],"mmm")</f>
        <v>Nov</v>
      </c>
    </row>
    <row r="490" spans="1:10" ht="15" customHeight="1">
      <c r="A490" s="14" t="s">
        <v>140</v>
      </c>
      <c r="B490" s="15" t="s">
        <v>159</v>
      </c>
      <c r="C490" s="15" t="s">
        <v>48</v>
      </c>
      <c r="D490" s="15" t="s">
        <v>11</v>
      </c>
      <c r="E490" s="15" t="s">
        <v>88</v>
      </c>
      <c r="F490" s="14">
        <v>20</v>
      </c>
      <c r="G490" s="16">
        <v>44876</v>
      </c>
      <c r="H490" s="7">
        <f t="shared" si="7"/>
        <v>0.33333333333333331</v>
      </c>
      <c r="I49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06-Nov-22 - to - 12-Nov-22</v>
      </c>
      <c r="J490" s="24" t="str">
        <f>TEXT(Table1[[#This Row],[Date]],"mmm")</f>
        <v>Nov</v>
      </c>
    </row>
    <row r="491" spans="1:10" ht="15" customHeight="1">
      <c r="A491" s="14" t="s">
        <v>140</v>
      </c>
      <c r="B491" s="15" t="s">
        <v>10</v>
      </c>
      <c r="C491" s="15" t="s">
        <v>10</v>
      </c>
      <c r="D491" s="15" t="s">
        <v>8</v>
      </c>
      <c r="E491" s="15" t="s">
        <v>10</v>
      </c>
      <c r="F491" s="14">
        <v>40</v>
      </c>
      <c r="G491" s="16">
        <v>44876</v>
      </c>
      <c r="H491" s="7">
        <f t="shared" si="7"/>
        <v>0.66666666666666663</v>
      </c>
      <c r="I49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06-Nov-22 - to - 12-Nov-22</v>
      </c>
      <c r="J491" s="24" t="str">
        <f>TEXT(Table1[[#This Row],[Date]],"mmm")</f>
        <v>Nov</v>
      </c>
    </row>
    <row r="492" spans="1:10" ht="15" customHeight="1">
      <c r="A492" s="14" t="s">
        <v>140</v>
      </c>
      <c r="B492" s="15" t="s">
        <v>10</v>
      </c>
      <c r="C492" s="15" t="s">
        <v>20</v>
      </c>
      <c r="D492" s="15" t="s">
        <v>8</v>
      </c>
      <c r="E492" s="15" t="s">
        <v>20</v>
      </c>
      <c r="F492" s="14">
        <v>50</v>
      </c>
      <c r="G492" s="16">
        <v>44876</v>
      </c>
      <c r="H492" s="7">
        <f t="shared" si="7"/>
        <v>0.83333333333333337</v>
      </c>
      <c r="I49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06-Nov-22 - to - 12-Nov-22</v>
      </c>
      <c r="J492" s="24" t="str">
        <f>TEXT(Table1[[#This Row],[Date]],"mmm")</f>
        <v>Nov</v>
      </c>
    </row>
    <row r="493" spans="1:10" ht="15" customHeight="1">
      <c r="A493" s="14" t="s">
        <v>140</v>
      </c>
      <c r="B493" s="15" t="s">
        <v>150</v>
      </c>
      <c r="C493" s="15" t="s">
        <v>17</v>
      </c>
      <c r="D493" s="15" t="s">
        <v>11</v>
      </c>
      <c r="E493" s="15" t="s">
        <v>9</v>
      </c>
      <c r="F493" s="14">
        <v>45</v>
      </c>
      <c r="G493" s="16">
        <v>44876</v>
      </c>
      <c r="H493" s="7">
        <f t="shared" si="7"/>
        <v>0.75</v>
      </c>
      <c r="I49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06-Nov-22 - to - 12-Nov-22</v>
      </c>
      <c r="J493" s="24" t="str">
        <f>TEXT(Table1[[#This Row],[Date]],"mmm")</f>
        <v>Nov</v>
      </c>
    </row>
    <row r="494" spans="1:10" ht="15" customHeight="1">
      <c r="A494" s="14" t="s">
        <v>140</v>
      </c>
      <c r="B494" s="15" t="s">
        <v>159</v>
      </c>
      <c r="C494" s="15" t="s">
        <v>17</v>
      </c>
      <c r="D494" s="15" t="s">
        <v>11</v>
      </c>
      <c r="E494" s="15" t="s">
        <v>9</v>
      </c>
      <c r="F494" s="14">
        <v>40</v>
      </c>
      <c r="G494" s="16">
        <v>44876</v>
      </c>
      <c r="H494" s="7">
        <f t="shared" si="7"/>
        <v>0.66666666666666663</v>
      </c>
      <c r="I49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06-Nov-22 - to - 12-Nov-22</v>
      </c>
      <c r="J494" s="24" t="str">
        <f>TEXT(Table1[[#This Row],[Date]],"mmm")</f>
        <v>Nov</v>
      </c>
    </row>
    <row r="495" spans="1:10" ht="15" customHeight="1">
      <c r="A495" s="14" t="s">
        <v>140</v>
      </c>
      <c r="B495" s="15" t="s">
        <v>159</v>
      </c>
      <c r="C495" s="15" t="s">
        <v>17</v>
      </c>
      <c r="D495" s="15" t="s">
        <v>11</v>
      </c>
      <c r="E495" s="15" t="s">
        <v>17</v>
      </c>
      <c r="F495" s="14">
        <v>35</v>
      </c>
      <c r="G495" s="16">
        <v>44876</v>
      </c>
      <c r="H495" s="7">
        <f t="shared" si="7"/>
        <v>0.58333333333333337</v>
      </c>
      <c r="I49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06-Nov-22 - to - 12-Nov-22</v>
      </c>
      <c r="J495" s="24" t="str">
        <f>TEXT(Table1[[#This Row],[Date]],"mmm")</f>
        <v>Nov</v>
      </c>
    </row>
    <row r="496" spans="1:10" ht="15" customHeight="1">
      <c r="A496" s="14" t="s">
        <v>140</v>
      </c>
      <c r="B496" s="15" t="s">
        <v>160</v>
      </c>
      <c r="C496" s="15" t="s">
        <v>17</v>
      </c>
      <c r="D496" s="15" t="s">
        <v>11</v>
      </c>
      <c r="E496" s="15" t="s">
        <v>17</v>
      </c>
      <c r="F496" s="14">
        <v>20</v>
      </c>
      <c r="G496" s="16">
        <v>44876</v>
      </c>
      <c r="H496" s="7">
        <f t="shared" si="7"/>
        <v>0.33333333333333331</v>
      </c>
      <c r="I49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06-Nov-22 - to - 12-Nov-22</v>
      </c>
      <c r="J496" s="24" t="str">
        <f>TEXT(Table1[[#This Row],[Date]],"mmm")</f>
        <v>Nov</v>
      </c>
    </row>
    <row r="497" spans="1:10" ht="15" customHeight="1">
      <c r="A497" s="14" t="s">
        <v>140</v>
      </c>
      <c r="B497" s="15" t="s">
        <v>159</v>
      </c>
      <c r="C497" s="15" t="s">
        <v>52</v>
      </c>
      <c r="D497" s="15" t="s">
        <v>138</v>
      </c>
      <c r="E497" s="15" t="s">
        <v>9</v>
      </c>
      <c r="F497" s="14">
        <v>55</v>
      </c>
      <c r="G497" s="16">
        <v>44876</v>
      </c>
      <c r="H497" s="7">
        <f t="shared" si="7"/>
        <v>0.91666666666666663</v>
      </c>
      <c r="I49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06-Nov-22 - to - 12-Nov-22</v>
      </c>
      <c r="J497" s="24" t="str">
        <f>TEXT(Table1[[#This Row],[Date]],"mmm")</f>
        <v>Nov</v>
      </c>
    </row>
    <row r="498" spans="1:10" ht="15" customHeight="1">
      <c r="A498" s="14" t="s">
        <v>140</v>
      </c>
      <c r="B498" s="15" t="s">
        <v>159</v>
      </c>
      <c r="C498" s="15" t="s">
        <v>91</v>
      </c>
      <c r="D498" s="15" t="s">
        <v>138</v>
      </c>
      <c r="E498" s="15" t="s">
        <v>12</v>
      </c>
      <c r="F498" s="14">
        <v>45</v>
      </c>
      <c r="G498" s="16">
        <v>44876</v>
      </c>
      <c r="H498" s="7">
        <f t="shared" si="7"/>
        <v>0.75</v>
      </c>
      <c r="I49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06-Nov-22 - to - 12-Nov-22</v>
      </c>
      <c r="J498" s="24" t="str">
        <f>TEXT(Table1[[#This Row],[Date]],"mmm")</f>
        <v>Nov</v>
      </c>
    </row>
    <row r="499" spans="1:10" ht="15" customHeight="1">
      <c r="A499" s="14" t="s">
        <v>140</v>
      </c>
      <c r="B499" s="15" t="s">
        <v>6</v>
      </c>
      <c r="C499" s="15" t="s">
        <v>7</v>
      </c>
      <c r="D499" s="15" t="s">
        <v>8</v>
      </c>
      <c r="E499" s="15" t="s">
        <v>9</v>
      </c>
      <c r="F499" s="14">
        <v>20</v>
      </c>
      <c r="G499" s="16">
        <v>44876</v>
      </c>
      <c r="H499" s="7">
        <f t="shared" si="7"/>
        <v>0.33333333333333331</v>
      </c>
      <c r="I49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06-Nov-22 - to - 12-Nov-22</v>
      </c>
      <c r="J499" s="24" t="str">
        <f>TEXT(Table1[[#This Row],[Date]],"mmm")</f>
        <v>Nov</v>
      </c>
    </row>
    <row r="500" spans="1:10" ht="15" customHeight="1">
      <c r="A500" s="14" t="s">
        <v>140</v>
      </c>
      <c r="B500" s="15" t="s">
        <v>152</v>
      </c>
      <c r="C500" s="15" t="s">
        <v>153</v>
      </c>
      <c r="D500" s="15" t="s">
        <v>8</v>
      </c>
      <c r="E500" s="15" t="s">
        <v>12</v>
      </c>
      <c r="F500" s="14">
        <v>25</v>
      </c>
      <c r="G500" s="16">
        <v>44876</v>
      </c>
      <c r="H500" s="7">
        <f t="shared" si="7"/>
        <v>0.41666666666666669</v>
      </c>
      <c r="I50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06-Nov-22 - to - 12-Nov-22</v>
      </c>
      <c r="J500" s="24" t="str">
        <f>TEXT(Table1[[#This Row],[Date]],"mmm")</f>
        <v>Nov</v>
      </c>
    </row>
    <row r="501" spans="1:10" ht="15" customHeight="1">
      <c r="A501" s="14" t="s">
        <v>140</v>
      </c>
      <c r="B501" s="15" t="s">
        <v>159</v>
      </c>
      <c r="C501" s="15" t="s">
        <v>44</v>
      </c>
      <c r="D501" s="15" t="s">
        <v>8</v>
      </c>
      <c r="E501" s="15" t="s">
        <v>12</v>
      </c>
      <c r="F501" s="14">
        <v>110</v>
      </c>
      <c r="G501" s="16">
        <v>44876</v>
      </c>
      <c r="H501" s="7">
        <f t="shared" si="7"/>
        <v>1.8333333333333333</v>
      </c>
      <c r="I50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06-Nov-22 - to - 12-Nov-22</v>
      </c>
      <c r="J501" s="24" t="str">
        <f>TEXT(Table1[[#This Row],[Date]],"mmm")</f>
        <v>Nov</v>
      </c>
    </row>
    <row r="502" spans="1:10" ht="15" customHeight="1">
      <c r="A502" s="14" t="s">
        <v>141</v>
      </c>
      <c r="B502" s="15" t="s">
        <v>36</v>
      </c>
      <c r="C502" s="15" t="s">
        <v>37</v>
      </c>
      <c r="D502" s="15" t="s">
        <v>8</v>
      </c>
      <c r="E502" s="15" t="s">
        <v>6</v>
      </c>
      <c r="F502" s="14">
        <v>60</v>
      </c>
      <c r="G502" s="16">
        <v>44904</v>
      </c>
      <c r="H502" s="7">
        <f t="shared" si="7"/>
        <v>1</v>
      </c>
      <c r="I50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04-Dec-22 - to - 10-Dec-22</v>
      </c>
      <c r="J502" s="24" t="str">
        <f>TEXT(Table1[[#This Row],[Date]],"mmm")</f>
        <v>Dec</v>
      </c>
    </row>
    <row r="503" spans="1:10" ht="15" customHeight="1">
      <c r="A503" s="14" t="s">
        <v>141</v>
      </c>
      <c r="B503" s="15" t="s">
        <v>142</v>
      </c>
      <c r="C503" s="15" t="s">
        <v>137</v>
      </c>
      <c r="D503" s="15" t="s">
        <v>8</v>
      </c>
      <c r="E503" s="15" t="s">
        <v>35</v>
      </c>
      <c r="F503" s="14">
        <v>150</v>
      </c>
      <c r="G503" s="16">
        <v>44904</v>
      </c>
      <c r="H503" s="7">
        <f t="shared" si="7"/>
        <v>2.5</v>
      </c>
      <c r="I50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04-Dec-22 - to - 10-Dec-22</v>
      </c>
      <c r="J503" s="24" t="str">
        <f>TEXT(Table1[[#This Row],[Date]],"mmm")</f>
        <v>Dec</v>
      </c>
    </row>
    <row r="504" spans="1:10" ht="15" customHeight="1">
      <c r="A504" s="14" t="s">
        <v>141</v>
      </c>
      <c r="B504" s="15" t="s">
        <v>157</v>
      </c>
      <c r="C504" s="15" t="s">
        <v>16</v>
      </c>
      <c r="D504" s="15" t="s">
        <v>8</v>
      </c>
      <c r="E504" s="15" t="s">
        <v>6</v>
      </c>
      <c r="F504" s="14">
        <v>40</v>
      </c>
      <c r="G504" s="16">
        <v>44904</v>
      </c>
      <c r="H504" s="7">
        <f t="shared" si="7"/>
        <v>0.66666666666666663</v>
      </c>
      <c r="I50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04-Dec-22 - to - 10-Dec-22</v>
      </c>
      <c r="J504" s="24" t="str">
        <f>TEXT(Table1[[#This Row],[Date]],"mmm")</f>
        <v>Dec</v>
      </c>
    </row>
    <row r="505" spans="1:10" ht="15" customHeight="1">
      <c r="A505" s="14" t="s">
        <v>141</v>
      </c>
      <c r="B505" s="15" t="s">
        <v>39</v>
      </c>
      <c r="C505" s="15" t="s">
        <v>40</v>
      </c>
      <c r="D505" s="15" t="s">
        <v>8</v>
      </c>
      <c r="E505" s="15" t="s">
        <v>40</v>
      </c>
      <c r="F505" s="14">
        <v>20</v>
      </c>
      <c r="G505" s="16">
        <v>44904</v>
      </c>
      <c r="H505" s="7">
        <f t="shared" si="7"/>
        <v>0.33333333333333331</v>
      </c>
      <c r="I50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04-Dec-22 - to - 10-Dec-22</v>
      </c>
      <c r="J505" s="24" t="str">
        <f>TEXT(Table1[[#This Row],[Date]],"mmm")</f>
        <v>Dec</v>
      </c>
    </row>
    <row r="506" spans="1:10" ht="15" customHeight="1">
      <c r="A506" s="14" t="s">
        <v>141</v>
      </c>
      <c r="B506" s="15" t="s">
        <v>39</v>
      </c>
      <c r="C506" s="15" t="s">
        <v>20</v>
      </c>
      <c r="D506" s="15" t="s">
        <v>138</v>
      </c>
      <c r="E506" s="15" t="s">
        <v>20</v>
      </c>
      <c r="F506" s="14">
        <v>40</v>
      </c>
      <c r="G506" s="16">
        <v>44904</v>
      </c>
      <c r="H506" s="7">
        <f t="shared" si="7"/>
        <v>0.66666666666666663</v>
      </c>
      <c r="I50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04-Dec-22 - to - 10-Dec-22</v>
      </c>
      <c r="J506" s="24" t="str">
        <f>TEXT(Table1[[#This Row],[Date]],"mmm")</f>
        <v>Dec</v>
      </c>
    </row>
    <row r="507" spans="1:10" ht="15" customHeight="1">
      <c r="A507" s="14" t="s">
        <v>141</v>
      </c>
      <c r="B507" s="15" t="s">
        <v>157</v>
      </c>
      <c r="C507" s="15" t="s">
        <v>44</v>
      </c>
      <c r="D507" s="15" t="s">
        <v>8</v>
      </c>
      <c r="E507" s="15" t="s">
        <v>12</v>
      </c>
      <c r="F507" s="14">
        <v>90</v>
      </c>
      <c r="G507" s="16">
        <v>44904</v>
      </c>
      <c r="H507" s="7">
        <f t="shared" si="7"/>
        <v>1.5</v>
      </c>
      <c r="I50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04-Dec-22 - to - 10-Dec-22</v>
      </c>
      <c r="J507" s="24" t="str">
        <f>TEXT(Table1[[#This Row],[Date]],"mmm")</f>
        <v>Dec</v>
      </c>
    </row>
    <row r="508" spans="1:10" ht="15" customHeight="1">
      <c r="A508" s="14" t="s">
        <v>141</v>
      </c>
      <c r="B508" s="15" t="s">
        <v>39</v>
      </c>
      <c r="C508" s="15" t="s">
        <v>38</v>
      </c>
      <c r="D508" s="15" t="s">
        <v>11</v>
      </c>
      <c r="E508" s="15" t="s">
        <v>38</v>
      </c>
      <c r="F508" s="14">
        <v>30</v>
      </c>
      <c r="G508" s="16">
        <v>44904</v>
      </c>
      <c r="H508" s="7">
        <f t="shared" si="7"/>
        <v>0.5</v>
      </c>
      <c r="I50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04-Dec-22 - to - 10-Dec-22</v>
      </c>
      <c r="J508" s="24" t="str">
        <f>TEXT(Table1[[#This Row],[Date]],"mmm")</f>
        <v>Dec</v>
      </c>
    </row>
    <row r="509" spans="1:10" ht="15" customHeight="1">
      <c r="A509" s="14" t="s">
        <v>141</v>
      </c>
      <c r="B509" s="15" t="s">
        <v>39</v>
      </c>
      <c r="C509" s="15" t="s">
        <v>38</v>
      </c>
      <c r="D509" s="15" t="s">
        <v>11</v>
      </c>
      <c r="E509" s="15" t="s">
        <v>38</v>
      </c>
      <c r="F509" s="14">
        <v>60</v>
      </c>
      <c r="G509" s="16">
        <v>44904</v>
      </c>
      <c r="H509" s="7">
        <f t="shared" si="7"/>
        <v>1</v>
      </c>
      <c r="I50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04-Dec-22 - to - 10-Dec-22</v>
      </c>
      <c r="J509" s="24" t="str">
        <f>TEXT(Table1[[#This Row],[Date]],"mmm")</f>
        <v>Dec</v>
      </c>
    </row>
    <row r="510" spans="1:10" ht="15" customHeight="1">
      <c r="A510" s="14" t="s">
        <v>140</v>
      </c>
      <c r="B510" s="15" t="s">
        <v>42</v>
      </c>
      <c r="C510" s="15" t="s">
        <v>43</v>
      </c>
      <c r="D510" s="15" t="s">
        <v>8</v>
      </c>
      <c r="E510" s="15" t="s">
        <v>6</v>
      </c>
      <c r="F510" s="14">
        <v>35</v>
      </c>
      <c r="G510" s="16">
        <v>44904</v>
      </c>
      <c r="H510" s="7">
        <f t="shared" si="7"/>
        <v>0.58333333333333337</v>
      </c>
      <c r="I51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04-Dec-22 - to - 10-Dec-22</v>
      </c>
      <c r="J510" s="24" t="str">
        <f>TEXT(Table1[[#This Row],[Date]],"mmm")</f>
        <v>Dec</v>
      </c>
    </row>
    <row r="511" spans="1:10" ht="15" customHeight="1">
      <c r="A511" s="14" t="s">
        <v>140</v>
      </c>
      <c r="B511" s="15" t="s">
        <v>159</v>
      </c>
      <c r="C511" s="15" t="s">
        <v>17</v>
      </c>
      <c r="D511" s="15" t="s">
        <v>11</v>
      </c>
      <c r="E511" s="15" t="s">
        <v>17</v>
      </c>
      <c r="F511" s="14">
        <v>45</v>
      </c>
      <c r="G511" s="16">
        <v>44904</v>
      </c>
      <c r="H511" s="7">
        <f t="shared" si="7"/>
        <v>0.75</v>
      </c>
      <c r="I51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04-Dec-22 - to - 10-Dec-22</v>
      </c>
      <c r="J511" s="24" t="str">
        <f>TEXT(Table1[[#This Row],[Date]],"mmm")</f>
        <v>Dec</v>
      </c>
    </row>
    <row r="512" spans="1:10" ht="15" customHeight="1">
      <c r="A512" s="14" t="s">
        <v>140</v>
      </c>
      <c r="B512" s="15" t="s">
        <v>159</v>
      </c>
      <c r="C512" s="15" t="s">
        <v>66</v>
      </c>
      <c r="D512" s="15" t="s">
        <v>13</v>
      </c>
      <c r="E512" s="15" t="s">
        <v>6</v>
      </c>
      <c r="F512" s="14">
        <v>65</v>
      </c>
      <c r="G512" s="16">
        <v>44904</v>
      </c>
      <c r="H512" s="7">
        <f t="shared" si="7"/>
        <v>1.0833333333333333</v>
      </c>
      <c r="I51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04-Dec-22 - to - 10-Dec-22</v>
      </c>
      <c r="J512" s="24" t="str">
        <f>TEXT(Table1[[#This Row],[Date]],"mmm")</f>
        <v>Dec</v>
      </c>
    </row>
    <row r="513" spans="1:10" ht="15" customHeight="1">
      <c r="A513" s="14" t="s">
        <v>140</v>
      </c>
      <c r="B513" s="15" t="s">
        <v>42</v>
      </c>
      <c r="C513" s="15" t="s">
        <v>10</v>
      </c>
      <c r="D513" s="15" t="s">
        <v>8</v>
      </c>
      <c r="E513" s="15" t="s">
        <v>10</v>
      </c>
      <c r="F513" s="14">
        <v>20</v>
      </c>
      <c r="G513" s="16">
        <v>44904</v>
      </c>
      <c r="H513" s="7">
        <f t="shared" si="7"/>
        <v>0.33333333333333331</v>
      </c>
      <c r="I51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04-Dec-22 - to - 10-Dec-22</v>
      </c>
      <c r="J513" s="24" t="str">
        <f>TEXT(Table1[[#This Row],[Date]],"mmm")</f>
        <v>Dec</v>
      </c>
    </row>
    <row r="514" spans="1:10" ht="15" customHeight="1">
      <c r="A514" s="14" t="s">
        <v>140</v>
      </c>
      <c r="B514" s="15" t="s">
        <v>159</v>
      </c>
      <c r="C514" s="15" t="s">
        <v>44</v>
      </c>
      <c r="D514" s="15" t="s">
        <v>8</v>
      </c>
      <c r="E514" s="15" t="s">
        <v>12</v>
      </c>
      <c r="F514" s="14">
        <v>120</v>
      </c>
      <c r="G514" s="16">
        <v>44904</v>
      </c>
      <c r="H514" s="7">
        <f t="shared" ref="H514:H577" si="8">IFERROR(IF(ISBLANK(F514)=TRUE(),"",F514/60),"")</f>
        <v>2</v>
      </c>
      <c r="I51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04-Dec-22 - to - 10-Dec-22</v>
      </c>
      <c r="J514" s="24" t="str">
        <f>TEXT(Table1[[#This Row],[Date]],"mmm")</f>
        <v>Dec</v>
      </c>
    </row>
    <row r="515" spans="1:10" ht="15" customHeight="1">
      <c r="A515" s="14" t="s">
        <v>140</v>
      </c>
      <c r="B515" s="15" t="s">
        <v>160</v>
      </c>
      <c r="C515" s="15" t="s">
        <v>17</v>
      </c>
      <c r="D515" s="15" t="s">
        <v>11</v>
      </c>
      <c r="E515" s="15" t="s">
        <v>17</v>
      </c>
      <c r="F515" s="14">
        <v>55</v>
      </c>
      <c r="G515" s="16">
        <v>44904</v>
      </c>
      <c r="H515" s="7">
        <f t="shared" si="8"/>
        <v>0.91666666666666663</v>
      </c>
      <c r="I51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04-Dec-22 - to - 10-Dec-22</v>
      </c>
      <c r="J515" s="24" t="str">
        <f>TEXT(Table1[[#This Row],[Date]],"mmm")</f>
        <v>Dec</v>
      </c>
    </row>
    <row r="516" spans="1:10" ht="15" customHeight="1">
      <c r="A516" s="14" t="s">
        <v>140</v>
      </c>
      <c r="B516" s="15" t="s">
        <v>159</v>
      </c>
      <c r="C516" s="15" t="s">
        <v>92</v>
      </c>
      <c r="D516" s="15" t="s">
        <v>138</v>
      </c>
      <c r="E516" s="15" t="s">
        <v>6</v>
      </c>
      <c r="F516" s="14">
        <v>25</v>
      </c>
      <c r="G516" s="16">
        <v>44904</v>
      </c>
      <c r="H516" s="7">
        <f t="shared" si="8"/>
        <v>0.41666666666666669</v>
      </c>
      <c r="I51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04-Dec-22 - to - 10-Dec-22</v>
      </c>
      <c r="J516" s="24" t="str">
        <f>TEXT(Table1[[#This Row],[Date]],"mmm")</f>
        <v>Dec</v>
      </c>
    </row>
    <row r="517" spans="1:10" ht="15" customHeight="1">
      <c r="A517" s="14" t="s">
        <v>140</v>
      </c>
      <c r="B517" s="15" t="s">
        <v>42</v>
      </c>
      <c r="C517" s="15" t="s">
        <v>20</v>
      </c>
      <c r="D517" s="15" t="s">
        <v>11</v>
      </c>
      <c r="E517" s="15" t="s">
        <v>20</v>
      </c>
      <c r="F517" s="14">
        <v>40</v>
      </c>
      <c r="G517" s="16">
        <v>44904</v>
      </c>
      <c r="H517" s="7">
        <f t="shared" si="8"/>
        <v>0.66666666666666663</v>
      </c>
      <c r="I51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04-Dec-22 - to - 10-Dec-22</v>
      </c>
      <c r="J517" s="24" t="str">
        <f>TEXT(Table1[[#This Row],[Date]],"mmm")</f>
        <v>Dec</v>
      </c>
    </row>
    <row r="518" spans="1:10" ht="15" customHeight="1">
      <c r="A518" s="14" t="s">
        <v>140</v>
      </c>
      <c r="B518" s="15" t="s">
        <v>42</v>
      </c>
      <c r="C518" s="15" t="s">
        <v>55</v>
      </c>
      <c r="D518" s="15" t="s">
        <v>11</v>
      </c>
      <c r="E518" s="15" t="s">
        <v>6</v>
      </c>
      <c r="F518" s="14">
        <v>75</v>
      </c>
      <c r="G518" s="16">
        <v>44904</v>
      </c>
      <c r="H518" s="7">
        <f t="shared" si="8"/>
        <v>1.25</v>
      </c>
      <c r="I51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04-Dec-22 - to - 10-Dec-22</v>
      </c>
      <c r="J518" s="24" t="str">
        <f>TEXT(Table1[[#This Row],[Date]],"mmm")</f>
        <v>Dec</v>
      </c>
    </row>
    <row r="519" spans="1:10" ht="15" customHeight="1">
      <c r="A519" s="14" t="s">
        <v>141</v>
      </c>
      <c r="B519" s="15" t="s">
        <v>10</v>
      </c>
      <c r="C519" s="15" t="s">
        <v>10</v>
      </c>
      <c r="D519" s="15" t="s">
        <v>8</v>
      </c>
      <c r="E519" s="15" t="s">
        <v>10</v>
      </c>
      <c r="F519" s="14">
        <v>20</v>
      </c>
      <c r="G519" s="16">
        <v>44905</v>
      </c>
      <c r="H519" s="7">
        <f t="shared" si="8"/>
        <v>0.33333333333333331</v>
      </c>
      <c r="I51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04-Dec-22 - to - 10-Dec-22</v>
      </c>
      <c r="J519" s="24" t="str">
        <f>TEXT(Table1[[#This Row],[Date]],"mmm")</f>
        <v>Dec</v>
      </c>
    </row>
    <row r="520" spans="1:10" ht="15" customHeight="1">
      <c r="A520" s="14" t="s">
        <v>141</v>
      </c>
      <c r="B520" s="15" t="s">
        <v>36</v>
      </c>
      <c r="C520" s="15" t="s">
        <v>37</v>
      </c>
      <c r="D520" s="15" t="s">
        <v>8</v>
      </c>
      <c r="E520" s="15" t="s">
        <v>36</v>
      </c>
      <c r="F520" s="14">
        <v>45</v>
      </c>
      <c r="G520" s="16">
        <v>44905</v>
      </c>
      <c r="H520" s="7">
        <f t="shared" si="8"/>
        <v>0.75</v>
      </c>
      <c r="I52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04-Dec-22 - to - 10-Dec-22</v>
      </c>
      <c r="J520" s="24" t="str">
        <f>TEXT(Table1[[#This Row],[Date]],"mmm")</f>
        <v>Dec</v>
      </c>
    </row>
    <row r="521" spans="1:10" ht="15" customHeight="1">
      <c r="A521" s="14" t="s">
        <v>141</v>
      </c>
      <c r="B521" s="15" t="s">
        <v>157</v>
      </c>
      <c r="C521" s="15" t="s">
        <v>16</v>
      </c>
      <c r="D521" s="15" t="s">
        <v>8</v>
      </c>
      <c r="E521" s="15" t="s">
        <v>9</v>
      </c>
      <c r="F521" s="14">
        <v>25</v>
      </c>
      <c r="G521" s="16">
        <v>44905</v>
      </c>
      <c r="H521" s="7">
        <f t="shared" si="8"/>
        <v>0.41666666666666669</v>
      </c>
      <c r="I52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04-Dec-22 - to - 10-Dec-22</v>
      </c>
      <c r="J521" s="24" t="str">
        <f>TEXT(Table1[[#This Row],[Date]],"mmm")</f>
        <v>Dec</v>
      </c>
    </row>
    <row r="522" spans="1:10" ht="15" customHeight="1">
      <c r="A522" s="14" t="s">
        <v>141</v>
      </c>
      <c r="B522" s="15" t="s">
        <v>142</v>
      </c>
      <c r="C522" s="15" t="s">
        <v>89</v>
      </c>
      <c r="D522" s="15" t="s">
        <v>69</v>
      </c>
      <c r="E522" s="15" t="s">
        <v>75</v>
      </c>
      <c r="F522" s="14">
        <v>270</v>
      </c>
      <c r="G522" s="16">
        <v>44905</v>
      </c>
      <c r="H522" s="7">
        <f t="shared" si="8"/>
        <v>4.5</v>
      </c>
      <c r="I52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04-Dec-22 - to - 10-Dec-22</v>
      </c>
      <c r="J522" s="24" t="str">
        <f>TEXT(Table1[[#This Row],[Date]],"mmm")</f>
        <v>Dec</v>
      </c>
    </row>
    <row r="523" spans="1:10" ht="15" customHeight="1">
      <c r="A523" s="14" t="s">
        <v>141</v>
      </c>
      <c r="B523" s="15" t="s">
        <v>157</v>
      </c>
      <c r="C523" s="15" t="s">
        <v>137</v>
      </c>
      <c r="D523" s="15" t="s">
        <v>8</v>
      </c>
      <c r="E523" s="15" t="s">
        <v>35</v>
      </c>
      <c r="F523" s="14">
        <v>120</v>
      </c>
      <c r="G523" s="16">
        <v>44905</v>
      </c>
      <c r="H523" s="7">
        <f t="shared" si="8"/>
        <v>2</v>
      </c>
      <c r="I52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04-Dec-22 - to - 10-Dec-22</v>
      </c>
      <c r="J523" s="24" t="str">
        <f>TEXT(Table1[[#This Row],[Date]],"mmm")</f>
        <v>Dec</v>
      </c>
    </row>
    <row r="524" spans="1:10" ht="15" customHeight="1">
      <c r="A524" s="14" t="s">
        <v>140</v>
      </c>
      <c r="B524" s="15" t="s">
        <v>159</v>
      </c>
      <c r="C524" s="15" t="s">
        <v>47</v>
      </c>
      <c r="D524" s="15" t="s">
        <v>8</v>
      </c>
      <c r="E524" s="15" t="s">
        <v>9</v>
      </c>
      <c r="F524" s="14">
        <v>30</v>
      </c>
      <c r="G524" s="16">
        <v>44905</v>
      </c>
      <c r="H524" s="7">
        <f t="shared" si="8"/>
        <v>0.5</v>
      </c>
      <c r="I52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04-Dec-22 - to - 10-Dec-22</v>
      </c>
      <c r="J524" s="24" t="str">
        <f>TEXT(Table1[[#This Row],[Date]],"mmm")</f>
        <v>Dec</v>
      </c>
    </row>
    <row r="525" spans="1:10" ht="15" customHeight="1">
      <c r="A525" s="14" t="s">
        <v>140</v>
      </c>
      <c r="B525" s="15" t="s">
        <v>10</v>
      </c>
      <c r="C525" s="15" t="s">
        <v>10</v>
      </c>
      <c r="D525" s="15" t="s">
        <v>8</v>
      </c>
      <c r="E525" s="15" t="s">
        <v>10</v>
      </c>
      <c r="F525" s="14">
        <v>30</v>
      </c>
      <c r="G525" s="16">
        <v>44905</v>
      </c>
      <c r="H525" s="7">
        <f t="shared" si="8"/>
        <v>0.5</v>
      </c>
      <c r="I52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04-Dec-22 - to - 10-Dec-22</v>
      </c>
      <c r="J525" s="24" t="str">
        <f>TEXT(Table1[[#This Row],[Date]],"mmm")</f>
        <v>Dec</v>
      </c>
    </row>
    <row r="526" spans="1:10" ht="15" customHeight="1">
      <c r="A526" s="14" t="s">
        <v>140</v>
      </c>
      <c r="B526" s="15" t="s">
        <v>152</v>
      </c>
      <c r="C526" s="15" t="s">
        <v>153</v>
      </c>
      <c r="D526" s="15" t="s">
        <v>8</v>
      </c>
      <c r="E526" s="15" t="s">
        <v>12</v>
      </c>
      <c r="F526" s="14">
        <v>30</v>
      </c>
      <c r="G526" s="16">
        <v>44905</v>
      </c>
      <c r="H526" s="7">
        <f t="shared" si="8"/>
        <v>0.5</v>
      </c>
      <c r="I52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04-Dec-22 - to - 10-Dec-22</v>
      </c>
      <c r="J526" s="24" t="str">
        <f>TEXT(Table1[[#This Row],[Date]],"mmm")</f>
        <v>Dec</v>
      </c>
    </row>
    <row r="527" spans="1:10" ht="15" customHeight="1">
      <c r="A527" s="14" t="s">
        <v>140</v>
      </c>
      <c r="B527" s="15" t="s">
        <v>159</v>
      </c>
      <c r="C527" s="15" t="s">
        <v>20</v>
      </c>
      <c r="D527" s="15" t="s">
        <v>11</v>
      </c>
      <c r="E527" s="15" t="s">
        <v>20</v>
      </c>
      <c r="F527" s="14">
        <v>30</v>
      </c>
      <c r="G527" s="16">
        <v>44905</v>
      </c>
      <c r="H527" s="7">
        <f t="shared" si="8"/>
        <v>0.5</v>
      </c>
      <c r="I52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04-Dec-22 - to - 10-Dec-22</v>
      </c>
      <c r="J527" s="24" t="str">
        <f>TEXT(Table1[[#This Row],[Date]],"mmm")</f>
        <v>Dec</v>
      </c>
    </row>
    <row r="528" spans="1:10" ht="15" customHeight="1">
      <c r="A528" s="14" t="s">
        <v>140</v>
      </c>
      <c r="B528" s="15" t="s">
        <v>159</v>
      </c>
      <c r="C528" s="15" t="s">
        <v>44</v>
      </c>
      <c r="D528" s="15" t="s">
        <v>8</v>
      </c>
      <c r="E528" s="15" t="s">
        <v>12</v>
      </c>
      <c r="F528" s="14">
        <v>30</v>
      </c>
      <c r="G528" s="16">
        <v>44905</v>
      </c>
      <c r="H528" s="7">
        <f t="shared" si="8"/>
        <v>0.5</v>
      </c>
      <c r="I52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04-Dec-22 - to - 10-Dec-22</v>
      </c>
      <c r="J528" s="24" t="str">
        <f>TEXT(Table1[[#This Row],[Date]],"mmm")</f>
        <v>Dec</v>
      </c>
    </row>
    <row r="529" spans="1:10" ht="15" customHeight="1">
      <c r="A529" s="14" t="s">
        <v>140</v>
      </c>
      <c r="B529" s="15" t="s">
        <v>159</v>
      </c>
      <c r="C529" s="15" t="s">
        <v>48</v>
      </c>
      <c r="D529" s="15" t="s">
        <v>11</v>
      </c>
      <c r="E529" s="15" t="s">
        <v>88</v>
      </c>
      <c r="F529" s="14">
        <v>30</v>
      </c>
      <c r="G529" s="16">
        <v>44905</v>
      </c>
      <c r="H529" s="7">
        <f t="shared" si="8"/>
        <v>0.5</v>
      </c>
      <c r="I52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04-Dec-22 - to - 10-Dec-22</v>
      </c>
      <c r="J529" s="24" t="str">
        <f>TEXT(Table1[[#This Row],[Date]],"mmm")</f>
        <v>Dec</v>
      </c>
    </row>
    <row r="530" spans="1:10" ht="15" customHeight="1">
      <c r="A530" s="14" t="s">
        <v>140</v>
      </c>
      <c r="B530" s="15" t="s">
        <v>159</v>
      </c>
      <c r="C530" s="15" t="s">
        <v>30</v>
      </c>
      <c r="D530" s="15" t="s">
        <v>11</v>
      </c>
      <c r="E530" s="15" t="s">
        <v>12</v>
      </c>
      <c r="F530" s="14">
        <v>30</v>
      </c>
      <c r="G530" s="16">
        <v>44905</v>
      </c>
      <c r="H530" s="7">
        <f t="shared" si="8"/>
        <v>0.5</v>
      </c>
      <c r="I53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04-Dec-22 - to - 10-Dec-22</v>
      </c>
      <c r="J530" s="24" t="str">
        <f>TEXT(Table1[[#This Row],[Date]],"mmm")</f>
        <v>Dec</v>
      </c>
    </row>
    <row r="531" spans="1:10" ht="15" customHeight="1">
      <c r="A531" s="14" t="s">
        <v>140</v>
      </c>
      <c r="B531" s="15" t="s">
        <v>160</v>
      </c>
      <c r="C531" s="15" t="s">
        <v>17</v>
      </c>
      <c r="D531" s="15" t="s">
        <v>11</v>
      </c>
      <c r="E531" s="15" t="s">
        <v>9</v>
      </c>
      <c r="F531" s="14">
        <v>30</v>
      </c>
      <c r="G531" s="16">
        <v>44905</v>
      </c>
      <c r="H531" s="7">
        <f t="shared" si="8"/>
        <v>0.5</v>
      </c>
      <c r="I53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04-Dec-22 - to - 10-Dec-22</v>
      </c>
      <c r="J531" s="24" t="str">
        <f>TEXT(Table1[[#This Row],[Date]],"mmm")</f>
        <v>Dec</v>
      </c>
    </row>
    <row r="532" spans="1:10" ht="15" customHeight="1">
      <c r="A532" s="14" t="s">
        <v>140</v>
      </c>
      <c r="B532" s="15" t="s">
        <v>159</v>
      </c>
      <c r="C532" s="15" t="s">
        <v>15</v>
      </c>
      <c r="D532" s="15" t="s">
        <v>11</v>
      </c>
      <c r="E532" s="15" t="s">
        <v>9</v>
      </c>
      <c r="F532" s="14">
        <v>30</v>
      </c>
      <c r="G532" s="16">
        <v>44905</v>
      </c>
      <c r="H532" s="7">
        <f t="shared" si="8"/>
        <v>0.5</v>
      </c>
      <c r="I53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04-Dec-22 - to - 10-Dec-22</v>
      </c>
      <c r="J532" s="24" t="str">
        <f>TEXT(Table1[[#This Row],[Date]],"mmm")</f>
        <v>Dec</v>
      </c>
    </row>
    <row r="533" spans="1:10" ht="15" customHeight="1">
      <c r="A533" s="14" t="s">
        <v>140</v>
      </c>
      <c r="B533" s="15" t="s">
        <v>159</v>
      </c>
      <c r="C533" s="15" t="s">
        <v>17</v>
      </c>
      <c r="D533" s="15" t="s">
        <v>11</v>
      </c>
      <c r="E533" s="15" t="s">
        <v>17</v>
      </c>
      <c r="F533" s="14">
        <v>30</v>
      </c>
      <c r="G533" s="16">
        <v>44905</v>
      </c>
      <c r="H533" s="7">
        <f t="shared" si="8"/>
        <v>0.5</v>
      </c>
      <c r="I53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04-Dec-22 - to - 10-Dec-22</v>
      </c>
      <c r="J533" s="24" t="str">
        <f>TEXT(Table1[[#This Row],[Date]],"mmm")</f>
        <v>Dec</v>
      </c>
    </row>
    <row r="534" spans="1:10" ht="15" customHeight="1">
      <c r="A534" s="14" t="s">
        <v>140</v>
      </c>
      <c r="B534" s="15" t="s">
        <v>159</v>
      </c>
      <c r="C534" s="15" t="s">
        <v>161</v>
      </c>
      <c r="D534" s="15" t="s">
        <v>11</v>
      </c>
      <c r="E534" s="15" t="s">
        <v>175</v>
      </c>
      <c r="F534" s="14">
        <v>30</v>
      </c>
      <c r="G534" s="16">
        <v>44905</v>
      </c>
      <c r="H534" s="7">
        <f t="shared" si="8"/>
        <v>0.5</v>
      </c>
      <c r="I53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04-Dec-22 - to - 10-Dec-22</v>
      </c>
      <c r="J534" s="24" t="str">
        <f>TEXT(Table1[[#This Row],[Date]],"mmm")</f>
        <v>Dec</v>
      </c>
    </row>
    <row r="535" spans="1:10" ht="15" customHeight="1">
      <c r="A535" s="14" t="s">
        <v>140</v>
      </c>
      <c r="B535" s="15" t="s">
        <v>159</v>
      </c>
      <c r="C535" s="15" t="s">
        <v>17</v>
      </c>
      <c r="D535" s="15" t="s">
        <v>11</v>
      </c>
      <c r="E535" s="15" t="s">
        <v>17</v>
      </c>
      <c r="F535" s="14">
        <v>30</v>
      </c>
      <c r="G535" s="16">
        <v>44905</v>
      </c>
      <c r="H535" s="7">
        <f t="shared" si="8"/>
        <v>0.5</v>
      </c>
      <c r="I53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04-Dec-22 - to - 10-Dec-22</v>
      </c>
      <c r="J535" s="24" t="str">
        <f>TEXT(Table1[[#This Row],[Date]],"mmm")</f>
        <v>Dec</v>
      </c>
    </row>
    <row r="536" spans="1:10" ht="15" customHeight="1">
      <c r="A536" s="14" t="s">
        <v>141</v>
      </c>
      <c r="B536" s="15" t="s">
        <v>10</v>
      </c>
      <c r="C536" s="15" t="s">
        <v>10</v>
      </c>
      <c r="D536" s="15" t="s">
        <v>8</v>
      </c>
      <c r="E536" s="15" t="s">
        <v>10</v>
      </c>
      <c r="F536" s="14">
        <v>20</v>
      </c>
      <c r="G536" s="16">
        <v>44906</v>
      </c>
      <c r="H536" s="7">
        <f t="shared" si="8"/>
        <v>0.33333333333333331</v>
      </c>
      <c r="I53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11-Dec-22 - to - 17-Dec-22</v>
      </c>
      <c r="J536" s="24" t="str">
        <f>TEXT(Table1[[#This Row],[Date]],"mmm")</f>
        <v>Dec</v>
      </c>
    </row>
    <row r="537" spans="1:10" ht="15" customHeight="1">
      <c r="A537" s="14" t="s">
        <v>141</v>
      </c>
      <c r="B537" s="15" t="s">
        <v>36</v>
      </c>
      <c r="C537" s="15" t="s">
        <v>37</v>
      </c>
      <c r="D537" s="15" t="s">
        <v>8</v>
      </c>
      <c r="E537" s="15" t="s">
        <v>36</v>
      </c>
      <c r="F537" s="14">
        <v>60</v>
      </c>
      <c r="G537" s="16">
        <v>44906</v>
      </c>
      <c r="H537" s="7">
        <f t="shared" si="8"/>
        <v>1</v>
      </c>
      <c r="I53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11-Dec-22 - to - 17-Dec-22</v>
      </c>
      <c r="J537" s="24" t="str">
        <f>TEXT(Table1[[#This Row],[Date]],"mmm")</f>
        <v>Dec</v>
      </c>
    </row>
    <row r="538" spans="1:10" ht="15" customHeight="1">
      <c r="A538" s="14" t="s">
        <v>141</v>
      </c>
      <c r="B538" s="15" t="s">
        <v>157</v>
      </c>
      <c r="C538" s="15" t="s">
        <v>16</v>
      </c>
      <c r="D538" s="15" t="s">
        <v>8</v>
      </c>
      <c r="E538" s="15" t="s">
        <v>9</v>
      </c>
      <c r="F538" s="14">
        <v>30</v>
      </c>
      <c r="G538" s="16">
        <v>44906</v>
      </c>
      <c r="H538" s="7">
        <f t="shared" si="8"/>
        <v>0.5</v>
      </c>
      <c r="I53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11-Dec-22 - to - 17-Dec-22</v>
      </c>
      <c r="J538" s="24" t="str">
        <f>TEXT(Table1[[#This Row],[Date]],"mmm")</f>
        <v>Dec</v>
      </c>
    </row>
    <row r="539" spans="1:10" ht="15" customHeight="1">
      <c r="A539" s="14" t="s">
        <v>141</v>
      </c>
      <c r="B539" s="15" t="s">
        <v>142</v>
      </c>
      <c r="C539" s="15" t="s">
        <v>142</v>
      </c>
      <c r="D539" s="15" t="s">
        <v>8</v>
      </c>
      <c r="E539" s="15" t="s">
        <v>35</v>
      </c>
      <c r="F539" s="14">
        <v>200</v>
      </c>
      <c r="G539" s="16">
        <v>44906</v>
      </c>
      <c r="H539" s="7">
        <f t="shared" si="8"/>
        <v>3.3333333333333335</v>
      </c>
      <c r="I53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11-Dec-22 - to - 17-Dec-22</v>
      </c>
      <c r="J539" s="24" t="str">
        <f>TEXT(Table1[[#This Row],[Date]],"mmm")</f>
        <v>Dec</v>
      </c>
    </row>
    <row r="540" spans="1:10" ht="15" customHeight="1">
      <c r="A540" s="14" t="s">
        <v>141</v>
      </c>
      <c r="B540" s="15" t="s">
        <v>143</v>
      </c>
      <c r="C540" s="15" t="s">
        <v>38</v>
      </c>
      <c r="D540" s="15" t="s">
        <v>11</v>
      </c>
      <c r="E540" s="15" t="s">
        <v>38</v>
      </c>
      <c r="F540" s="14">
        <v>30</v>
      </c>
      <c r="G540" s="16">
        <v>44906</v>
      </c>
      <c r="H540" s="7">
        <f t="shared" si="8"/>
        <v>0.5</v>
      </c>
      <c r="I54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11-Dec-22 - to - 17-Dec-22</v>
      </c>
      <c r="J540" s="24" t="str">
        <f>TEXT(Table1[[#This Row],[Date]],"mmm")</f>
        <v>Dec</v>
      </c>
    </row>
    <row r="541" spans="1:10" ht="15" customHeight="1">
      <c r="A541" s="14" t="s">
        <v>141</v>
      </c>
      <c r="B541" s="15" t="s">
        <v>147</v>
      </c>
      <c r="C541" s="15" t="s">
        <v>38</v>
      </c>
      <c r="D541" s="15" t="s">
        <v>11</v>
      </c>
      <c r="E541" s="15" t="s">
        <v>38</v>
      </c>
      <c r="F541" s="14">
        <v>30</v>
      </c>
      <c r="G541" s="16">
        <v>44906</v>
      </c>
      <c r="H541" s="7">
        <f t="shared" si="8"/>
        <v>0.5</v>
      </c>
      <c r="I54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11-Dec-22 - to - 17-Dec-22</v>
      </c>
      <c r="J541" s="24" t="str">
        <f>TEXT(Table1[[#This Row],[Date]],"mmm")</f>
        <v>Dec</v>
      </c>
    </row>
    <row r="542" spans="1:10" ht="15" customHeight="1">
      <c r="A542" s="14" t="s">
        <v>141</v>
      </c>
      <c r="B542" s="15" t="s">
        <v>144</v>
      </c>
      <c r="C542" s="15" t="s">
        <v>38</v>
      </c>
      <c r="D542" s="15" t="s">
        <v>11</v>
      </c>
      <c r="E542" s="15" t="s">
        <v>38</v>
      </c>
      <c r="F542" s="14">
        <v>30</v>
      </c>
      <c r="G542" s="16">
        <v>44906</v>
      </c>
      <c r="H542" s="7">
        <f t="shared" si="8"/>
        <v>0.5</v>
      </c>
      <c r="I54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11-Dec-22 - to - 17-Dec-22</v>
      </c>
      <c r="J542" s="24" t="str">
        <f>TEXT(Table1[[#This Row],[Date]],"mmm")</f>
        <v>Dec</v>
      </c>
    </row>
    <row r="543" spans="1:10" ht="15" customHeight="1">
      <c r="A543" s="14" t="s">
        <v>141</v>
      </c>
      <c r="B543" s="15" t="s">
        <v>157</v>
      </c>
      <c r="C543" s="15" t="s">
        <v>44</v>
      </c>
      <c r="D543" s="15" t="s">
        <v>8</v>
      </c>
      <c r="E543" s="15" t="s">
        <v>12</v>
      </c>
      <c r="F543" s="14">
        <v>90</v>
      </c>
      <c r="G543" s="16">
        <v>44906</v>
      </c>
      <c r="H543" s="7">
        <f t="shared" si="8"/>
        <v>1.5</v>
      </c>
      <c r="I54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11-Dec-22 - to - 17-Dec-22</v>
      </c>
      <c r="J543" s="24" t="str">
        <f>TEXT(Table1[[#This Row],[Date]],"mmm")</f>
        <v>Dec</v>
      </c>
    </row>
    <row r="544" spans="1:10" ht="15" customHeight="1">
      <c r="A544" s="14" t="s">
        <v>140</v>
      </c>
      <c r="B544" s="15" t="s">
        <v>159</v>
      </c>
      <c r="C544" s="15" t="s">
        <v>48</v>
      </c>
      <c r="D544" s="15" t="s">
        <v>11</v>
      </c>
      <c r="E544" s="15" t="s">
        <v>88</v>
      </c>
      <c r="F544" s="14">
        <v>20</v>
      </c>
      <c r="G544" s="16">
        <v>44906</v>
      </c>
      <c r="H544" s="7">
        <f t="shared" si="8"/>
        <v>0.33333333333333331</v>
      </c>
      <c r="I54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11-Dec-22 - to - 17-Dec-22</v>
      </c>
      <c r="J544" s="24" t="str">
        <f>TEXT(Table1[[#This Row],[Date]],"mmm")</f>
        <v>Dec</v>
      </c>
    </row>
    <row r="545" spans="1:10" ht="15" customHeight="1">
      <c r="A545" s="14" t="s">
        <v>140</v>
      </c>
      <c r="B545" s="15" t="s">
        <v>10</v>
      </c>
      <c r="C545" s="15" t="s">
        <v>10</v>
      </c>
      <c r="D545" s="15" t="s">
        <v>8</v>
      </c>
      <c r="E545" s="15" t="s">
        <v>10</v>
      </c>
      <c r="F545" s="14">
        <v>20</v>
      </c>
      <c r="G545" s="16">
        <v>44906</v>
      </c>
      <c r="H545" s="7">
        <f t="shared" si="8"/>
        <v>0.33333333333333331</v>
      </c>
      <c r="I54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11-Dec-22 - to - 17-Dec-22</v>
      </c>
      <c r="J545" s="24" t="str">
        <f>TEXT(Table1[[#This Row],[Date]],"mmm")</f>
        <v>Dec</v>
      </c>
    </row>
    <row r="546" spans="1:10" ht="15" customHeight="1">
      <c r="A546" s="14" t="s">
        <v>140</v>
      </c>
      <c r="B546" s="15" t="s">
        <v>159</v>
      </c>
      <c r="C546" s="15" t="s">
        <v>17</v>
      </c>
      <c r="D546" s="15" t="s">
        <v>11</v>
      </c>
      <c r="E546" s="15" t="s">
        <v>9</v>
      </c>
      <c r="F546" s="14">
        <v>90</v>
      </c>
      <c r="G546" s="16">
        <v>44906</v>
      </c>
      <c r="H546" s="7">
        <f t="shared" si="8"/>
        <v>1.5</v>
      </c>
      <c r="I54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11-Dec-22 - to - 17-Dec-22</v>
      </c>
      <c r="J546" s="24" t="str">
        <f>TEXT(Table1[[#This Row],[Date]],"mmm")</f>
        <v>Dec</v>
      </c>
    </row>
    <row r="547" spans="1:10" ht="15" customHeight="1">
      <c r="A547" s="14" t="s">
        <v>140</v>
      </c>
      <c r="B547" s="15" t="s">
        <v>160</v>
      </c>
      <c r="C547" s="15" t="s">
        <v>17</v>
      </c>
      <c r="D547" s="15" t="s">
        <v>11</v>
      </c>
      <c r="E547" s="15" t="s">
        <v>17</v>
      </c>
      <c r="F547" s="14">
        <v>40</v>
      </c>
      <c r="G547" s="16">
        <v>44906</v>
      </c>
      <c r="H547" s="7">
        <f t="shared" si="8"/>
        <v>0.66666666666666663</v>
      </c>
      <c r="I54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11-Dec-22 - to - 17-Dec-22</v>
      </c>
      <c r="J547" s="24" t="str">
        <f>TEXT(Table1[[#This Row],[Date]],"mmm")</f>
        <v>Dec</v>
      </c>
    </row>
    <row r="548" spans="1:10" ht="15" customHeight="1">
      <c r="A548" s="14" t="s">
        <v>140</v>
      </c>
      <c r="B548" s="15" t="s">
        <v>159</v>
      </c>
      <c r="C548" s="15" t="s">
        <v>52</v>
      </c>
      <c r="D548" s="15" t="s">
        <v>138</v>
      </c>
      <c r="E548" s="15" t="s">
        <v>9</v>
      </c>
      <c r="F548" s="14">
        <v>20</v>
      </c>
      <c r="G548" s="16">
        <v>44906</v>
      </c>
      <c r="H548" s="7">
        <f t="shared" si="8"/>
        <v>0.33333333333333331</v>
      </c>
      <c r="I54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11-Dec-22 - to - 17-Dec-22</v>
      </c>
      <c r="J548" s="24" t="str">
        <f>TEXT(Table1[[#This Row],[Date]],"mmm")</f>
        <v>Dec</v>
      </c>
    </row>
    <row r="549" spans="1:10" ht="15" customHeight="1">
      <c r="A549" s="14" t="s">
        <v>140</v>
      </c>
      <c r="B549" s="15" t="s">
        <v>152</v>
      </c>
      <c r="C549" s="15" t="s">
        <v>153</v>
      </c>
      <c r="D549" s="15" t="s">
        <v>8</v>
      </c>
      <c r="E549" s="15" t="s">
        <v>12</v>
      </c>
      <c r="F549" s="14">
        <v>55</v>
      </c>
      <c r="G549" s="16">
        <v>44906</v>
      </c>
      <c r="H549" s="7">
        <f t="shared" si="8"/>
        <v>0.91666666666666663</v>
      </c>
      <c r="I54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11-Dec-22 - to - 17-Dec-22</v>
      </c>
      <c r="J549" s="24" t="str">
        <f>TEXT(Table1[[#This Row],[Date]],"mmm")</f>
        <v>Dec</v>
      </c>
    </row>
    <row r="550" spans="1:10" ht="15" customHeight="1">
      <c r="A550" s="14" t="s">
        <v>140</v>
      </c>
      <c r="B550" s="15" t="s">
        <v>159</v>
      </c>
      <c r="C550" s="15" t="s">
        <v>44</v>
      </c>
      <c r="D550" s="15" t="s">
        <v>8</v>
      </c>
      <c r="E550" s="15" t="s">
        <v>12</v>
      </c>
      <c r="F550" s="14">
        <v>25</v>
      </c>
      <c r="G550" s="16">
        <v>44906</v>
      </c>
      <c r="H550" s="7">
        <f t="shared" si="8"/>
        <v>0.41666666666666669</v>
      </c>
      <c r="I55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11-Dec-22 - to - 17-Dec-22</v>
      </c>
      <c r="J550" s="24" t="str">
        <f>TEXT(Table1[[#This Row],[Date]],"mmm")</f>
        <v>Dec</v>
      </c>
    </row>
    <row r="551" spans="1:10" ht="15" customHeight="1">
      <c r="A551" s="14" t="s">
        <v>140</v>
      </c>
      <c r="B551" s="15" t="s">
        <v>159</v>
      </c>
      <c r="C551" s="15" t="s">
        <v>93</v>
      </c>
      <c r="D551" s="15" t="s">
        <v>13</v>
      </c>
      <c r="E551" s="15" t="s">
        <v>6</v>
      </c>
      <c r="F551" s="14">
        <v>110</v>
      </c>
      <c r="G551" s="16">
        <v>44906</v>
      </c>
      <c r="H551" s="7">
        <f t="shared" si="8"/>
        <v>1.8333333333333333</v>
      </c>
      <c r="I55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11-Dec-22 - to - 17-Dec-22</v>
      </c>
      <c r="J551" s="24" t="str">
        <f>TEXT(Table1[[#This Row],[Date]],"mmm")</f>
        <v>Dec</v>
      </c>
    </row>
    <row r="552" spans="1:10" ht="15" customHeight="1">
      <c r="A552" s="14" t="s">
        <v>140</v>
      </c>
      <c r="B552" s="15" t="s">
        <v>159</v>
      </c>
      <c r="C552" s="15" t="s">
        <v>54</v>
      </c>
      <c r="D552" s="15" t="s">
        <v>13</v>
      </c>
      <c r="E552" s="15" t="s">
        <v>72</v>
      </c>
      <c r="F552" s="14">
        <v>35</v>
      </c>
      <c r="G552" s="16">
        <v>44906</v>
      </c>
      <c r="H552" s="7">
        <f t="shared" si="8"/>
        <v>0.58333333333333337</v>
      </c>
      <c r="I55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11-Dec-22 - to - 17-Dec-22</v>
      </c>
      <c r="J552" s="24" t="str">
        <f>TEXT(Table1[[#This Row],[Date]],"mmm")</f>
        <v>Dec</v>
      </c>
    </row>
    <row r="553" spans="1:10" ht="15" customHeight="1">
      <c r="A553" s="14" t="s">
        <v>140</v>
      </c>
      <c r="B553" s="15" t="s">
        <v>6</v>
      </c>
      <c r="C553" s="15" t="s">
        <v>7</v>
      </c>
      <c r="D553" s="15" t="s">
        <v>8</v>
      </c>
      <c r="E553" s="15" t="s">
        <v>9</v>
      </c>
      <c r="F553" s="14">
        <v>40</v>
      </c>
      <c r="G553" s="16">
        <v>44906</v>
      </c>
      <c r="H553" s="7">
        <f t="shared" si="8"/>
        <v>0.66666666666666663</v>
      </c>
      <c r="I55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11-Dec-22 - to - 17-Dec-22</v>
      </c>
      <c r="J553" s="24" t="str">
        <f>TEXT(Table1[[#This Row],[Date]],"mmm")</f>
        <v>Dec</v>
      </c>
    </row>
    <row r="554" spans="1:10" ht="15" customHeight="1">
      <c r="A554" s="14" t="s">
        <v>140</v>
      </c>
      <c r="B554" s="15" t="s">
        <v>6</v>
      </c>
      <c r="C554" s="15" t="s">
        <v>15</v>
      </c>
      <c r="D554" s="15" t="s">
        <v>11</v>
      </c>
      <c r="E554" s="15" t="s">
        <v>12</v>
      </c>
      <c r="F554" s="14">
        <v>40</v>
      </c>
      <c r="G554" s="16">
        <v>44906</v>
      </c>
      <c r="H554" s="7">
        <f t="shared" si="8"/>
        <v>0.66666666666666663</v>
      </c>
      <c r="I55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11-Dec-22 - to - 17-Dec-22</v>
      </c>
      <c r="J554" s="24" t="str">
        <f>TEXT(Table1[[#This Row],[Date]],"mmm")</f>
        <v>Dec</v>
      </c>
    </row>
    <row r="555" spans="1:10" ht="15" customHeight="1">
      <c r="A555" s="14" t="s">
        <v>140</v>
      </c>
      <c r="B555" s="15" t="s">
        <v>42</v>
      </c>
      <c r="C555" s="15" t="s">
        <v>43</v>
      </c>
      <c r="D555" s="15" t="s">
        <v>8</v>
      </c>
      <c r="E555" s="15" t="s">
        <v>6</v>
      </c>
      <c r="F555" s="14">
        <v>35</v>
      </c>
      <c r="G555" s="16">
        <v>44817</v>
      </c>
      <c r="H555" s="7">
        <f t="shared" si="8"/>
        <v>0.58333333333333337</v>
      </c>
      <c r="I55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555" s="24" t="str">
        <f>TEXT(Table1[[#This Row],[Date]],"mmm")</f>
        <v>Sep</v>
      </c>
    </row>
    <row r="556" spans="1:10" ht="15" customHeight="1">
      <c r="A556" s="14" t="s">
        <v>140</v>
      </c>
      <c r="B556" s="15" t="s">
        <v>159</v>
      </c>
      <c r="C556" s="15" t="s">
        <v>17</v>
      </c>
      <c r="D556" s="15" t="s">
        <v>11</v>
      </c>
      <c r="E556" s="15" t="s">
        <v>17</v>
      </c>
      <c r="F556" s="14">
        <v>75</v>
      </c>
      <c r="G556" s="16">
        <v>44817</v>
      </c>
      <c r="H556" s="7">
        <f t="shared" si="8"/>
        <v>1.25</v>
      </c>
      <c r="I55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556" s="24" t="str">
        <f>TEXT(Table1[[#This Row],[Date]],"mmm")</f>
        <v>Sep</v>
      </c>
    </row>
    <row r="557" spans="1:10" ht="15" customHeight="1">
      <c r="A557" s="14" t="s">
        <v>140</v>
      </c>
      <c r="B557" s="15" t="s">
        <v>160</v>
      </c>
      <c r="C557" s="15" t="s">
        <v>58</v>
      </c>
      <c r="D557" s="15" t="s">
        <v>11</v>
      </c>
      <c r="E557" s="15" t="s">
        <v>125</v>
      </c>
      <c r="F557" s="14">
        <v>80</v>
      </c>
      <c r="G557" s="16">
        <v>44817</v>
      </c>
      <c r="H557" s="7">
        <f t="shared" si="8"/>
        <v>1.3333333333333333</v>
      </c>
      <c r="I55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557" s="24" t="str">
        <f>TEXT(Table1[[#This Row],[Date]],"mmm")</f>
        <v>Sep</v>
      </c>
    </row>
    <row r="558" spans="1:10" ht="15" customHeight="1">
      <c r="A558" s="14" t="s">
        <v>140</v>
      </c>
      <c r="B558" s="15" t="s">
        <v>42</v>
      </c>
      <c r="C558" s="15" t="s">
        <v>10</v>
      </c>
      <c r="D558" s="15" t="s">
        <v>8</v>
      </c>
      <c r="E558" s="15" t="s">
        <v>10</v>
      </c>
      <c r="F558" s="14">
        <v>20</v>
      </c>
      <c r="G558" s="16">
        <v>44817</v>
      </c>
      <c r="H558" s="7">
        <f t="shared" si="8"/>
        <v>0.33333333333333331</v>
      </c>
      <c r="I55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558" s="24" t="str">
        <f>TEXT(Table1[[#This Row],[Date]],"mmm")</f>
        <v>Sep</v>
      </c>
    </row>
    <row r="559" spans="1:10" ht="15" customHeight="1">
      <c r="A559" s="14" t="s">
        <v>140</v>
      </c>
      <c r="B559" s="15" t="s">
        <v>159</v>
      </c>
      <c r="C559" s="15" t="s">
        <v>44</v>
      </c>
      <c r="D559" s="15" t="s">
        <v>8</v>
      </c>
      <c r="E559" s="15" t="s">
        <v>12</v>
      </c>
      <c r="F559" s="14">
        <v>130</v>
      </c>
      <c r="G559" s="16">
        <v>44817</v>
      </c>
      <c r="H559" s="7">
        <f t="shared" si="8"/>
        <v>2.1666666666666665</v>
      </c>
      <c r="I55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559" s="24" t="str">
        <f>TEXT(Table1[[#This Row],[Date]],"mmm")</f>
        <v>Sep</v>
      </c>
    </row>
    <row r="560" spans="1:10" ht="15" customHeight="1">
      <c r="A560" s="14" t="s">
        <v>140</v>
      </c>
      <c r="B560" s="15" t="s">
        <v>160</v>
      </c>
      <c r="C560" s="15" t="s">
        <v>17</v>
      </c>
      <c r="D560" s="15" t="s">
        <v>11</v>
      </c>
      <c r="E560" s="15" t="s">
        <v>17</v>
      </c>
      <c r="F560" s="14">
        <v>65</v>
      </c>
      <c r="G560" s="16">
        <v>44817</v>
      </c>
      <c r="H560" s="7">
        <f t="shared" si="8"/>
        <v>1.0833333333333333</v>
      </c>
      <c r="I56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560" s="24" t="str">
        <f>TEXT(Table1[[#This Row],[Date]],"mmm")</f>
        <v>Sep</v>
      </c>
    </row>
    <row r="561" spans="1:10" ht="15" customHeight="1">
      <c r="A561" s="14" t="s">
        <v>140</v>
      </c>
      <c r="B561" s="15" t="s">
        <v>159</v>
      </c>
      <c r="C561" s="15" t="s">
        <v>161</v>
      </c>
      <c r="D561" s="15" t="s">
        <v>138</v>
      </c>
      <c r="E561" s="15" t="s">
        <v>6</v>
      </c>
      <c r="F561" s="14">
        <v>35</v>
      </c>
      <c r="G561" s="16">
        <v>44817</v>
      </c>
      <c r="H561" s="7">
        <f t="shared" si="8"/>
        <v>0.58333333333333337</v>
      </c>
      <c r="I56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561" s="24" t="str">
        <f>TEXT(Table1[[#This Row],[Date]],"mmm")</f>
        <v>Sep</v>
      </c>
    </row>
    <row r="562" spans="1:10" ht="15" customHeight="1">
      <c r="A562" s="14" t="s">
        <v>140</v>
      </c>
      <c r="B562" s="15" t="s">
        <v>42</v>
      </c>
      <c r="C562" s="15" t="s">
        <v>38</v>
      </c>
      <c r="D562" s="15" t="s">
        <v>138</v>
      </c>
      <c r="E562" s="15" t="s">
        <v>38</v>
      </c>
      <c r="F562" s="14">
        <v>55</v>
      </c>
      <c r="G562" s="16">
        <v>44817</v>
      </c>
      <c r="H562" s="7">
        <f t="shared" si="8"/>
        <v>0.91666666666666663</v>
      </c>
      <c r="I56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562" s="24" t="str">
        <f>TEXT(Table1[[#This Row],[Date]],"mmm")</f>
        <v>Sep</v>
      </c>
    </row>
    <row r="563" spans="1:10" ht="15" customHeight="1">
      <c r="A563" s="14" t="s">
        <v>140</v>
      </c>
      <c r="B563" s="15" t="s">
        <v>159</v>
      </c>
      <c r="C563" s="15" t="s">
        <v>94</v>
      </c>
      <c r="D563" s="15" t="s">
        <v>8</v>
      </c>
      <c r="E563" s="15" t="s">
        <v>6</v>
      </c>
      <c r="F563" s="14">
        <v>45</v>
      </c>
      <c r="G563" s="16">
        <v>44817</v>
      </c>
      <c r="H563" s="7">
        <f t="shared" si="8"/>
        <v>0.75</v>
      </c>
      <c r="I56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563" s="24" t="str">
        <f>TEXT(Table1[[#This Row],[Date]],"mmm")</f>
        <v>Sep</v>
      </c>
    </row>
    <row r="564" spans="1:10" ht="15" customHeight="1">
      <c r="A564" s="14" t="s">
        <v>141</v>
      </c>
      <c r="B564" s="15" t="s">
        <v>36</v>
      </c>
      <c r="C564" s="15" t="s">
        <v>37</v>
      </c>
      <c r="D564" s="15" t="s">
        <v>8</v>
      </c>
      <c r="E564" s="15" t="s">
        <v>6</v>
      </c>
      <c r="F564" s="14">
        <v>60</v>
      </c>
      <c r="G564" s="16">
        <v>44817</v>
      </c>
      <c r="H564" s="7">
        <f t="shared" si="8"/>
        <v>1</v>
      </c>
      <c r="I56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564" s="24" t="str">
        <f>TEXT(Table1[[#This Row],[Date]],"mmm")</f>
        <v>Sep</v>
      </c>
    </row>
    <row r="565" spans="1:10" ht="15" customHeight="1">
      <c r="A565" s="14" t="s">
        <v>141</v>
      </c>
      <c r="B565" s="15" t="s">
        <v>142</v>
      </c>
      <c r="C565" s="15" t="s">
        <v>137</v>
      </c>
      <c r="D565" s="15" t="s">
        <v>8</v>
      </c>
      <c r="E565" s="15" t="s">
        <v>35</v>
      </c>
      <c r="F565" s="14">
        <v>130</v>
      </c>
      <c r="G565" s="16">
        <v>44817</v>
      </c>
      <c r="H565" s="7">
        <f t="shared" si="8"/>
        <v>2.1666666666666665</v>
      </c>
      <c r="I56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565" s="24" t="str">
        <f>TEXT(Table1[[#This Row],[Date]],"mmm")</f>
        <v>Sep</v>
      </c>
    </row>
    <row r="566" spans="1:10" ht="15" customHeight="1">
      <c r="A566" s="14" t="s">
        <v>141</v>
      </c>
      <c r="B566" s="15" t="s">
        <v>157</v>
      </c>
      <c r="C566" s="15" t="s">
        <v>16</v>
      </c>
      <c r="D566" s="15" t="s">
        <v>8</v>
      </c>
      <c r="E566" s="15" t="s">
        <v>6</v>
      </c>
      <c r="F566" s="14">
        <v>30</v>
      </c>
      <c r="G566" s="16">
        <v>44817</v>
      </c>
      <c r="H566" s="7">
        <f t="shared" si="8"/>
        <v>0.5</v>
      </c>
      <c r="I56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566" s="24" t="str">
        <f>TEXT(Table1[[#This Row],[Date]],"mmm")</f>
        <v>Sep</v>
      </c>
    </row>
    <row r="567" spans="1:10" ht="15" customHeight="1">
      <c r="A567" s="14" t="s">
        <v>141</v>
      </c>
      <c r="B567" s="15" t="s">
        <v>39</v>
      </c>
      <c r="C567" s="15" t="s">
        <v>40</v>
      </c>
      <c r="D567" s="15" t="s">
        <v>8</v>
      </c>
      <c r="E567" s="15" t="s">
        <v>40</v>
      </c>
      <c r="F567" s="14">
        <v>20</v>
      </c>
      <c r="G567" s="16">
        <v>44817</v>
      </c>
      <c r="H567" s="7">
        <f t="shared" si="8"/>
        <v>0.33333333333333331</v>
      </c>
      <c r="I56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567" s="24" t="str">
        <f>TEXT(Table1[[#This Row],[Date]],"mmm")</f>
        <v>Sep</v>
      </c>
    </row>
    <row r="568" spans="1:10" ht="15" customHeight="1">
      <c r="A568" s="14" t="s">
        <v>141</v>
      </c>
      <c r="B568" s="15" t="s">
        <v>157</v>
      </c>
      <c r="C568" s="15" t="s">
        <v>44</v>
      </c>
      <c r="D568" s="15" t="s">
        <v>8</v>
      </c>
      <c r="E568" s="15" t="s">
        <v>12</v>
      </c>
      <c r="F568" s="14">
        <v>30</v>
      </c>
      <c r="G568" s="16">
        <v>44817</v>
      </c>
      <c r="H568" s="7">
        <f t="shared" si="8"/>
        <v>0.5</v>
      </c>
      <c r="I56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568" s="24" t="str">
        <f>TEXT(Table1[[#This Row],[Date]],"mmm")</f>
        <v>Sep</v>
      </c>
    </row>
    <row r="569" spans="1:10" ht="15" customHeight="1">
      <c r="A569" s="14" t="s">
        <v>141</v>
      </c>
      <c r="B569" s="15" t="s">
        <v>39</v>
      </c>
      <c r="C569" s="15" t="s">
        <v>38</v>
      </c>
      <c r="D569" s="15" t="s">
        <v>11</v>
      </c>
      <c r="E569" s="15" t="s">
        <v>38</v>
      </c>
      <c r="F569" s="14">
        <v>90</v>
      </c>
      <c r="G569" s="16">
        <v>44817</v>
      </c>
      <c r="H569" s="7">
        <f t="shared" si="8"/>
        <v>1.5</v>
      </c>
      <c r="I56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569" s="24" t="str">
        <f>TEXT(Table1[[#This Row],[Date]],"mmm")</f>
        <v>Sep</v>
      </c>
    </row>
    <row r="570" spans="1:10" ht="15" customHeight="1">
      <c r="A570" s="14" t="s">
        <v>141</v>
      </c>
      <c r="B570" s="15" t="s">
        <v>39</v>
      </c>
      <c r="C570" s="15" t="s">
        <v>38</v>
      </c>
      <c r="D570" s="15" t="s">
        <v>11</v>
      </c>
      <c r="E570" s="15" t="s">
        <v>38</v>
      </c>
      <c r="F570" s="14">
        <v>60</v>
      </c>
      <c r="G570" s="16">
        <v>44817</v>
      </c>
      <c r="H570" s="7">
        <f t="shared" si="8"/>
        <v>1</v>
      </c>
      <c r="I57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570" s="24" t="str">
        <f>TEXT(Table1[[#This Row],[Date]],"mmm")</f>
        <v>Sep</v>
      </c>
    </row>
    <row r="571" spans="1:10" ht="15" customHeight="1">
      <c r="A571" s="14" t="s">
        <v>141</v>
      </c>
      <c r="B571" s="15" t="s">
        <v>142</v>
      </c>
      <c r="C571" s="15" t="s">
        <v>58</v>
      </c>
      <c r="D571" s="15" t="s">
        <v>11</v>
      </c>
      <c r="E571" s="15" t="s">
        <v>125</v>
      </c>
      <c r="F571" s="14">
        <v>90</v>
      </c>
      <c r="G571" s="16">
        <v>44817</v>
      </c>
      <c r="H571" s="7">
        <f t="shared" si="8"/>
        <v>1.5</v>
      </c>
      <c r="I57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571" s="24" t="str">
        <f>TEXT(Table1[[#This Row],[Date]],"mmm")</f>
        <v>Sep</v>
      </c>
    </row>
    <row r="572" spans="1:10" ht="15" customHeight="1">
      <c r="A572" s="14" t="s">
        <v>141</v>
      </c>
      <c r="B572" s="15" t="s">
        <v>10</v>
      </c>
      <c r="C572" s="15" t="s">
        <v>10</v>
      </c>
      <c r="D572" s="15" t="s">
        <v>8</v>
      </c>
      <c r="E572" s="15" t="s">
        <v>10</v>
      </c>
      <c r="F572" s="14">
        <v>20</v>
      </c>
      <c r="G572" s="16">
        <v>44847</v>
      </c>
      <c r="H572" s="7">
        <f t="shared" si="8"/>
        <v>0.33333333333333331</v>
      </c>
      <c r="I57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572" s="24" t="str">
        <f>TEXT(Table1[[#This Row],[Date]],"mmm")</f>
        <v>Oct</v>
      </c>
    </row>
    <row r="573" spans="1:10" ht="15" customHeight="1">
      <c r="A573" s="14" t="s">
        <v>141</v>
      </c>
      <c r="B573" s="15" t="s">
        <v>36</v>
      </c>
      <c r="C573" s="15" t="s">
        <v>37</v>
      </c>
      <c r="D573" s="15" t="s">
        <v>8</v>
      </c>
      <c r="E573" s="15" t="s">
        <v>36</v>
      </c>
      <c r="F573" s="14">
        <v>45</v>
      </c>
      <c r="G573" s="16">
        <v>44847</v>
      </c>
      <c r="H573" s="7">
        <f t="shared" si="8"/>
        <v>0.75</v>
      </c>
      <c r="I57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573" s="24" t="str">
        <f>TEXT(Table1[[#This Row],[Date]],"mmm")</f>
        <v>Oct</v>
      </c>
    </row>
    <row r="574" spans="1:10" ht="15" customHeight="1">
      <c r="A574" s="14" t="s">
        <v>141</v>
      </c>
      <c r="B574" s="15" t="s">
        <v>157</v>
      </c>
      <c r="C574" s="15" t="s">
        <v>16</v>
      </c>
      <c r="D574" s="15" t="s">
        <v>8</v>
      </c>
      <c r="E574" s="15" t="s">
        <v>9</v>
      </c>
      <c r="F574" s="14">
        <v>15</v>
      </c>
      <c r="G574" s="16">
        <v>44847</v>
      </c>
      <c r="H574" s="7">
        <f t="shared" si="8"/>
        <v>0.25</v>
      </c>
      <c r="I57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574" s="24" t="str">
        <f>TEXT(Table1[[#This Row],[Date]],"mmm")</f>
        <v>Oct</v>
      </c>
    </row>
    <row r="575" spans="1:10" ht="15" customHeight="1">
      <c r="A575" s="14" t="s">
        <v>141</v>
      </c>
      <c r="B575" s="15" t="s">
        <v>142</v>
      </c>
      <c r="C575" s="15" t="s">
        <v>89</v>
      </c>
      <c r="D575" s="15" t="s">
        <v>69</v>
      </c>
      <c r="E575" s="15" t="s">
        <v>75</v>
      </c>
      <c r="F575" s="14">
        <v>240</v>
      </c>
      <c r="G575" s="16">
        <v>44847</v>
      </c>
      <c r="H575" s="7">
        <f t="shared" si="8"/>
        <v>4</v>
      </c>
      <c r="I57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575" s="24" t="str">
        <f>TEXT(Table1[[#This Row],[Date]],"mmm")</f>
        <v>Oct</v>
      </c>
    </row>
    <row r="576" spans="1:10" ht="15" customHeight="1">
      <c r="A576" s="14" t="s">
        <v>141</v>
      </c>
      <c r="B576" s="15" t="s">
        <v>157</v>
      </c>
      <c r="C576" s="15" t="s">
        <v>137</v>
      </c>
      <c r="D576" s="15" t="s">
        <v>8</v>
      </c>
      <c r="E576" s="15" t="s">
        <v>35</v>
      </c>
      <c r="F576" s="14">
        <v>150</v>
      </c>
      <c r="G576" s="16">
        <v>44847</v>
      </c>
      <c r="H576" s="7">
        <f t="shared" si="8"/>
        <v>2.5</v>
      </c>
      <c r="I57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576" s="24" t="str">
        <f>TEXT(Table1[[#This Row],[Date]],"mmm")</f>
        <v>Oct</v>
      </c>
    </row>
    <row r="577" spans="1:10" ht="15" customHeight="1">
      <c r="A577" s="14" t="s">
        <v>141</v>
      </c>
      <c r="B577" s="15" t="s">
        <v>157</v>
      </c>
      <c r="C577" s="15" t="s">
        <v>20</v>
      </c>
      <c r="D577" s="15" t="s">
        <v>8</v>
      </c>
      <c r="E577" s="15" t="s">
        <v>20</v>
      </c>
      <c r="F577" s="14">
        <v>40</v>
      </c>
      <c r="G577" s="16">
        <v>44847</v>
      </c>
      <c r="H577" s="7">
        <f t="shared" si="8"/>
        <v>0.66666666666666663</v>
      </c>
      <c r="I57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577" s="24" t="str">
        <f>TEXT(Table1[[#This Row],[Date]],"mmm")</f>
        <v>Oct</v>
      </c>
    </row>
    <row r="578" spans="1:10" ht="15" customHeight="1">
      <c r="A578" s="14" t="s">
        <v>140</v>
      </c>
      <c r="B578" s="15" t="s">
        <v>159</v>
      </c>
      <c r="C578" s="15" t="s">
        <v>47</v>
      </c>
      <c r="D578" s="15" t="s">
        <v>8</v>
      </c>
      <c r="E578" s="15" t="s">
        <v>9</v>
      </c>
      <c r="F578" s="14">
        <v>30</v>
      </c>
      <c r="G578" s="16">
        <v>44847</v>
      </c>
      <c r="H578" s="7">
        <f t="shared" ref="H578:H641" si="9">IFERROR(IF(ISBLANK(F578)=TRUE(),"",F578/60),"")</f>
        <v>0.5</v>
      </c>
      <c r="I57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578" s="24" t="str">
        <f>TEXT(Table1[[#This Row],[Date]],"mmm")</f>
        <v>Oct</v>
      </c>
    </row>
    <row r="579" spans="1:10" ht="15" customHeight="1">
      <c r="A579" s="14" t="s">
        <v>140</v>
      </c>
      <c r="B579" s="15" t="s">
        <v>10</v>
      </c>
      <c r="C579" s="15" t="s">
        <v>10</v>
      </c>
      <c r="D579" s="15" t="s">
        <v>8</v>
      </c>
      <c r="E579" s="15" t="s">
        <v>10</v>
      </c>
      <c r="F579" s="14">
        <v>25</v>
      </c>
      <c r="G579" s="16">
        <v>44847</v>
      </c>
      <c r="H579" s="7">
        <f t="shared" si="9"/>
        <v>0.41666666666666669</v>
      </c>
      <c r="I57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579" s="24" t="str">
        <f>TEXT(Table1[[#This Row],[Date]],"mmm")</f>
        <v>Oct</v>
      </c>
    </row>
    <row r="580" spans="1:10" ht="15" customHeight="1">
      <c r="A580" s="14" t="s">
        <v>140</v>
      </c>
      <c r="B580" s="15" t="s">
        <v>160</v>
      </c>
      <c r="C580" s="15" t="s">
        <v>38</v>
      </c>
      <c r="D580" s="15" t="s">
        <v>11</v>
      </c>
      <c r="E580" s="15" t="s">
        <v>38</v>
      </c>
      <c r="F580" s="14">
        <v>50</v>
      </c>
      <c r="G580" s="16">
        <v>44847</v>
      </c>
      <c r="H580" s="7">
        <f t="shared" si="9"/>
        <v>0.83333333333333337</v>
      </c>
      <c r="I58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580" s="24" t="str">
        <f>TEXT(Table1[[#This Row],[Date]],"mmm")</f>
        <v>Oct</v>
      </c>
    </row>
    <row r="581" spans="1:10" ht="15" customHeight="1">
      <c r="A581" s="14" t="s">
        <v>140</v>
      </c>
      <c r="B581" s="15" t="s">
        <v>159</v>
      </c>
      <c r="C581" s="15" t="s">
        <v>20</v>
      </c>
      <c r="D581" s="15" t="s">
        <v>11</v>
      </c>
      <c r="E581" s="15" t="s">
        <v>20</v>
      </c>
      <c r="F581" s="14">
        <v>40</v>
      </c>
      <c r="G581" s="16">
        <v>44847</v>
      </c>
      <c r="H581" s="7">
        <f t="shared" si="9"/>
        <v>0.66666666666666663</v>
      </c>
      <c r="I58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581" s="24" t="str">
        <f>TEXT(Table1[[#This Row],[Date]],"mmm")</f>
        <v>Oct</v>
      </c>
    </row>
    <row r="582" spans="1:10" ht="15" customHeight="1">
      <c r="A582" s="14" t="s">
        <v>140</v>
      </c>
      <c r="B582" s="15" t="s">
        <v>159</v>
      </c>
      <c r="C582" s="15" t="s">
        <v>71</v>
      </c>
      <c r="D582" s="15" t="s">
        <v>8</v>
      </c>
      <c r="E582" s="15" t="s">
        <v>71</v>
      </c>
      <c r="F582" s="14">
        <v>45</v>
      </c>
      <c r="G582" s="16">
        <v>44847</v>
      </c>
      <c r="H582" s="7">
        <f t="shared" si="9"/>
        <v>0.75</v>
      </c>
      <c r="I58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582" s="24" t="str">
        <f>TEXT(Table1[[#This Row],[Date]],"mmm")</f>
        <v>Oct</v>
      </c>
    </row>
    <row r="583" spans="1:10" ht="15" customHeight="1">
      <c r="A583" s="14" t="s">
        <v>140</v>
      </c>
      <c r="B583" s="15" t="s">
        <v>159</v>
      </c>
      <c r="C583" s="15" t="s">
        <v>48</v>
      </c>
      <c r="D583" s="15" t="s">
        <v>11</v>
      </c>
      <c r="E583" s="15" t="s">
        <v>88</v>
      </c>
      <c r="F583" s="14">
        <v>95</v>
      </c>
      <c r="G583" s="16">
        <v>44847</v>
      </c>
      <c r="H583" s="7">
        <f t="shared" si="9"/>
        <v>1.5833333333333333</v>
      </c>
      <c r="I58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583" s="24" t="str">
        <f>TEXT(Table1[[#This Row],[Date]],"mmm")</f>
        <v>Oct</v>
      </c>
    </row>
    <row r="584" spans="1:10" ht="15" customHeight="1">
      <c r="A584" s="14" t="s">
        <v>140</v>
      </c>
      <c r="B584" s="15" t="s">
        <v>159</v>
      </c>
      <c r="C584" s="15" t="s">
        <v>30</v>
      </c>
      <c r="D584" s="15" t="s">
        <v>11</v>
      </c>
      <c r="E584" s="15" t="s">
        <v>12</v>
      </c>
      <c r="F584" s="14">
        <v>50</v>
      </c>
      <c r="G584" s="16">
        <v>44847</v>
      </c>
      <c r="H584" s="7">
        <f t="shared" si="9"/>
        <v>0.83333333333333337</v>
      </c>
      <c r="I58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584" s="24" t="str">
        <f>TEXT(Table1[[#This Row],[Date]],"mmm")</f>
        <v>Oct</v>
      </c>
    </row>
    <row r="585" spans="1:10" ht="15" customHeight="1">
      <c r="A585" s="14" t="s">
        <v>140</v>
      </c>
      <c r="B585" s="15" t="s">
        <v>159</v>
      </c>
      <c r="C585" s="15" t="s">
        <v>22</v>
      </c>
      <c r="D585" s="15" t="s">
        <v>13</v>
      </c>
      <c r="E585" s="15" t="s">
        <v>22</v>
      </c>
      <c r="F585" s="14">
        <v>35</v>
      </c>
      <c r="G585" s="16">
        <v>44847</v>
      </c>
      <c r="H585" s="7">
        <f t="shared" si="9"/>
        <v>0.58333333333333337</v>
      </c>
      <c r="I58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585" s="24" t="str">
        <f>TEXT(Table1[[#This Row],[Date]],"mmm")</f>
        <v>Oct</v>
      </c>
    </row>
    <row r="586" spans="1:10" ht="15" customHeight="1">
      <c r="A586" s="14" t="s">
        <v>140</v>
      </c>
      <c r="B586" s="15" t="s">
        <v>159</v>
      </c>
      <c r="C586" s="15" t="s">
        <v>23</v>
      </c>
      <c r="D586" s="15" t="s">
        <v>13</v>
      </c>
      <c r="E586" s="15" t="s">
        <v>134</v>
      </c>
      <c r="F586" s="14">
        <v>25</v>
      </c>
      <c r="G586" s="16">
        <v>44847</v>
      </c>
      <c r="H586" s="7">
        <f t="shared" si="9"/>
        <v>0.41666666666666669</v>
      </c>
      <c r="I58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586" s="24" t="str">
        <f>TEXT(Table1[[#This Row],[Date]],"mmm")</f>
        <v>Oct</v>
      </c>
    </row>
    <row r="587" spans="1:10" ht="15" customHeight="1">
      <c r="A587" s="14" t="s">
        <v>140</v>
      </c>
      <c r="B587" s="15" t="s">
        <v>159</v>
      </c>
      <c r="C587" s="15" t="s">
        <v>95</v>
      </c>
      <c r="D587" s="15" t="s">
        <v>18</v>
      </c>
      <c r="E587" s="15" t="s">
        <v>95</v>
      </c>
      <c r="F587" s="14">
        <v>25</v>
      </c>
      <c r="G587" s="16">
        <v>44847</v>
      </c>
      <c r="H587" s="7">
        <f t="shared" si="9"/>
        <v>0.41666666666666669</v>
      </c>
      <c r="I58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587" s="24" t="str">
        <f>TEXT(Table1[[#This Row],[Date]],"mmm")</f>
        <v>Oct</v>
      </c>
    </row>
    <row r="588" spans="1:10" ht="15" customHeight="1">
      <c r="A588" s="14" t="s">
        <v>140</v>
      </c>
      <c r="B588" s="15" t="s">
        <v>159</v>
      </c>
      <c r="C588" s="15" t="s">
        <v>91</v>
      </c>
      <c r="D588" s="15" t="s">
        <v>18</v>
      </c>
      <c r="E588" s="15" t="s">
        <v>9</v>
      </c>
      <c r="F588" s="14">
        <v>20</v>
      </c>
      <c r="G588" s="16">
        <v>44847</v>
      </c>
      <c r="H588" s="7">
        <f t="shared" si="9"/>
        <v>0.33333333333333331</v>
      </c>
      <c r="I58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588" s="24" t="str">
        <f>TEXT(Table1[[#This Row],[Date]],"mmm")</f>
        <v>Oct</v>
      </c>
    </row>
    <row r="589" spans="1:10" ht="15" customHeight="1">
      <c r="A589" s="14" t="s">
        <v>140</v>
      </c>
      <c r="B589" s="15" t="s">
        <v>150</v>
      </c>
      <c r="C589" s="15" t="s">
        <v>173</v>
      </c>
      <c r="D589" s="15" t="s">
        <v>11</v>
      </c>
      <c r="E589" s="15" t="s">
        <v>17</v>
      </c>
      <c r="F589" s="14">
        <v>30</v>
      </c>
      <c r="G589" s="16">
        <v>44847</v>
      </c>
      <c r="H589" s="7">
        <f t="shared" si="9"/>
        <v>0.5</v>
      </c>
      <c r="I58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589" s="24" t="str">
        <f>TEXT(Table1[[#This Row],[Date]],"mmm")</f>
        <v>Oct</v>
      </c>
    </row>
    <row r="590" spans="1:10" ht="15" customHeight="1">
      <c r="A590" s="14" t="s">
        <v>140</v>
      </c>
      <c r="B590" s="15" t="s">
        <v>159</v>
      </c>
      <c r="C590" s="15" t="s">
        <v>44</v>
      </c>
      <c r="D590" s="15" t="s">
        <v>8</v>
      </c>
      <c r="E590" s="15" t="s">
        <v>12</v>
      </c>
      <c r="F590" s="14">
        <v>40</v>
      </c>
      <c r="G590" s="16">
        <v>44847</v>
      </c>
      <c r="H590" s="7">
        <f t="shared" si="9"/>
        <v>0.66666666666666663</v>
      </c>
      <c r="I59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590" s="24" t="str">
        <f>TEXT(Table1[[#This Row],[Date]],"mmm")</f>
        <v>Oct</v>
      </c>
    </row>
    <row r="591" spans="1:10" ht="15" customHeight="1">
      <c r="A591" s="14" t="s">
        <v>140</v>
      </c>
      <c r="B591" s="15" t="s">
        <v>42</v>
      </c>
      <c r="C591" s="15" t="s">
        <v>43</v>
      </c>
      <c r="D591" s="15" t="s">
        <v>8</v>
      </c>
      <c r="E591" s="15" t="s">
        <v>6</v>
      </c>
      <c r="F591" s="14">
        <v>35</v>
      </c>
      <c r="G591" s="16">
        <v>44818</v>
      </c>
      <c r="H591" s="7">
        <f t="shared" si="9"/>
        <v>0.58333333333333337</v>
      </c>
      <c r="I59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591" s="24" t="str">
        <f>TEXT(Table1[[#This Row],[Date]],"mmm")</f>
        <v>Sep</v>
      </c>
    </row>
    <row r="592" spans="1:10" ht="15" customHeight="1">
      <c r="A592" s="14" t="s">
        <v>140</v>
      </c>
      <c r="B592" s="15" t="s">
        <v>159</v>
      </c>
      <c r="C592" s="15" t="s">
        <v>17</v>
      </c>
      <c r="D592" s="15" t="s">
        <v>11</v>
      </c>
      <c r="E592" s="15" t="s">
        <v>17</v>
      </c>
      <c r="F592" s="14">
        <v>55</v>
      </c>
      <c r="G592" s="16">
        <v>44818</v>
      </c>
      <c r="H592" s="7">
        <f t="shared" si="9"/>
        <v>0.91666666666666663</v>
      </c>
      <c r="I59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592" s="24" t="str">
        <f>TEXT(Table1[[#This Row],[Date]],"mmm")</f>
        <v>Sep</v>
      </c>
    </row>
    <row r="593" spans="1:10" ht="15" customHeight="1">
      <c r="A593" s="14" t="s">
        <v>140</v>
      </c>
      <c r="B593" s="15" t="s">
        <v>160</v>
      </c>
      <c r="C593" s="15" t="s">
        <v>58</v>
      </c>
      <c r="D593" s="15" t="s">
        <v>11</v>
      </c>
      <c r="E593" s="15" t="s">
        <v>125</v>
      </c>
      <c r="F593" s="14">
        <v>80</v>
      </c>
      <c r="G593" s="16">
        <v>44818</v>
      </c>
      <c r="H593" s="7">
        <f t="shared" si="9"/>
        <v>1.3333333333333333</v>
      </c>
      <c r="I59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593" s="24" t="str">
        <f>TEXT(Table1[[#This Row],[Date]],"mmm")</f>
        <v>Sep</v>
      </c>
    </row>
    <row r="594" spans="1:10" ht="15" customHeight="1">
      <c r="A594" s="14" t="s">
        <v>140</v>
      </c>
      <c r="B594" s="15" t="s">
        <v>96</v>
      </c>
      <c r="C594" s="15" t="s">
        <v>10</v>
      </c>
      <c r="D594" s="15" t="s">
        <v>8</v>
      </c>
      <c r="E594" s="15" t="s">
        <v>10</v>
      </c>
      <c r="F594" s="14">
        <v>20</v>
      </c>
      <c r="G594" s="16">
        <v>44818</v>
      </c>
      <c r="H594" s="7">
        <f t="shared" si="9"/>
        <v>0.33333333333333331</v>
      </c>
      <c r="I59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594" s="24" t="str">
        <f>TEXT(Table1[[#This Row],[Date]],"mmm")</f>
        <v>Sep</v>
      </c>
    </row>
    <row r="595" spans="1:10" ht="15" customHeight="1">
      <c r="A595" s="14" t="s">
        <v>140</v>
      </c>
      <c r="B595" s="15" t="s">
        <v>159</v>
      </c>
      <c r="C595" s="15" t="s">
        <v>44</v>
      </c>
      <c r="D595" s="15" t="s">
        <v>8</v>
      </c>
      <c r="E595" s="15" t="s">
        <v>12</v>
      </c>
      <c r="F595" s="14">
        <v>110</v>
      </c>
      <c r="G595" s="16">
        <v>44818</v>
      </c>
      <c r="H595" s="7">
        <f t="shared" si="9"/>
        <v>1.8333333333333333</v>
      </c>
      <c r="I59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595" s="24" t="str">
        <f>TEXT(Table1[[#This Row],[Date]],"mmm")</f>
        <v>Sep</v>
      </c>
    </row>
    <row r="596" spans="1:10" ht="15" customHeight="1">
      <c r="A596" s="14" t="s">
        <v>140</v>
      </c>
      <c r="B596" s="15" t="s">
        <v>146</v>
      </c>
      <c r="C596" s="15" t="s">
        <v>17</v>
      </c>
      <c r="D596" s="15" t="s">
        <v>11</v>
      </c>
      <c r="E596" s="15" t="s">
        <v>17</v>
      </c>
      <c r="F596" s="14">
        <v>35</v>
      </c>
      <c r="G596" s="16">
        <v>44818</v>
      </c>
      <c r="H596" s="7">
        <f t="shared" si="9"/>
        <v>0.58333333333333337</v>
      </c>
      <c r="I59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596" s="24" t="str">
        <f>TEXT(Table1[[#This Row],[Date]],"mmm")</f>
        <v>Sep</v>
      </c>
    </row>
    <row r="597" spans="1:10" ht="15" customHeight="1">
      <c r="A597" s="14" t="s">
        <v>140</v>
      </c>
      <c r="B597" s="15" t="s">
        <v>150</v>
      </c>
      <c r="C597" s="15" t="s">
        <v>38</v>
      </c>
      <c r="D597" s="15" t="s">
        <v>11</v>
      </c>
      <c r="E597" s="15" t="s">
        <v>38</v>
      </c>
      <c r="F597" s="14">
        <v>120</v>
      </c>
      <c r="G597" s="16">
        <v>44818</v>
      </c>
      <c r="H597" s="7">
        <f t="shared" si="9"/>
        <v>2</v>
      </c>
      <c r="I59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597" s="24" t="str">
        <f>TEXT(Table1[[#This Row],[Date]],"mmm")</f>
        <v>Sep</v>
      </c>
    </row>
    <row r="598" spans="1:10" ht="15" customHeight="1">
      <c r="A598" s="14" t="s">
        <v>140</v>
      </c>
      <c r="B598" s="15" t="s">
        <v>159</v>
      </c>
      <c r="C598" s="15" t="s">
        <v>94</v>
      </c>
      <c r="D598" s="15" t="s">
        <v>8</v>
      </c>
      <c r="E598" s="15" t="s">
        <v>6</v>
      </c>
      <c r="F598" s="14">
        <v>25</v>
      </c>
      <c r="G598" s="16">
        <v>44818</v>
      </c>
      <c r="H598" s="7">
        <f t="shared" si="9"/>
        <v>0.41666666666666669</v>
      </c>
      <c r="I59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598" s="24" t="str">
        <f>TEXT(Table1[[#This Row],[Date]],"mmm")</f>
        <v>Sep</v>
      </c>
    </row>
    <row r="599" spans="1:10" ht="15" customHeight="1">
      <c r="A599" s="14" t="s">
        <v>140</v>
      </c>
      <c r="B599" s="15" t="s">
        <v>144</v>
      </c>
      <c r="C599" s="15" t="s">
        <v>17</v>
      </c>
      <c r="D599" s="15" t="s">
        <v>11</v>
      </c>
      <c r="E599" s="15" t="s">
        <v>17</v>
      </c>
      <c r="F599" s="14">
        <v>35</v>
      </c>
      <c r="G599" s="16">
        <v>44818</v>
      </c>
      <c r="H599" s="7">
        <f t="shared" si="9"/>
        <v>0.58333333333333337</v>
      </c>
      <c r="I59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599" s="24" t="str">
        <f>TEXT(Table1[[#This Row],[Date]],"mmm")</f>
        <v>Sep</v>
      </c>
    </row>
    <row r="600" spans="1:10" ht="15" customHeight="1">
      <c r="A600" s="14" t="s">
        <v>141</v>
      </c>
      <c r="B600" s="15" t="s">
        <v>10</v>
      </c>
      <c r="C600" s="15" t="s">
        <v>10</v>
      </c>
      <c r="D600" s="15" t="s">
        <v>8</v>
      </c>
      <c r="E600" s="15" t="s">
        <v>10</v>
      </c>
      <c r="F600" s="14">
        <v>20</v>
      </c>
      <c r="G600" s="16">
        <v>44848</v>
      </c>
      <c r="H600" s="7">
        <f t="shared" si="9"/>
        <v>0.33333333333333331</v>
      </c>
      <c r="I60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600" s="24" t="str">
        <f>TEXT(Table1[[#This Row],[Date]],"mmm")</f>
        <v>Oct</v>
      </c>
    </row>
    <row r="601" spans="1:10" ht="15" customHeight="1">
      <c r="A601" s="14" t="s">
        <v>141</v>
      </c>
      <c r="B601" s="15" t="s">
        <v>36</v>
      </c>
      <c r="C601" s="15" t="s">
        <v>37</v>
      </c>
      <c r="D601" s="15" t="s">
        <v>8</v>
      </c>
      <c r="E601" s="15" t="s">
        <v>36</v>
      </c>
      <c r="F601" s="14">
        <v>45</v>
      </c>
      <c r="G601" s="16">
        <v>44848</v>
      </c>
      <c r="H601" s="7">
        <f t="shared" si="9"/>
        <v>0.75</v>
      </c>
      <c r="I60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601" s="24" t="str">
        <f>TEXT(Table1[[#This Row],[Date]],"mmm")</f>
        <v>Oct</v>
      </c>
    </row>
    <row r="602" spans="1:10" ht="15" customHeight="1">
      <c r="A602" s="14" t="s">
        <v>141</v>
      </c>
      <c r="B602" s="15" t="s">
        <v>157</v>
      </c>
      <c r="C602" s="15" t="s">
        <v>16</v>
      </c>
      <c r="D602" s="15" t="s">
        <v>8</v>
      </c>
      <c r="E602" s="15" t="s">
        <v>9</v>
      </c>
      <c r="F602" s="14">
        <v>20</v>
      </c>
      <c r="G602" s="16">
        <v>44848</v>
      </c>
      <c r="H602" s="7">
        <f t="shared" si="9"/>
        <v>0.33333333333333331</v>
      </c>
      <c r="I60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602" s="24" t="str">
        <f>TEXT(Table1[[#This Row],[Date]],"mmm")</f>
        <v>Oct</v>
      </c>
    </row>
    <row r="603" spans="1:10" ht="15" customHeight="1">
      <c r="A603" s="14" t="s">
        <v>141</v>
      </c>
      <c r="B603" s="15" t="s">
        <v>142</v>
      </c>
      <c r="C603" s="15" t="s">
        <v>89</v>
      </c>
      <c r="D603" s="15" t="s">
        <v>69</v>
      </c>
      <c r="E603" s="15" t="s">
        <v>75</v>
      </c>
      <c r="F603" s="14">
        <v>250</v>
      </c>
      <c r="G603" s="16">
        <v>44848</v>
      </c>
      <c r="H603" s="7">
        <f t="shared" si="9"/>
        <v>4.166666666666667</v>
      </c>
      <c r="I60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603" s="24" t="str">
        <f>TEXT(Table1[[#This Row],[Date]],"mmm")</f>
        <v>Oct</v>
      </c>
    </row>
    <row r="604" spans="1:10" ht="15" customHeight="1">
      <c r="A604" s="14" t="s">
        <v>141</v>
      </c>
      <c r="B604" s="15" t="s">
        <v>157</v>
      </c>
      <c r="C604" s="15" t="s">
        <v>137</v>
      </c>
      <c r="D604" s="15" t="s">
        <v>8</v>
      </c>
      <c r="E604" s="15" t="s">
        <v>35</v>
      </c>
      <c r="F604" s="14">
        <v>130</v>
      </c>
      <c r="G604" s="16">
        <v>44848</v>
      </c>
      <c r="H604" s="7">
        <f t="shared" si="9"/>
        <v>2.1666666666666665</v>
      </c>
      <c r="I60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604" s="24" t="str">
        <f>TEXT(Table1[[#This Row],[Date]],"mmm")</f>
        <v>Oct</v>
      </c>
    </row>
    <row r="605" spans="1:10" ht="15" customHeight="1">
      <c r="A605" s="14" t="s">
        <v>141</v>
      </c>
      <c r="B605" s="15" t="s">
        <v>157</v>
      </c>
      <c r="C605" s="15" t="s">
        <v>20</v>
      </c>
      <c r="D605" s="15" t="s">
        <v>8</v>
      </c>
      <c r="E605" s="15" t="s">
        <v>20</v>
      </c>
      <c r="F605" s="14">
        <v>30</v>
      </c>
      <c r="G605" s="16">
        <v>44848</v>
      </c>
      <c r="H605" s="7">
        <f t="shared" si="9"/>
        <v>0.5</v>
      </c>
      <c r="I60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605" s="24" t="str">
        <f>TEXT(Table1[[#This Row],[Date]],"mmm")</f>
        <v>Oct</v>
      </c>
    </row>
    <row r="606" spans="1:10" ht="15" customHeight="1">
      <c r="A606" s="14" t="s">
        <v>140</v>
      </c>
      <c r="B606" s="15" t="s">
        <v>159</v>
      </c>
      <c r="C606" s="15" t="s">
        <v>47</v>
      </c>
      <c r="D606" s="15" t="s">
        <v>8</v>
      </c>
      <c r="E606" s="15" t="s">
        <v>9</v>
      </c>
      <c r="F606" s="14">
        <v>30</v>
      </c>
      <c r="G606" s="16">
        <v>44848</v>
      </c>
      <c r="H606" s="7">
        <f t="shared" si="9"/>
        <v>0.5</v>
      </c>
      <c r="I60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606" s="24" t="str">
        <f>TEXT(Table1[[#This Row],[Date]],"mmm")</f>
        <v>Oct</v>
      </c>
    </row>
    <row r="607" spans="1:10" ht="15" customHeight="1">
      <c r="A607" s="14" t="s">
        <v>140</v>
      </c>
      <c r="B607" s="15" t="s">
        <v>10</v>
      </c>
      <c r="C607" s="15" t="s">
        <v>10</v>
      </c>
      <c r="D607" s="15" t="s">
        <v>8</v>
      </c>
      <c r="E607" s="15" t="s">
        <v>10</v>
      </c>
      <c r="F607" s="14">
        <v>25</v>
      </c>
      <c r="G607" s="16">
        <v>44848</v>
      </c>
      <c r="H607" s="7">
        <f t="shared" si="9"/>
        <v>0.41666666666666669</v>
      </c>
      <c r="I60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607" s="24" t="str">
        <f>TEXT(Table1[[#This Row],[Date]],"mmm")</f>
        <v>Oct</v>
      </c>
    </row>
    <row r="608" spans="1:10" ht="15" customHeight="1">
      <c r="A608" s="14" t="s">
        <v>140</v>
      </c>
      <c r="B608" s="15" t="s">
        <v>159</v>
      </c>
      <c r="C608" s="15" t="s">
        <v>20</v>
      </c>
      <c r="D608" s="15" t="s">
        <v>11</v>
      </c>
      <c r="E608" s="15" t="s">
        <v>20</v>
      </c>
      <c r="F608" s="14">
        <v>50</v>
      </c>
      <c r="G608" s="16">
        <v>44848</v>
      </c>
      <c r="H608" s="7">
        <f t="shared" si="9"/>
        <v>0.83333333333333337</v>
      </c>
      <c r="I60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608" s="24" t="str">
        <f>TEXT(Table1[[#This Row],[Date]],"mmm")</f>
        <v>Oct</v>
      </c>
    </row>
    <row r="609" spans="1:10" ht="15" customHeight="1">
      <c r="A609" s="14" t="s">
        <v>140</v>
      </c>
      <c r="B609" s="15" t="s">
        <v>159</v>
      </c>
      <c r="C609" s="15" t="s">
        <v>48</v>
      </c>
      <c r="D609" s="15" t="s">
        <v>11</v>
      </c>
      <c r="E609" s="15" t="s">
        <v>88</v>
      </c>
      <c r="F609" s="14">
        <v>40</v>
      </c>
      <c r="G609" s="16">
        <v>44848</v>
      </c>
      <c r="H609" s="7">
        <f t="shared" si="9"/>
        <v>0.66666666666666663</v>
      </c>
      <c r="I60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609" s="24" t="str">
        <f>TEXT(Table1[[#This Row],[Date]],"mmm")</f>
        <v>Oct</v>
      </c>
    </row>
    <row r="610" spans="1:10" ht="15" customHeight="1">
      <c r="A610" s="14" t="s">
        <v>140</v>
      </c>
      <c r="B610" s="15" t="s">
        <v>159</v>
      </c>
      <c r="C610" s="15" t="s">
        <v>30</v>
      </c>
      <c r="D610" s="15" t="s">
        <v>11</v>
      </c>
      <c r="E610" s="15" t="s">
        <v>12</v>
      </c>
      <c r="F610" s="14">
        <v>65</v>
      </c>
      <c r="G610" s="16">
        <v>44848</v>
      </c>
      <c r="H610" s="7">
        <f t="shared" si="9"/>
        <v>1.0833333333333333</v>
      </c>
      <c r="I61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610" s="24" t="str">
        <f>TEXT(Table1[[#This Row],[Date]],"mmm")</f>
        <v>Oct</v>
      </c>
    </row>
    <row r="611" spans="1:10" ht="15" customHeight="1">
      <c r="A611" s="14" t="s">
        <v>140</v>
      </c>
      <c r="B611" s="15" t="s">
        <v>150</v>
      </c>
      <c r="C611" s="15" t="s">
        <v>17</v>
      </c>
      <c r="D611" s="15" t="s">
        <v>11</v>
      </c>
      <c r="E611" s="15" t="s">
        <v>9</v>
      </c>
      <c r="F611" s="14">
        <v>65</v>
      </c>
      <c r="G611" s="16">
        <v>44848</v>
      </c>
      <c r="H611" s="7">
        <f t="shared" si="9"/>
        <v>1.0833333333333333</v>
      </c>
      <c r="I61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611" s="24" t="str">
        <f>TEXT(Table1[[#This Row],[Date]],"mmm")</f>
        <v>Oct</v>
      </c>
    </row>
    <row r="612" spans="1:10" ht="15" customHeight="1">
      <c r="A612" s="14" t="s">
        <v>140</v>
      </c>
      <c r="B612" s="15" t="s">
        <v>159</v>
      </c>
      <c r="C612" s="15" t="s">
        <v>95</v>
      </c>
      <c r="D612" s="15" t="s">
        <v>18</v>
      </c>
      <c r="E612" s="15" t="s">
        <v>9</v>
      </c>
      <c r="F612" s="14">
        <v>50</v>
      </c>
      <c r="G612" s="16">
        <v>44848</v>
      </c>
      <c r="H612" s="7">
        <f t="shared" si="9"/>
        <v>0.83333333333333337</v>
      </c>
      <c r="I61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612" s="24" t="str">
        <f>TEXT(Table1[[#This Row],[Date]],"mmm")</f>
        <v>Oct</v>
      </c>
    </row>
    <row r="613" spans="1:10" ht="15" customHeight="1">
      <c r="A613" s="14" t="s">
        <v>140</v>
      </c>
      <c r="B613" s="15" t="s">
        <v>159</v>
      </c>
      <c r="C613" s="15" t="s">
        <v>44</v>
      </c>
      <c r="D613" s="15" t="s">
        <v>8</v>
      </c>
      <c r="E613" s="15" t="s">
        <v>12</v>
      </c>
      <c r="F613" s="14">
        <v>95</v>
      </c>
      <c r="G613" s="16">
        <v>44848</v>
      </c>
      <c r="H613" s="7">
        <f t="shared" si="9"/>
        <v>1.5833333333333333</v>
      </c>
      <c r="I61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613" s="24" t="str">
        <f>TEXT(Table1[[#This Row],[Date]],"mmm")</f>
        <v>Oct</v>
      </c>
    </row>
    <row r="614" spans="1:10" ht="15" customHeight="1">
      <c r="A614" s="14" t="s">
        <v>140</v>
      </c>
      <c r="B614" s="15" t="s">
        <v>159</v>
      </c>
      <c r="C614" s="15" t="s">
        <v>38</v>
      </c>
      <c r="D614" s="15" t="s">
        <v>11</v>
      </c>
      <c r="E614" s="15" t="s">
        <v>38</v>
      </c>
      <c r="F614" s="14">
        <v>45</v>
      </c>
      <c r="G614" s="16">
        <v>44848</v>
      </c>
      <c r="H614" s="7">
        <f t="shared" si="9"/>
        <v>0.75</v>
      </c>
      <c r="I61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614" s="24" t="str">
        <f>TEXT(Table1[[#This Row],[Date]],"mmm")</f>
        <v>Oct</v>
      </c>
    </row>
    <row r="615" spans="1:10" ht="15" customHeight="1">
      <c r="A615" s="14" t="s">
        <v>140</v>
      </c>
      <c r="B615" s="15" t="s">
        <v>159</v>
      </c>
      <c r="C615" s="15" t="s">
        <v>71</v>
      </c>
      <c r="D615" s="15" t="s">
        <v>8</v>
      </c>
      <c r="E615" s="15" t="s">
        <v>71</v>
      </c>
      <c r="F615" s="14">
        <v>35</v>
      </c>
      <c r="G615" s="16">
        <v>44848</v>
      </c>
      <c r="H615" s="7">
        <f t="shared" si="9"/>
        <v>0.58333333333333337</v>
      </c>
      <c r="I61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615" s="24" t="str">
        <f>TEXT(Table1[[#This Row],[Date]],"mmm")</f>
        <v>Oct</v>
      </c>
    </row>
    <row r="616" spans="1:10" ht="15" customHeight="1">
      <c r="A616" s="14" t="s">
        <v>141</v>
      </c>
      <c r="B616" s="15" t="s">
        <v>10</v>
      </c>
      <c r="C616" s="15" t="s">
        <v>10</v>
      </c>
      <c r="D616" s="15" t="s">
        <v>8</v>
      </c>
      <c r="E616" s="15" t="s">
        <v>10</v>
      </c>
      <c r="F616" s="14">
        <v>35</v>
      </c>
      <c r="G616" s="16">
        <v>44879</v>
      </c>
      <c r="H616" s="7">
        <f t="shared" si="9"/>
        <v>0.58333333333333337</v>
      </c>
      <c r="I61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616" s="24" t="str">
        <f>TEXT(Table1[[#This Row],[Date]],"mmm")</f>
        <v>Nov</v>
      </c>
    </row>
    <row r="617" spans="1:10" ht="15" customHeight="1">
      <c r="A617" s="14" t="s">
        <v>141</v>
      </c>
      <c r="B617" s="15" t="s">
        <v>36</v>
      </c>
      <c r="C617" s="15" t="s">
        <v>37</v>
      </c>
      <c r="D617" s="15" t="s">
        <v>8</v>
      </c>
      <c r="E617" s="15" t="s">
        <v>36</v>
      </c>
      <c r="F617" s="14">
        <v>60</v>
      </c>
      <c r="G617" s="16">
        <v>44879</v>
      </c>
      <c r="H617" s="7">
        <f t="shared" si="9"/>
        <v>1</v>
      </c>
      <c r="I61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617" s="24" t="str">
        <f>TEXT(Table1[[#This Row],[Date]],"mmm")</f>
        <v>Nov</v>
      </c>
    </row>
    <row r="618" spans="1:10" ht="15" customHeight="1">
      <c r="A618" s="14" t="s">
        <v>141</v>
      </c>
      <c r="B618" s="15" t="s">
        <v>157</v>
      </c>
      <c r="C618" s="15" t="s">
        <v>16</v>
      </c>
      <c r="D618" s="15" t="s">
        <v>8</v>
      </c>
      <c r="E618" s="15" t="s">
        <v>9</v>
      </c>
      <c r="F618" s="14">
        <v>30</v>
      </c>
      <c r="G618" s="16">
        <v>44879</v>
      </c>
      <c r="H618" s="7">
        <f t="shared" si="9"/>
        <v>0.5</v>
      </c>
      <c r="I61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618" s="24" t="str">
        <f>TEXT(Table1[[#This Row],[Date]],"mmm")</f>
        <v>Nov</v>
      </c>
    </row>
    <row r="619" spans="1:10" ht="15" customHeight="1">
      <c r="A619" s="14" t="s">
        <v>141</v>
      </c>
      <c r="B619" s="15" t="s">
        <v>142</v>
      </c>
      <c r="C619" s="15" t="s">
        <v>142</v>
      </c>
      <c r="D619" s="15" t="s">
        <v>8</v>
      </c>
      <c r="E619" s="15" t="s">
        <v>35</v>
      </c>
      <c r="F619" s="14">
        <v>200</v>
      </c>
      <c r="G619" s="16">
        <v>44879</v>
      </c>
      <c r="H619" s="7">
        <f t="shared" si="9"/>
        <v>3.3333333333333335</v>
      </c>
      <c r="I61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619" s="24" t="str">
        <f>TEXT(Table1[[#This Row],[Date]],"mmm")</f>
        <v>Nov</v>
      </c>
    </row>
    <row r="620" spans="1:10" ht="15" customHeight="1">
      <c r="A620" s="14" t="s">
        <v>141</v>
      </c>
      <c r="B620" s="15" t="s">
        <v>143</v>
      </c>
      <c r="C620" s="15" t="s">
        <v>38</v>
      </c>
      <c r="D620" s="15" t="s">
        <v>11</v>
      </c>
      <c r="E620" s="15" t="s">
        <v>38</v>
      </c>
      <c r="F620" s="14">
        <v>15</v>
      </c>
      <c r="G620" s="16">
        <v>44879</v>
      </c>
      <c r="H620" s="7">
        <f t="shared" si="9"/>
        <v>0.25</v>
      </c>
      <c r="I62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620" s="24" t="str">
        <f>TEXT(Table1[[#This Row],[Date]],"mmm")</f>
        <v>Nov</v>
      </c>
    </row>
    <row r="621" spans="1:10" ht="15" customHeight="1">
      <c r="A621" s="14" t="s">
        <v>141</v>
      </c>
      <c r="B621" s="15" t="s">
        <v>147</v>
      </c>
      <c r="C621" s="15" t="s">
        <v>38</v>
      </c>
      <c r="D621" s="15" t="s">
        <v>11</v>
      </c>
      <c r="E621" s="15" t="s">
        <v>38</v>
      </c>
      <c r="F621" s="14">
        <v>30</v>
      </c>
      <c r="G621" s="16">
        <v>44879</v>
      </c>
      <c r="H621" s="7">
        <f t="shared" si="9"/>
        <v>0.5</v>
      </c>
      <c r="I62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621" s="24" t="str">
        <f>TEXT(Table1[[#This Row],[Date]],"mmm")</f>
        <v>Nov</v>
      </c>
    </row>
    <row r="622" spans="1:10" ht="15" customHeight="1">
      <c r="A622" s="14" t="s">
        <v>141</v>
      </c>
      <c r="B622" s="15" t="s">
        <v>157</v>
      </c>
      <c r="C622" s="15" t="s">
        <v>157</v>
      </c>
      <c r="D622" s="15" t="s">
        <v>11</v>
      </c>
      <c r="E622" s="15" t="s">
        <v>31</v>
      </c>
      <c r="F622" s="14">
        <v>60</v>
      </c>
      <c r="G622" s="16">
        <v>44879</v>
      </c>
      <c r="H622" s="7">
        <f t="shared" si="9"/>
        <v>1</v>
      </c>
      <c r="I62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622" s="24" t="str">
        <f>TEXT(Table1[[#This Row],[Date]],"mmm")</f>
        <v>Nov</v>
      </c>
    </row>
    <row r="623" spans="1:10" ht="15" customHeight="1">
      <c r="A623" s="14" t="s">
        <v>141</v>
      </c>
      <c r="B623" s="15" t="s">
        <v>157</v>
      </c>
      <c r="C623" s="15" t="s">
        <v>44</v>
      </c>
      <c r="D623" s="15" t="s">
        <v>8</v>
      </c>
      <c r="E623" s="15" t="s">
        <v>12</v>
      </c>
      <c r="F623" s="14">
        <v>90</v>
      </c>
      <c r="G623" s="16">
        <v>44879</v>
      </c>
      <c r="H623" s="7">
        <f t="shared" si="9"/>
        <v>1.5</v>
      </c>
      <c r="I62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623" s="24" t="str">
        <f>TEXT(Table1[[#This Row],[Date]],"mmm")</f>
        <v>Nov</v>
      </c>
    </row>
    <row r="624" spans="1:10" ht="15" customHeight="1">
      <c r="A624" s="14" t="s">
        <v>140</v>
      </c>
      <c r="B624" s="15" t="s">
        <v>159</v>
      </c>
      <c r="C624" s="15" t="s">
        <v>66</v>
      </c>
      <c r="D624" s="15" t="s">
        <v>13</v>
      </c>
      <c r="E624" s="15" t="s">
        <v>66</v>
      </c>
      <c r="F624" s="14">
        <v>25</v>
      </c>
      <c r="G624" s="16">
        <v>44879</v>
      </c>
      <c r="H624" s="7">
        <f t="shared" si="9"/>
        <v>0.41666666666666669</v>
      </c>
      <c r="I62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624" s="24" t="str">
        <f>TEXT(Table1[[#This Row],[Date]],"mmm")</f>
        <v>Nov</v>
      </c>
    </row>
    <row r="625" spans="1:10" ht="15" customHeight="1">
      <c r="A625" s="14" t="s">
        <v>140</v>
      </c>
      <c r="B625" s="15" t="s">
        <v>159</v>
      </c>
      <c r="C625" s="15" t="s">
        <v>48</v>
      </c>
      <c r="D625" s="15" t="s">
        <v>11</v>
      </c>
      <c r="E625" s="15" t="s">
        <v>88</v>
      </c>
      <c r="F625" s="14">
        <v>20</v>
      </c>
      <c r="G625" s="16">
        <v>44879</v>
      </c>
      <c r="H625" s="7">
        <f t="shared" si="9"/>
        <v>0.33333333333333331</v>
      </c>
      <c r="I62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625" s="24" t="str">
        <f>TEXT(Table1[[#This Row],[Date]],"mmm")</f>
        <v>Nov</v>
      </c>
    </row>
    <row r="626" spans="1:10" ht="15" customHeight="1">
      <c r="A626" s="14" t="s">
        <v>140</v>
      </c>
      <c r="B626" s="15" t="s">
        <v>10</v>
      </c>
      <c r="C626" s="15" t="s">
        <v>10</v>
      </c>
      <c r="D626" s="15" t="s">
        <v>8</v>
      </c>
      <c r="E626" s="15" t="s">
        <v>10</v>
      </c>
      <c r="F626" s="14">
        <v>25</v>
      </c>
      <c r="G626" s="16">
        <v>44879</v>
      </c>
      <c r="H626" s="7">
        <f t="shared" si="9"/>
        <v>0.41666666666666669</v>
      </c>
      <c r="I62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626" s="24" t="str">
        <f>TEXT(Table1[[#This Row],[Date]],"mmm")</f>
        <v>Nov</v>
      </c>
    </row>
    <row r="627" spans="1:10" ht="15" customHeight="1">
      <c r="A627" s="14" t="s">
        <v>140</v>
      </c>
      <c r="B627" s="15" t="s">
        <v>159</v>
      </c>
      <c r="C627" s="15" t="s">
        <v>17</v>
      </c>
      <c r="D627" s="15" t="s">
        <v>11</v>
      </c>
      <c r="E627" s="15" t="s">
        <v>9</v>
      </c>
      <c r="F627" s="14">
        <v>25</v>
      </c>
      <c r="G627" s="16">
        <v>44879</v>
      </c>
      <c r="H627" s="7">
        <f t="shared" si="9"/>
        <v>0.41666666666666669</v>
      </c>
      <c r="I62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627" s="24" t="str">
        <f>TEXT(Table1[[#This Row],[Date]],"mmm")</f>
        <v>Nov</v>
      </c>
    </row>
    <row r="628" spans="1:10" ht="15" customHeight="1">
      <c r="A628" s="14" t="s">
        <v>140</v>
      </c>
      <c r="B628" s="15" t="s">
        <v>159</v>
      </c>
      <c r="C628" s="15" t="s">
        <v>52</v>
      </c>
      <c r="D628" s="15" t="s">
        <v>138</v>
      </c>
      <c r="E628" s="15" t="s">
        <v>9</v>
      </c>
      <c r="F628" s="14">
        <v>50</v>
      </c>
      <c r="G628" s="16">
        <v>44879</v>
      </c>
      <c r="H628" s="7">
        <f t="shared" si="9"/>
        <v>0.83333333333333337</v>
      </c>
      <c r="I62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628" s="24" t="str">
        <f>TEXT(Table1[[#This Row],[Date]],"mmm")</f>
        <v>Nov</v>
      </c>
    </row>
    <row r="629" spans="1:10" ht="15" customHeight="1">
      <c r="A629" s="14" t="s">
        <v>140</v>
      </c>
      <c r="B629" s="15" t="s">
        <v>152</v>
      </c>
      <c r="C629" s="15" t="s">
        <v>153</v>
      </c>
      <c r="D629" s="15" t="s">
        <v>8</v>
      </c>
      <c r="E629" s="15" t="s">
        <v>12</v>
      </c>
      <c r="F629" s="14">
        <v>25</v>
      </c>
      <c r="G629" s="16">
        <v>44879</v>
      </c>
      <c r="H629" s="7">
        <f t="shared" si="9"/>
        <v>0.41666666666666669</v>
      </c>
      <c r="I62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629" s="24" t="str">
        <f>TEXT(Table1[[#This Row],[Date]],"mmm")</f>
        <v>Nov</v>
      </c>
    </row>
    <row r="630" spans="1:10" ht="15" customHeight="1">
      <c r="A630" s="14" t="s">
        <v>140</v>
      </c>
      <c r="B630" s="15" t="s">
        <v>159</v>
      </c>
      <c r="C630" s="15" t="s">
        <v>44</v>
      </c>
      <c r="D630" s="15" t="s">
        <v>8</v>
      </c>
      <c r="E630" s="15" t="s">
        <v>12</v>
      </c>
      <c r="F630" s="14">
        <v>90</v>
      </c>
      <c r="G630" s="16">
        <v>44879</v>
      </c>
      <c r="H630" s="7">
        <f t="shared" si="9"/>
        <v>1.5</v>
      </c>
      <c r="I63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630" s="24" t="str">
        <f>TEXT(Table1[[#This Row],[Date]],"mmm")</f>
        <v>Nov</v>
      </c>
    </row>
    <row r="631" spans="1:10" ht="15" customHeight="1">
      <c r="A631" s="14" t="s">
        <v>140</v>
      </c>
      <c r="B631" s="15" t="s">
        <v>159</v>
      </c>
      <c r="C631" s="15" t="s">
        <v>93</v>
      </c>
      <c r="D631" s="15" t="s">
        <v>13</v>
      </c>
      <c r="E631" s="15" t="s">
        <v>6</v>
      </c>
      <c r="F631" s="14">
        <v>35</v>
      </c>
      <c r="G631" s="16">
        <v>44879</v>
      </c>
      <c r="H631" s="7">
        <f t="shared" si="9"/>
        <v>0.58333333333333337</v>
      </c>
      <c r="I63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631" s="24" t="str">
        <f>TEXT(Table1[[#This Row],[Date]],"mmm")</f>
        <v>Nov</v>
      </c>
    </row>
    <row r="632" spans="1:10" ht="15" customHeight="1">
      <c r="A632" s="14" t="s">
        <v>140</v>
      </c>
      <c r="B632" s="15" t="s">
        <v>159</v>
      </c>
      <c r="C632" s="15" t="s">
        <v>54</v>
      </c>
      <c r="D632" s="15" t="s">
        <v>13</v>
      </c>
      <c r="E632" s="15" t="s">
        <v>72</v>
      </c>
      <c r="F632" s="14">
        <v>35</v>
      </c>
      <c r="G632" s="16">
        <v>44879</v>
      </c>
      <c r="H632" s="7">
        <f t="shared" si="9"/>
        <v>0.58333333333333337</v>
      </c>
      <c r="I63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632" s="24" t="str">
        <f>TEXT(Table1[[#This Row],[Date]],"mmm")</f>
        <v>Nov</v>
      </c>
    </row>
    <row r="633" spans="1:10" ht="15" customHeight="1">
      <c r="A633" s="14" t="s">
        <v>140</v>
      </c>
      <c r="B633" s="15" t="s">
        <v>146</v>
      </c>
      <c r="C633" s="15" t="s">
        <v>14</v>
      </c>
      <c r="D633" s="15" t="s">
        <v>11</v>
      </c>
      <c r="E633" s="15" t="s">
        <v>14</v>
      </c>
      <c r="F633" s="14">
        <v>20</v>
      </c>
      <c r="G633" s="16">
        <v>44879</v>
      </c>
      <c r="H633" s="7">
        <f t="shared" si="9"/>
        <v>0.33333333333333331</v>
      </c>
      <c r="I63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633" s="24" t="str">
        <f>TEXT(Table1[[#This Row],[Date]],"mmm")</f>
        <v>Nov</v>
      </c>
    </row>
    <row r="634" spans="1:10" ht="15" customHeight="1">
      <c r="A634" s="14" t="s">
        <v>140</v>
      </c>
      <c r="B634" s="15" t="s">
        <v>150</v>
      </c>
      <c r="C634" s="15" t="s">
        <v>14</v>
      </c>
      <c r="D634" s="15" t="s">
        <v>11</v>
      </c>
      <c r="E634" s="15" t="s">
        <v>14</v>
      </c>
      <c r="F634" s="14">
        <v>25</v>
      </c>
      <c r="G634" s="16">
        <v>44879</v>
      </c>
      <c r="H634" s="7">
        <f t="shared" si="9"/>
        <v>0.41666666666666669</v>
      </c>
      <c r="I63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634" s="24" t="str">
        <f>TEXT(Table1[[#This Row],[Date]],"mmm")</f>
        <v>Nov</v>
      </c>
    </row>
    <row r="635" spans="1:10" ht="15" customHeight="1">
      <c r="A635" s="14" t="s">
        <v>140</v>
      </c>
      <c r="B635" s="15" t="s">
        <v>144</v>
      </c>
      <c r="C635" s="15" t="s">
        <v>14</v>
      </c>
      <c r="D635" s="15" t="s">
        <v>11</v>
      </c>
      <c r="E635" s="15" t="s">
        <v>9</v>
      </c>
      <c r="F635" s="14">
        <v>20</v>
      </c>
      <c r="G635" s="16">
        <v>44879</v>
      </c>
      <c r="H635" s="7">
        <f t="shared" si="9"/>
        <v>0.33333333333333331</v>
      </c>
      <c r="I63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635" s="24" t="str">
        <f>TEXT(Table1[[#This Row],[Date]],"mmm")</f>
        <v>Nov</v>
      </c>
    </row>
    <row r="636" spans="1:10" ht="15" customHeight="1">
      <c r="A636" s="14" t="s">
        <v>140</v>
      </c>
      <c r="B636" s="15" t="s">
        <v>159</v>
      </c>
      <c r="C636" s="15" t="s">
        <v>171</v>
      </c>
      <c r="D636" s="15" t="s">
        <v>18</v>
      </c>
      <c r="E636" s="15" t="s">
        <v>171</v>
      </c>
      <c r="F636" s="14">
        <v>20</v>
      </c>
      <c r="G636" s="16">
        <v>44879</v>
      </c>
      <c r="H636" s="7">
        <f t="shared" si="9"/>
        <v>0.33333333333333331</v>
      </c>
      <c r="I63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636" s="24" t="str">
        <f>TEXT(Table1[[#This Row],[Date]],"mmm")</f>
        <v>Nov</v>
      </c>
    </row>
    <row r="637" spans="1:10" ht="15" customHeight="1">
      <c r="A637" s="14" t="s">
        <v>140</v>
      </c>
      <c r="B637" s="15" t="s">
        <v>6</v>
      </c>
      <c r="C637" s="15" t="s">
        <v>7</v>
      </c>
      <c r="D637" s="15" t="s">
        <v>8</v>
      </c>
      <c r="E637" s="15" t="s">
        <v>9</v>
      </c>
      <c r="F637" s="14">
        <v>20</v>
      </c>
      <c r="G637" s="16">
        <v>44879</v>
      </c>
      <c r="H637" s="7">
        <f t="shared" si="9"/>
        <v>0.33333333333333331</v>
      </c>
      <c r="I63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637" s="24" t="str">
        <f>TEXT(Table1[[#This Row],[Date]],"mmm")</f>
        <v>Nov</v>
      </c>
    </row>
    <row r="638" spans="1:10" ht="15" customHeight="1">
      <c r="A638" s="14" t="s">
        <v>140</v>
      </c>
      <c r="B638" s="15" t="s">
        <v>6</v>
      </c>
      <c r="C638" s="15" t="s">
        <v>15</v>
      </c>
      <c r="D638" s="15" t="s">
        <v>11</v>
      </c>
      <c r="E638" s="15" t="s">
        <v>12</v>
      </c>
      <c r="F638" s="14">
        <v>45</v>
      </c>
      <c r="G638" s="16">
        <v>44879</v>
      </c>
      <c r="H638" s="7">
        <f t="shared" si="9"/>
        <v>0.75</v>
      </c>
      <c r="I63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638" s="24" t="str">
        <f>TEXT(Table1[[#This Row],[Date]],"mmm")</f>
        <v>Nov</v>
      </c>
    </row>
    <row r="639" spans="1:10" ht="15" customHeight="1">
      <c r="A639" s="14" t="s">
        <v>140</v>
      </c>
      <c r="B639" s="15" t="s">
        <v>6</v>
      </c>
      <c r="C639" s="15" t="s">
        <v>97</v>
      </c>
      <c r="D639" s="15" t="s">
        <v>11</v>
      </c>
      <c r="E639" s="15" t="s">
        <v>55</v>
      </c>
      <c r="F639" s="14">
        <v>20</v>
      </c>
      <c r="G639" s="16">
        <v>44879</v>
      </c>
      <c r="H639" s="7">
        <f t="shared" si="9"/>
        <v>0.33333333333333331</v>
      </c>
      <c r="I63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639" s="24" t="str">
        <f>TEXT(Table1[[#This Row],[Date]],"mmm")</f>
        <v>Nov</v>
      </c>
    </row>
    <row r="640" spans="1:10" ht="15" customHeight="1">
      <c r="A640" s="14" t="s">
        <v>141</v>
      </c>
      <c r="B640" s="15" t="s">
        <v>36</v>
      </c>
      <c r="C640" s="15" t="s">
        <v>37</v>
      </c>
      <c r="D640" s="15" t="s">
        <v>8</v>
      </c>
      <c r="E640" s="15" t="s">
        <v>36</v>
      </c>
      <c r="F640" s="14">
        <v>60</v>
      </c>
      <c r="G640" s="16">
        <v>44819</v>
      </c>
      <c r="H640" s="7">
        <f t="shared" si="9"/>
        <v>1</v>
      </c>
      <c r="I64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640" s="24" t="str">
        <f>TEXT(Table1[[#This Row],[Date]],"mmm")</f>
        <v>Sep</v>
      </c>
    </row>
    <row r="641" spans="1:10" ht="15" customHeight="1">
      <c r="A641" s="14" t="s">
        <v>141</v>
      </c>
      <c r="B641" s="15" t="s">
        <v>142</v>
      </c>
      <c r="C641" s="15" t="s">
        <v>137</v>
      </c>
      <c r="D641" s="15" t="s">
        <v>8</v>
      </c>
      <c r="E641" s="15" t="s">
        <v>35</v>
      </c>
      <c r="F641" s="14">
        <v>120</v>
      </c>
      <c r="G641" s="16">
        <v>44819</v>
      </c>
      <c r="H641" s="7">
        <f t="shared" si="9"/>
        <v>2</v>
      </c>
      <c r="I64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641" s="24" t="str">
        <f>TEXT(Table1[[#This Row],[Date]],"mmm")</f>
        <v>Sep</v>
      </c>
    </row>
    <row r="642" spans="1:10" ht="15" customHeight="1">
      <c r="A642" s="14" t="s">
        <v>141</v>
      </c>
      <c r="B642" s="15" t="s">
        <v>157</v>
      </c>
      <c r="C642" s="15" t="s">
        <v>16</v>
      </c>
      <c r="D642" s="15" t="s">
        <v>8</v>
      </c>
      <c r="E642" s="15" t="s">
        <v>6</v>
      </c>
      <c r="F642" s="14">
        <v>30</v>
      </c>
      <c r="G642" s="16">
        <v>44819</v>
      </c>
      <c r="H642" s="7">
        <f t="shared" ref="H642:H705" si="10">IFERROR(IF(ISBLANK(F642)=TRUE(),"",F642/60),"")</f>
        <v>0.5</v>
      </c>
      <c r="I64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642" s="24" t="str">
        <f>TEXT(Table1[[#This Row],[Date]],"mmm")</f>
        <v>Sep</v>
      </c>
    </row>
    <row r="643" spans="1:10" ht="15" customHeight="1">
      <c r="A643" s="14" t="s">
        <v>141</v>
      </c>
      <c r="B643" s="15" t="s">
        <v>96</v>
      </c>
      <c r="C643" s="15" t="s">
        <v>40</v>
      </c>
      <c r="D643" s="15" t="s">
        <v>8</v>
      </c>
      <c r="E643" s="15" t="s">
        <v>96</v>
      </c>
      <c r="F643" s="14">
        <v>20</v>
      </c>
      <c r="G643" s="16">
        <v>44819</v>
      </c>
      <c r="H643" s="7">
        <f t="shared" si="10"/>
        <v>0.33333333333333331</v>
      </c>
      <c r="I64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643" s="24" t="str">
        <f>TEXT(Table1[[#This Row],[Date]],"mmm")</f>
        <v>Sep</v>
      </c>
    </row>
    <row r="644" spans="1:10" ht="15" customHeight="1">
      <c r="A644" s="14" t="s">
        <v>141</v>
      </c>
      <c r="B644" s="15" t="s">
        <v>157</v>
      </c>
      <c r="C644" s="15" t="s">
        <v>44</v>
      </c>
      <c r="D644" s="15" t="s">
        <v>8</v>
      </c>
      <c r="E644" s="15" t="s">
        <v>12</v>
      </c>
      <c r="F644" s="14">
        <v>90</v>
      </c>
      <c r="G644" s="16">
        <v>44819</v>
      </c>
      <c r="H644" s="7">
        <f t="shared" si="10"/>
        <v>1.5</v>
      </c>
      <c r="I64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644" s="24" t="str">
        <f>TEXT(Table1[[#This Row],[Date]],"mmm")</f>
        <v>Sep</v>
      </c>
    </row>
    <row r="645" spans="1:10" ht="15" customHeight="1">
      <c r="A645" s="14" t="s">
        <v>141</v>
      </c>
      <c r="B645" s="15" t="s">
        <v>157</v>
      </c>
      <c r="C645" s="15" t="s">
        <v>98</v>
      </c>
      <c r="D645" s="15" t="s">
        <v>13</v>
      </c>
      <c r="E645" s="15" t="s">
        <v>9</v>
      </c>
      <c r="F645" s="14">
        <v>190</v>
      </c>
      <c r="G645" s="16">
        <v>44819</v>
      </c>
      <c r="H645" s="7">
        <f t="shared" si="10"/>
        <v>3.1666666666666665</v>
      </c>
      <c r="I64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645" s="24" t="str">
        <f>TEXT(Table1[[#This Row],[Date]],"mmm")</f>
        <v>Sep</v>
      </c>
    </row>
    <row r="646" spans="1:10" ht="15" customHeight="1">
      <c r="A646" s="14" t="s">
        <v>140</v>
      </c>
      <c r="B646" s="15" t="s">
        <v>159</v>
      </c>
      <c r="C646" s="15" t="s">
        <v>17</v>
      </c>
      <c r="D646" s="15" t="s">
        <v>11</v>
      </c>
      <c r="E646" s="15" t="s">
        <v>9</v>
      </c>
      <c r="F646" s="14">
        <v>55</v>
      </c>
      <c r="G646" s="16">
        <v>44819</v>
      </c>
      <c r="H646" s="7">
        <f t="shared" si="10"/>
        <v>0.91666666666666663</v>
      </c>
      <c r="I64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646" s="24" t="str">
        <f>TEXT(Table1[[#This Row],[Date]],"mmm")</f>
        <v>Sep</v>
      </c>
    </row>
    <row r="647" spans="1:10" ht="15" customHeight="1">
      <c r="A647" s="14" t="s">
        <v>140</v>
      </c>
      <c r="B647" s="15" t="s">
        <v>160</v>
      </c>
      <c r="C647" s="15" t="s">
        <v>38</v>
      </c>
      <c r="D647" s="15" t="s">
        <v>11</v>
      </c>
      <c r="E647" s="15" t="s">
        <v>38</v>
      </c>
      <c r="F647" s="14">
        <v>80</v>
      </c>
      <c r="G647" s="16">
        <v>44819</v>
      </c>
      <c r="H647" s="7">
        <f t="shared" si="10"/>
        <v>1.3333333333333333</v>
      </c>
      <c r="I64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647" s="24" t="str">
        <f>TEXT(Table1[[#This Row],[Date]],"mmm")</f>
        <v>Sep</v>
      </c>
    </row>
    <row r="648" spans="1:10" ht="15" customHeight="1">
      <c r="A648" s="14" t="s">
        <v>140</v>
      </c>
      <c r="B648" s="15" t="s">
        <v>96</v>
      </c>
      <c r="C648" s="15" t="s">
        <v>10</v>
      </c>
      <c r="D648" s="15" t="s">
        <v>8</v>
      </c>
      <c r="E648" s="15" t="s">
        <v>10</v>
      </c>
      <c r="F648" s="14">
        <v>20</v>
      </c>
      <c r="G648" s="16">
        <v>44819</v>
      </c>
      <c r="H648" s="7">
        <f t="shared" si="10"/>
        <v>0.33333333333333331</v>
      </c>
      <c r="I64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648" s="24" t="str">
        <f>TEXT(Table1[[#This Row],[Date]],"mmm")</f>
        <v>Sep</v>
      </c>
    </row>
    <row r="649" spans="1:10" ht="15" customHeight="1">
      <c r="A649" s="14" t="s">
        <v>140</v>
      </c>
      <c r="B649" s="15" t="s">
        <v>159</v>
      </c>
      <c r="C649" s="15" t="s">
        <v>44</v>
      </c>
      <c r="D649" s="15" t="s">
        <v>8</v>
      </c>
      <c r="E649" s="15" t="s">
        <v>12</v>
      </c>
      <c r="F649" s="14">
        <v>110</v>
      </c>
      <c r="G649" s="16">
        <v>44819</v>
      </c>
      <c r="H649" s="7">
        <f t="shared" si="10"/>
        <v>1.8333333333333333</v>
      </c>
      <c r="I64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649" s="24" t="str">
        <f>TEXT(Table1[[#This Row],[Date]],"mmm")</f>
        <v>Sep</v>
      </c>
    </row>
    <row r="650" spans="1:10" ht="15" customHeight="1">
      <c r="A650" s="14" t="s">
        <v>140</v>
      </c>
      <c r="B650" s="15" t="s">
        <v>144</v>
      </c>
      <c r="C650" s="15" t="s">
        <v>14</v>
      </c>
      <c r="D650" s="15" t="s">
        <v>11</v>
      </c>
      <c r="E650" s="15" t="s">
        <v>14</v>
      </c>
      <c r="F650" s="14">
        <v>65</v>
      </c>
      <c r="G650" s="16">
        <v>44819</v>
      </c>
      <c r="H650" s="7">
        <f t="shared" si="10"/>
        <v>1.0833333333333333</v>
      </c>
      <c r="I65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650" s="24" t="str">
        <f>TEXT(Table1[[#This Row],[Date]],"mmm")</f>
        <v>Sep</v>
      </c>
    </row>
    <row r="651" spans="1:10" ht="15" customHeight="1">
      <c r="A651" s="14" t="s">
        <v>140</v>
      </c>
      <c r="B651" s="15" t="s">
        <v>150</v>
      </c>
      <c r="C651" s="15" t="s">
        <v>17</v>
      </c>
      <c r="D651" s="15" t="s">
        <v>11</v>
      </c>
      <c r="E651" s="15" t="s">
        <v>17</v>
      </c>
      <c r="F651" s="14">
        <v>70</v>
      </c>
      <c r="G651" s="16">
        <v>44819</v>
      </c>
      <c r="H651" s="7">
        <f t="shared" si="10"/>
        <v>1.1666666666666667</v>
      </c>
      <c r="I65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651" s="24" t="str">
        <f>TEXT(Table1[[#This Row],[Date]],"mmm")</f>
        <v>Sep</v>
      </c>
    </row>
    <row r="652" spans="1:10" ht="15" customHeight="1">
      <c r="A652" s="14" t="s">
        <v>140</v>
      </c>
      <c r="B652" s="15" t="s">
        <v>159</v>
      </c>
      <c r="C652" s="15" t="s">
        <v>49</v>
      </c>
      <c r="D652" s="15" t="s">
        <v>13</v>
      </c>
      <c r="E652" s="15" t="s">
        <v>9</v>
      </c>
      <c r="F652" s="14">
        <v>45</v>
      </c>
      <c r="G652" s="16">
        <v>44819</v>
      </c>
      <c r="H652" s="7">
        <f t="shared" si="10"/>
        <v>0.75</v>
      </c>
      <c r="I65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652" s="24" t="str">
        <f>TEXT(Table1[[#This Row],[Date]],"mmm")</f>
        <v>Sep</v>
      </c>
    </row>
    <row r="653" spans="1:10" ht="15" customHeight="1">
      <c r="A653" s="14" t="s">
        <v>140</v>
      </c>
      <c r="B653" s="15" t="s">
        <v>159</v>
      </c>
      <c r="C653" s="15" t="s">
        <v>171</v>
      </c>
      <c r="D653" s="15" t="s">
        <v>18</v>
      </c>
      <c r="E653" s="15" t="s">
        <v>6</v>
      </c>
      <c r="F653" s="14">
        <v>30</v>
      </c>
      <c r="G653" s="16">
        <v>44819</v>
      </c>
      <c r="H653" s="7">
        <f t="shared" si="10"/>
        <v>0.5</v>
      </c>
      <c r="I65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653" s="24" t="str">
        <f>TEXT(Table1[[#This Row],[Date]],"mmm")</f>
        <v>Sep</v>
      </c>
    </row>
    <row r="654" spans="1:10" ht="15" customHeight="1">
      <c r="A654" s="14" t="s">
        <v>140</v>
      </c>
      <c r="B654" s="15" t="s">
        <v>159</v>
      </c>
      <c r="C654" s="15" t="s">
        <v>95</v>
      </c>
      <c r="D654" s="15" t="s">
        <v>18</v>
      </c>
      <c r="E654" s="15" t="s">
        <v>6</v>
      </c>
      <c r="F654" s="14">
        <v>35</v>
      </c>
      <c r="G654" s="16">
        <v>44819</v>
      </c>
      <c r="H654" s="7">
        <f t="shared" si="10"/>
        <v>0.58333333333333337</v>
      </c>
      <c r="I65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654" s="24" t="str">
        <f>TEXT(Table1[[#This Row],[Date]],"mmm")</f>
        <v>Sep</v>
      </c>
    </row>
    <row r="655" spans="1:10" ht="15" customHeight="1">
      <c r="A655" s="14" t="s">
        <v>140</v>
      </c>
      <c r="B655" s="15" t="s">
        <v>159</v>
      </c>
      <c r="C655" s="15" t="s">
        <v>47</v>
      </c>
      <c r="D655" s="15" t="s">
        <v>8</v>
      </c>
      <c r="E655" s="15" t="s">
        <v>9</v>
      </c>
      <c r="F655" s="14">
        <v>30</v>
      </c>
      <c r="G655" s="16">
        <v>44849</v>
      </c>
      <c r="H655" s="7">
        <f t="shared" si="10"/>
        <v>0.5</v>
      </c>
      <c r="I65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655" s="24" t="str">
        <f>TEXT(Table1[[#This Row],[Date]],"mmm")</f>
        <v>Oct</v>
      </c>
    </row>
    <row r="656" spans="1:10" ht="15" customHeight="1">
      <c r="A656" s="14" t="s">
        <v>140</v>
      </c>
      <c r="B656" s="15" t="s">
        <v>10</v>
      </c>
      <c r="C656" s="15" t="s">
        <v>10</v>
      </c>
      <c r="D656" s="15" t="s">
        <v>8</v>
      </c>
      <c r="E656" s="15" t="s">
        <v>10</v>
      </c>
      <c r="F656" s="14">
        <v>30</v>
      </c>
      <c r="G656" s="16">
        <v>44849</v>
      </c>
      <c r="H656" s="7">
        <f t="shared" si="10"/>
        <v>0.5</v>
      </c>
      <c r="I65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656" s="24" t="str">
        <f>TEXT(Table1[[#This Row],[Date]],"mmm")</f>
        <v>Oct</v>
      </c>
    </row>
    <row r="657" spans="1:10" ht="15" customHeight="1">
      <c r="A657" s="14" t="s">
        <v>140</v>
      </c>
      <c r="B657" s="15" t="s">
        <v>159</v>
      </c>
      <c r="C657" s="15" t="s">
        <v>48</v>
      </c>
      <c r="D657" s="15" t="s">
        <v>11</v>
      </c>
      <c r="E657" s="15" t="s">
        <v>88</v>
      </c>
      <c r="F657" s="14">
        <v>50</v>
      </c>
      <c r="G657" s="16">
        <v>44849</v>
      </c>
      <c r="H657" s="7">
        <f t="shared" si="10"/>
        <v>0.83333333333333337</v>
      </c>
      <c r="I65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657" s="24" t="str">
        <f>TEXT(Table1[[#This Row],[Date]],"mmm")</f>
        <v>Oct</v>
      </c>
    </row>
    <row r="658" spans="1:10" ht="15" customHeight="1">
      <c r="A658" s="14" t="s">
        <v>140</v>
      </c>
      <c r="B658" s="15" t="s">
        <v>159</v>
      </c>
      <c r="C658" s="15" t="s">
        <v>30</v>
      </c>
      <c r="D658" s="15" t="s">
        <v>11</v>
      </c>
      <c r="E658" s="15" t="s">
        <v>12</v>
      </c>
      <c r="F658" s="14">
        <v>45</v>
      </c>
      <c r="G658" s="16">
        <v>44849</v>
      </c>
      <c r="H658" s="7">
        <f t="shared" si="10"/>
        <v>0.75</v>
      </c>
      <c r="I65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658" s="24" t="str">
        <f>TEXT(Table1[[#This Row],[Date]],"mmm")</f>
        <v>Oct</v>
      </c>
    </row>
    <row r="659" spans="1:10" ht="15" customHeight="1">
      <c r="A659" s="14" t="s">
        <v>140</v>
      </c>
      <c r="B659" s="15" t="s">
        <v>152</v>
      </c>
      <c r="C659" s="15" t="s">
        <v>17</v>
      </c>
      <c r="D659" s="15" t="s">
        <v>11</v>
      </c>
      <c r="E659" s="15" t="s">
        <v>9</v>
      </c>
      <c r="F659" s="14">
        <v>45</v>
      </c>
      <c r="G659" s="16">
        <v>44849</v>
      </c>
      <c r="H659" s="7">
        <f t="shared" si="10"/>
        <v>0.75</v>
      </c>
      <c r="I65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659" s="24" t="str">
        <f>TEXT(Table1[[#This Row],[Date]],"mmm")</f>
        <v>Oct</v>
      </c>
    </row>
    <row r="660" spans="1:10" ht="15" customHeight="1">
      <c r="A660" s="14" t="s">
        <v>140</v>
      </c>
      <c r="B660" s="15" t="s">
        <v>159</v>
      </c>
      <c r="C660" s="15" t="s">
        <v>77</v>
      </c>
      <c r="D660" s="15" t="s">
        <v>8</v>
      </c>
      <c r="E660" s="15" t="s">
        <v>12</v>
      </c>
      <c r="F660" s="14">
        <v>95</v>
      </c>
      <c r="G660" s="16">
        <v>44849</v>
      </c>
      <c r="H660" s="7">
        <f t="shared" si="10"/>
        <v>1.5833333333333333</v>
      </c>
      <c r="I66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660" s="24" t="str">
        <f>TEXT(Table1[[#This Row],[Date]],"mmm")</f>
        <v>Oct</v>
      </c>
    </row>
    <row r="661" spans="1:10" ht="15" customHeight="1">
      <c r="A661" s="14" t="s">
        <v>140</v>
      </c>
      <c r="B661" s="15" t="s">
        <v>159</v>
      </c>
      <c r="C661" s="15" t="s">
        <v>44</v>
      </c>
      <c r="D661" s="15" t="s">
        <v>8</v>
      </c>
      <c r="E661" s="15" t="s">
        <v>12</v>
      </c>
      <c r="F661" s="14">
        <v>65</v>
      </c>
      <c r="G661" s="16">
        <v>44849</v>
      </c>
      <c r="H661" s="7">
        <f t="shared" si="10"/>
        <v>1.0833333333333333</v>
      </c>
      <c r="I66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661" s="24" t="str">
        <f>TEXT(Table1[[#This Row],[Date]],"mmm")</f>
        <v>Oct</v>
      </c>
    </row>
    <row r="662" spans="1:10" ht="15" customHeight="1">
      <c r="A662" s="14" t="s">
        <v>140</v>
      </c>
      <c r="B662" s="15" t="s">
        <v>159</v>
      </c>
      <c r="C662" s="15" t="s">
        <v>38</v>
      </c>
      <c r="D662" s="15" t="s">
        <v>11</v>
      </c>
      <c r="E662" s="15" t="s">
        <v>38</v>
      </c>
      <c r="F662" s="14">
        <v>35</v>
      </c>
      <c r="G662" s="16">
        <v>44849</v>
      </c>
      <c r="H662" s="7">
        <f t="shared" si="10"/>
        <v>0.58333333333333337</v>
      </c>
      <c r="I66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662" s="24" t="str">
        <f>TEXT(Table1[[#This Row],[Date]],"mmm")</f>
        <v>Oct</v>
      </c>
    </row>
    <row r="663" spans="1:10" ht="15" customHeight="1">
      <c r="A663" s="14" t="s">
        <v>140</v>
      </c>
      <c r="B663" s="15" t="s">
        <v>159</v>
      </c>
      <c r="C663" s="15" t="s">
        <v>49</v>
      </c>
      <c r="D663" s="15" t="s">
        <v>13</v>
      </c>
      <c r="E663" s="15" t="s">
        <v>9</v>
      </c>
      <c r="F663" s="14">
        <v>25</v>
      </c>
      <c r="G663" s="16">
        <v>44849</v>
      </c>
      <c r="H663" s="7">
        <f t="shared" si="10"/>
        <v>0.41666666666666669</v>
      </c>
      <c r="I66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663" s="24" t="str">
        <f>TEXT(Table1[[#This Row],[Date]],"mmm")</f>
        <v>Oct</v>
      </c>
    </row>
    <row r="664" spans="1:10" ht="15" customHeight="1">
      <c r="A664" s="14" t="s">
        <v>140</v>
      </c>
      <c r="B664" s="15" t="s">
        <v>159</v>
      </c>
      <c r="C664" s="15" t="s">
        <v>77</v>
      </c>
      <c r="D664" s="15" t="s">
        <v>11</v>
      </c>
      <c r="E664" s="15" t="s">
        <v>9</v>
      </c>
      <c r="F664" s="14">
        <v>25</v>
      </c>
      <c r="G664" s="16">
        <v>44849</v>
      </c>
      <c r="H664" s="7">
        <f t="shared" si="10"/>
        <v>0.41666666666666669</v>
      </c>
      <c r="I66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664" s="24" t="str">
        <f>TEXT(Table1[[#This Row],[Date]],"mmm")</f>
        <v>Oct</v>
      </c>
    </row>
    <row r="665" spans="1:10" ht="15" customHeight="1">
      <c r="A665" s="14" t="s">
        <v>140</v>
      </c>
      <c r="B665" s="15" t="s">
        <v>160</v>
      </c>
      <c r="C665" s="15" t="s">
        <v>169</v>
      </c>
      <c r="D665" s="15" t="s">
        <v>11</v>
      </c>
      <c r="E665" s="15" t="s">
        <v>17</v>
      </c>
      <c r="F665" s="14">
        <v>20</v>
      </c>
      <c r="G665" s="16">
        <v>44849</v>
      </c>
      <c r="H665" s="7">
        <f t="shared" si="10"/>
        <v>0.33333333333333331</v>
      </c>
      <c r="I66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665" s="24" t="str">
        <f>TEXT(Table1[[#This Row],[Date]],"mmm")</f>
        <v>Oct</v>
      </c>
    </row>
    <row r="666" spans="1:10" ht="15" customHeight="1">
      <c r="A666" s="14" t="s">
        <v>140</v>
      </c>
      <c r="B666" s="15" t="s">
        <v>159</v>
      </c>
      <c r="C666" s="15" t="s">
        <v>17</v>
      </c>
      <c r="D666" s="15" t="s">
        <v>11</v>
      </c>
      <c r="E666" s="15" t="s">
        <v>9</v>
      </c>
      <c r="F666" s="14">
        <v>30</v>
      </c>
      <c r="G666" s="16">
        <v>44849</v>
      </c>
      <c r="H666" s="7">
        <f t="shared" si="10"/>
        <v>0.5</v>
      </c>
      <c r="I66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666" s="24" t="str">
        <f>TEXT(Table1[[#This Row],[Date]],"mmm")</f>
        <v>Oct</v>
      </c>
    </row>
    <row r="667" spans="1:10" ht="15" customHeight="1">
      <c r="A667" s="14" t="s">
        <v>141</v>
      </c>
      <c r="B667" s="15" t="s">
        <v>10</v>
      </c>
      <c r="C667" s="15" t="s">
        <v>10</v>
      </c>
      <c r="D667" s="15" t="s">
        <v>8</v>
      </c>
      <c r="E667" s="15" t="s">
        <v>10</v>
      </c>
      <c r="F667" s="14">
        <v>20</v>
      </c>
      <c r="G667" s="16">
        <v>44849</v>
      </c>
      <c r="H667" s="7">
        <f t="shared" si="10"/>
        <v>0.33333333333333331</v>
      </c>
      <c r="I66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667" s="24" t="str">
        <f>TEXT(Table1[[#This Row],[Date]],"mmm")</f>
        <v>Oct</v>
      </c>
    </row>
    <row r="668" spans="1:10" ht="15" customHeight="1">
      <c r="A668" s="14" t="s">
        <v>141</v>
      </c>
      <c r="B668" s="15" t="s">
        <v>36</v>
      </c>
      <c r="C668" s="15" t="s">
        <v>37</v>
      </c>
      <c r="D668" s="15" t="s">
        <v>8</v>
      </c>
      <c r="E668" s="15" t="s">
        <v>36</v>
      </c>
      <c r="F668" s="14">
        <v>50</v>
      </c>
      <c r="G668" s="16">
        <v>44849</v>
      </c>
      <c r="H668" s="7">
        <f t="shared" si="10"/>
        <v>0.83333333333333337</v>
      </c>
      <c r="I66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668" s="24" t="str">
        <f>TEXT(Table1[[#This Row],[Date]],"mmm")</f>
        <v>Oct</v>
      </c>
    </row>
    <row r="669" spans="1:10" ht="15" customHeight="1">
      <c r="A669" s="14" t="s">
        <v>141</v>
      </c>
      <c r="B669" s="15" t="s">
        <v>157</v>
      </c>
      <c r="C669" s="15" t="s">
        <v>16</v>
      </c>
      <c r="D669" s="15" t="s">
        <v>8</v>
      </c>
      <c r="E669" s="15" t="s">
        <v>9</v>
      </c>
      <c r="F669" s="14">
        <v>25</v>
      </c>
      <c r="G669" s="16">
        <v>44849</v>
      </c>
      <c r="H669" s="7">
        <f t="shared" si="10"/>
        <v>0.41666666666666669</v>
      </c>
      <c r="I66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669" s="24" t="str">
        <f>TEXT(Table1[[#This Row],[Date]],"mmm")</f>
        <v>Oct</v>
      </c>
    </row>
    <row r="670" spans="1:10" ht="15" customHeight="1">
      <c r="A670" s="14" t="s">
        <v>141</v>
      </c>
      <c r="B670" s="15" t="s">
        <v>142</v>
      </c>
      <c r="C670" s="15" t="s">
        <v>89</v>
      </c>
      <c r="D670" s="15" t="s">
        <v>69</v>
      </c>
      <c r="E670" s="15" t="s">
        <v>75</v>
      </c>
      <c r="F670" s="14">
        <v>240</v>
      </c>
      <c r="G670" s="16">
        <v>44849</v>
      </c>
      <c r="H670" s="7">
        <f t="shared" si="10"/>
        <v>4</v>
      </c>
      <c r="I67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670" s="24" t="str">
        <f>TEXT(Table1[[#This Row],[Date]],"mmm")</f>
        <v>Oct</v>
      </c>
    </row>
    <row r="671" spans="1:10" ht="15" customHeight="1">
      <c r="A671" s="14" t="s">
        <v>141</v>
      </c>
      <c r="B671" s="15" t="s">
        <v>157</v>
      </c>
      <c r="C671" s="15" t="s">
        <v>137</v>
      </c>
      <c r="D671" s="15" t="s">
        <v>8</v>
      </c>
      <c r="E671" s="15" t="s">
        <v>35</v>
      </c>
      <c r="F671" s="14">
        <v>150</v>
      </c>
      <c r="G671" s="16">
        <v>44849</v>
      </c>
      <c r="H671" s="7">
        <f t="shared" si="10"/>
        <v>2.5</v>
      </c>
      <c r="I67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09-Oct-22 - to - 15-Oct-22</v>
      </c>
      <c r="J671" s="24" t="str">
        <f>TEXT(Table1[[#This Row],[Date]],"mmm")</f>
        <v>Oct</v>
      </c>
    </row>
    <row r="672" spans="1:10" ht="15" customHeight="1">
      <c r="A672" s="14" t="s">
        <v>141</v>
      </c>
      <c r="B672" s="15" t="s">
        <v>10</v>
      </c>
      <c r="C672" s="15" t="s">
        <v>10</v>
      </c>
      <c r="D672" s="15" t="s">
        <v>8</v>
      </c>
      <c r="E672" s="15" t="s">
        <v>10</v>
      </c>
      <c r="F672" s="14">
        <v>50</v>
      </c>
      <c r="G672" s="16">
        <v>44880</v>
      </c>
      <c r="H672" s="7">
        <f t="shared" si="10"/>
        <v>0.83333333333333337</v>
      </c>
      <c r="I67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672" s="24" t="str">
        <f>TEXT(Table1[[#This Row],[Date]],"mmm")</f>
        <v>Nov</v>
      </c>
    </row>
    <row r="673" spans="1:10" ht="15" customHeight="1">
      <c r="A673" s="14" t="s">
        <v>141</v>
      </c>
      <c r="B673" s="15" t="s">
        <v>36</v>
      </c>
      <c r="C673" s="15" t="s">
        <v>37</v>
      </c>
      <c r="D673" s="15" t="s">
        <v>8</v>
      </c>
      <c r="E673" s="15" t="s">
        <v>36</v>
      </c>
      <c r="F673" s="14">
        <v>60</v>
      </c>
      <c r="G673" s="16">
        <v>44880</v>
      </c>
      <c r="H673" s="7">
        <f t="shared" si="10"/>
        <v>1</v>
      </c>
      <c r="I67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673" s="24" t="str">
        <f>TEXT(Table1[[#This Row],[Date]],"mmm")</f>
        <v>Nov</v>
      </c>
    </row>
    <row r="674" spans="1:10" ht="15" customHeight="1">
      <c r="A674" s="14" t="s">
        <v>141</v>
      </c>
      <c r="B674" s="15" t="s">
        <v>157</v>
      </c>
      <c r="C674" s="15" t="s">
        <v>16</v>
      </c>
      <c r="D674" s="15" t="s">
        <v>8</v>
      </c>
      <c r="E674" s="15" t="s">
        <v>9</v>
      </c>
      <c r="F674" s="14">
        <v>30</v>
      </c>
      <c r="G674" s="16">
        <v>44880</v>
      </c>
      <c r="H674" s="7">
        <f t="shared" si="10"/>
        <v>0.5</v>
      </c>
      <c r="I67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674" s="24" t="str">
        <f>TEXT(Table1[[#This Row],[Date]],"mmm")</f>
        <v>Nov</v>
      </c>
    </row>
    <row r="675" spans="1:10" ht="15" customHeight="1">
      <c r="A675" s="14" t="s">
        <v>141</v>
      </c>
      <c r="B675" s="15" t="s">
        <v>142</v>
      </c>
      <c r="C675" s="15" t="s">
        <v>142</v>
      </c>
      <c r="D675" s="15" t="s">
        <v>8</v>
      </c>
      <c r="E675" s="15" t="s">
        <v>35</v>
      </c>
      <c r="F675" s="14">
        <v>180</v>
      </c>
      <c r="G675" s="16">
        <v>44880</v>
      </c>
      <c r="H675" s="7">
        <f t="shared" si="10"/>
        <v>3</v>
      </c>
      <c r="I67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675" s="24" t="str">
        <f>TEXT(Table1[[#This Row],[Date]],"mmm")</f>
        <v>Nov</v>
      </c>
    </row>
    <row r="676" spans="1:10" ht="15" customHeight="1">
      <c r="A676" s="14" t="s">
        <v>141</v>
      </c>
      <c r="B676" s="15" t="s">
        <v>165</v>
      </c>
      <c r="C676" s="15" t="s">
        <v>164</v>
      </c>
      <c r="D676" s="15" t="s">
        <v>11</v>
      </c>
      <c r="E676" s="15" t="s">
        <v>96</v>
      </c>
      <c r="F676" s="14">
        <v>30</v>
      </c>
      <c r="G676" s="16">
        <v>44880</v>
      </c>
      <c r="H676" s="7">
        <f t="shared" si="10"/>
        <v>0.5</v>
      </c>
      <c r="I67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676" s="24" t="str">
        <f>TEXT(Table1[[#This Row],[Date]],"mmm")</f>
        <v>Nov</v>
      </c>
    </row>
    <row r="677" spans="1:10" ht="15" customHeight="1">
      <c r="A677" s="14" t="s">
        <v>141</v>
      </c>
      <c r="B677" s="15" t="s">
        <v>143</v>
      </c>
      <c r="C677" s="15" t="s">
        <v>38</v>
      </c>
      <c r="D677" s="15" t="s">
        <v>11</v>
      </c>
      <c r="E677" s="15" t="s">
        <v>38</v>
      </c>
      <c r="F677" s="14">
        <v>20</v>
      </c>
      <c r="G677" s="16">
        <v>44880</v>
      </c>
      <c r="H677" s="7">
        <f t="shared" si="10"/>
        <v>0.33333333333333331</v>
      </c>
      <c r="I67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677" s="24" t="str">
        <f>TEXT(Table1[[#This Row],[Date]],"mmm")</f>
        <v>Nov</v>
      </c>
    </row>
    <row r="678" spans="1:10" ht="15" customHeight="1">
      <c r="A678" s="14" t="s">
        <v>141</v>
      </c>
      <c r="B678" s="15" t="s">
        <v>157</v>
      </c>
      <c r="C678" s="15" t="s">
        <v>44</v>
      </c>
      <c r="D678" s="15" t="s">
        <v>8</v>
      </c>
      <c r="E678" s="15" t="s">
        <v>12</v>
      </c>
      <c r="F678" s="14">
        <v>90</v>
      </c>
      <c r="G678" s="16">
        <v>44880</v>
      </c>
      <c r="H678" s="7">
        <f t="shared" si="10"/>
        <v>1.5</v>
      </c>
      <c r="I67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678" s="24" t="str">
        <f>TEXT(Table1[[#This Row],[Date]],"mmm")</f>
        <v>Nov</v>
      </c>
    </row>
    <row r="679" spans="1:10" ht="15" customHeight="1">
      <c r="A679" s="14" t="s">
        <v>141</v>
      </c>
      <c r="B679" s="15" t="s">
        <v>157</v>
      </c>
      <c r="C679" s="15" t="s">
        <v>38</v>
      </c>
      <c r="D679" s="15" t="s">
        <v>138</v>
      </c>
      <c r="E679" s="15" t="s">
        <v>38</v>
      </c>
      <c r="F679" s="14">
        <v>40</v>
      </c>
      <c r="G679" s="16">
        <v>44880</v>
      </c>
      <c r="H679" s="7">
        <f t="shared" si="10"/>
        <v>0.66666666666666663</v>
      </c>
      <c r="I67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679" s="24" t="str">
        <f>TEXT(Table1[[#This Row],[Date]],"mmm")</f>
        <v>Nov</v>
      </c>
    </row>
    <row r="680" spans="1:10" ht="15" customHeight="1">
      <c r="A680" s="14" t="s">
        <v>140</v>
      </c>
      <c r="B680" s="15" t="s">
        <v>159</v>
      </c>
      <c r="C680" s="15" t="s">
        <v>48</v>
      </c>
      <c r="D680" s="15" t="s">
        <v>11</v>
      </c>
      <c r="E680" s="15" t="s">
        <v>88</v>
      </c>
      <c r="F680" s="14">
        <v>20</v>
      </c>
      <c r="G680" s="16">
        <v>44880</v>
      </c>
      <c r="H680" s="7">
        <f t="shared" si="10"/>
        <v>0.33333333333333331</v>
      </c>
      <c r="I68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680" s="24" t="str">
        <f>TEXT(Table1[[#This Row],[Date]],"mmm")</f>
        <v>Nov</v>
      </c>
    </row>
    <row r="681" spans="1:10" ht="15" customHeight="1">
      <c r="A681" s="14" t="s">
        <v>140</v>
      </c>
      <c r="B681" s="15" t="s">
        <v>10</v>
      </c>
      <c r="C681" s="15" t="s">
        <v>10</v>
      </c>
      <c r="D681" s="15" t="s">
        <v>8</v>
      </c>
      <c r="E681" s="15" t="s">
        <v>10</v>
      </c>
      <c r="F681" s="14">
        <v>50</v>
      </c>
      <c r="G681" s="16">
        <v>44880</v>
      </c>
      <c r="H681" s="7">
        <f t="shared" si="10"/>
        <v>0.83333333333333337</v>
      </c>
      <c r="I68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681" s="24" t="str">
        <f>TEXT(Table1[[#This Row],[Date]],"mmm")</f>
        <v>Nov</v>
      </c>
    </row>
    <row r="682" spans="1:10" ht="15" customHeight="1">
      <c r="A682" s="14" t="s">
        <v>140</v>
      </c>
      <c r="B682" s="15" t="s">
        <v>160</v>
      </c>
      <c r="C682" s="15" t="s">
        <v>14</v>
      </c>
      <c r="D682" s="15" t="s">
        <v>11</v>
      </c>
      <c r="E682" s="15" t="s">
        <v>14</v>
      </c>
      <c r="F682" s="14">
        <v>40</v>
      </c>
      <c r="G682" s="16">
        <v>44880</v>
      </c>
      <c r="H682" s="7">
        <f t="shared" si="10"/>
        <v>0.66666666666666663</v>
      </c>
      <c r="I68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682" s="24" t="str">
        <f>TEXT(Table1[[#This Row],[Date]],"mmm")</f>
        <v>Nov</v>
      </c>
    </row>
    <row r="683" spans="1:10" ht="15" customHeight="1">
      <c r="A683" s="14" t="s">
        <v>140</v>
      </c>
      <c r="B683" s="15" t="s">
        <v>159</v>
      </c>
      <c r="C683" s="15" t="s">
        <v>52</v>
      </c>
      <c r="D683" s="15" t="s">
        <v>138</v>
      </c>
      <c r="E683" s="15" t="s">
        <v>9</v>
      </c>
      <c r="F683" s="14">
        <v>25</v>
      </c>
      <c r="G683" s="16">
        <v>44880</v>
      </c>
      <c r="H683" s="7">
        <f t="shared" si="10"/>
        <v>0.41666666666666669</v>
      </c>
      <c r="I68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683" s="24" t="str">
        <f>TEXT(Table1[[#This Row],[Date]],"mmm")</f>
        <v>Nov</v>
      </c>
    </row>
    <row r="684" spans="1:10" ht="15" customHeight="1">
      <c r="A684" s="14" t="s">
        <v>140</v>
      </c>
      <c r="B684" s="15" t="s">
        <v>152</v>
      </c>
      <c r="C684" s="15" t="s">
        <v>153</v>
      </c>
      <c r="D684" s="15" t="s">
        <v>8</v>
      </c>
      <c r="E684" s="15" t="s">
        <v>12</v>
      </c>
      <c r="F684" s="14">
        <v>40</v>
      </c>
      <c r="G684" s="16">
        <v>44880</v>
      </c>
      <c r="H684" s="7">
        <f t="shared" si="10"/>
        <v>0.66666666666666663</v>
      </c>
      <c r="I68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684" s="24" t="str">
        <f>TEXT(Table1[[#This Row],[Date]],"mmm")</f>
        <v>Nov</v>
      </c>
    </row>
    <row r="685" spans="1:10" ht="15" customHeight="1">
      <c r="A685" s="14" t="s">
        <v>140</v>
      </c>
      <c r="B685" s="15" t="s">
        <v>152</v>
      </c>
      <c r="C685" s="15" t="s">
        <v>14</v>
      </c>
      <c r="D685" s="15" t="s">
        <v>8</v>
      </c>
      <c r="E685" s="15" t="s">
        <v>14</v>
      </c>
      <c r="F685" s="14">
        <v>25</v>
      </c>
      <c r="G685" s="16">
        <v>44880</v>
      </c>
      <c r="H685" s="7">
        <f t="shared" si="10"/>
        <v>0.41666666666666669</v>
      </c>
      <c r="I68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685" s="24" t="str">
        <f>TEXT(Table1[[#This Row],[Date]],"mmm")</f>
        <v>Nov</v>
      </c>
    </row>
    <row r="686" spans="1:10" ht="15" customHeight="1">
      <c r="A686" s="14" t="s">
        <v>140</v>
      </c>
      <c r="B686" s="15" t="s">
        <v>159</v>
      </c>
      <c r="C686" s="15" t="s">
        <v>44</v>
      </c>
      <c r="D686" s="15" t="s">
        <v>8</v>
      </c>
      <c r="E686" s="15" t="s">
        <v>12</v>
      </c>
      <c r="F686" s="14">
        <v>90</v>
      </c>
      <c r="G686" s="16">
        <v>44880</v>
      </c>
      <c r="H686" s="7">
        <f t="shared" si="10"/>
        <v>1.5</v>
      </c>
      <c r="I68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686" s="24" t="str">
        <f>TEXT(Table1[[#This Row],[Date]],"mmm")</f>
        <v>Nov</v>
      </c>
    </row>
    <row r="687" spans="1:10" ht="15" customHeight="1">
      <c r="A687" s="14" t="s">
        <v>140</v>
      </c>
      <c r="B687" s="15" t="s">
        <v>159</v>
      </c>
      <c r="C687" s="15" t="s">
        <v>17</v>
      </c>
      <c r="D687" s="15" t="s">
        <v>11</v>
      </c>
      <c r="E687" s="15" t="s">
        <v>17</v>
      </c>
      <c r="F687" s="14">
        <v>30</v>
      </c>
      <c r="G687" s="16">
        <v>44880</v>
      </c>
      <c r="H687" s="7">
        <f t="shared" si="10"/>
        <v>0.5</v>
      </c>
      <c r="I68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687" s="24" t="str">
        <f>TEXT(Table1[[#This Row],[Date]],"mmm")</f>
        <v>Nov</v>
      </c>
    </row>
    <row r="688" spans="1:10" ht="15" customHeight="1">
      <c r="A688" s="14" t="s">
        <v>140</v>
      </c>
      <c r="B688" s="15" t="s">
        <v>150</v>
      </c>
      <c r="C688" s="15" t="s">
        <v>14</v>
      </c>
      <c r="D688" s="15" t="s">
        <v>11</v>
      </c>
      <c r="E688" s="15" t="s">
        <v>14</v>
      </c>
      <c r="F688" s="14">
        <v>20</v>
      </c>
      <c r="G688" s="16">
        <v>44880</v>
      </c>
      <c r="H688" s="7">
        <f t="shared" si="10"/>
        <v>0.33333333333333331</v>
      </c>
      <c r="I68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688" s="24" t="str">
        <f>TEXT(Table1[[#This Row],[Date]],"mmm")</f>
        <v>Nov</v>
      </c>
    </row>
    <row r="689" spans="1:10" ht="15" customHeight="1">
      <c r="A689" s="14" t="s">
        <v>140</v>
      </c>
      <c r="B689" s="15" t="s">
        <v>146</v>
      </c>
      <c r="C689" s="15" t="s">
        <v>14</v>
      </c>
      <c r="D689" s="15" t="s">
        <v>11</v>
      </c>
      <c r="E689" s="15" t="s">
        <v>14</v>
      </c>
      <c r="F689" s="14">
        <v>20</v>
      </c>
      <c r="G689" s="16">
        <v>44880</v>
      </c>
      <c r="H689" s="7">
        <f t="shared" si="10"/>
        <v>0.33333333333333331</v>
      </c>
      <c r="I68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689" s="24" t="str">
        <f>TEXT(Table1[[#This Row],[Date]],"mmm")</f>
        <v>Nov</v>
      </c>
    </row>
    <row r="690" spans="1:10" ht="15" customHeight="1">
      <c r="A690" s="14" t="s">
        <v>140</v>
      </c>
      <c r="B690" s="15" t="s">
        <v>159</v>
      </c>
      <c r="C690" s="15" t="s">
        <v>66</v>
      </c>
      <c r="D690" s="15" t="s">
        <v>11</v>
      </c>
      <c r="E690" s="15" t="s">
        <v>9</v>
      </c>
      <c r="F690" s="14">
        <v>20</v>
      </c>
      <c r="G690" s="16">
        <v>44880</v>
      </c>
      <c r="H690" s="7">
        <f t="shared" si="10"/>
        <v>0.33333333333333331</v>
      </c>
      <c r="I69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690" s="24" t="str">
        <f>TEXT(Table1[[#This Row],[Date]],"mmm")</f>
        <v>Nov</v>
      </c>
    </row>
    <row r="691" spans="1:10" ht="15" customHeight="1">
      <c r="A691" s="14" t="s">
        <v>140</v>
      </c>
      <c r="B691" s="15" t="s">
        <v>159</v>
      </c>
      <c r="C691" s="15" t="s">
        <v>100</v>
      </c>
      <c r="D691" s="15" t="s">
        <v>18</v>
      </c>
      <c r="E691" s="15" t="s">
        <v>100</v>
      </c>
      <c r="F691" s="14">
        <v>40</v>
      </c>
      <c r="G691" s="16">
        <v>44880</v>
      </c>
      <c r="H691" s="7">
        <f t="shared" si="10"/>
        <v>0.66666666666666663</v>
      </c>
      <c r="I69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691" s="24" t="str">
        <f>TEXT(Table1[[#This Row],[Date]],"mmm")</f>
        <v>Nov</v>
      </c>
    </row>
    <row r="692" spans="1:10" ht="15" customHeight="1">
      <c r="A692" s="14" t="s">
        <v>141</v>
      </c>
      <c r="B692" s="15" t="s">
        <v>6</v>
      </c>
      <c r="C692" s="15" t="s">
        <v>101</v>
      </c>
      <c r="D692" s="15" t="s">
        <v>138</v>
      </c>
      <c r="E692" s="15" t="s">
        <v>6</v>
      </c>
      <c r="F692" s="14">
        <v>10</v>
      </c>
      <c r="G692" s="16">
        <v>44880</v>
      </c>
      <c r="H692" s="7">
        <f t="shared" si="10"/>
        <v>0.16666666666666666</v>
      </c>
      <c r="I69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692" s="24" t="str">
        <f>TEXT(Table1[[#This Row],[Date]],"mmm")</f>
        <v>Nov</v>
      </c>
    </row>
    <row r="693" spans="1:10" ht="15" customHeight="1">
      <c r="A693" s="14" t="s">
        <v>140</v>
      </c>
      <c r="B693" s="15" t="s">
        <v>6</v>
      </c>
      <c r="C693" s="15" t="s">
        <v>7</v>
      </c>
      <c r="D693" s="15" t="s">
        <v>8</v>
      </c>
      <c r="E693" s="15" t="s">
        <v>9</v>
      </c>
      <c r="F693" s="14">
        <v>20</v>
      </c>
      <c r="G693" s="16">
        <v>44880</v>
      </c>
      <c r="H693" s="7">
        <f t="shared" si="10"/>
        <v>0.33333333333333331</v>
      </c>
      <c r="I69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693" s="24" t="str">
        <f>TEXT(Table1[[#This Row],[Date]],"mmm")</f>
        <v>Nov</v>
      </c>
    </row>
    <row r="694" spans="1:10" ht="15" customHeight="1">
      <c r="A694" s="14" t="s">
        <v>140</v>
      </c>
      <c r="B694" s="15" t="s">
        <v>6</v>
      </c>
      <c r="C694" s="15" t="s">
        <v>15</v>
      </c>
      <c r="D694" s="15" t="s">
        <v>11</v>
      </c>
      <c r="E694" s="15" t="s">
        <v>12</v>
      </c>
      <c r="F694" s="14">
        <v>45</v>
      </c>
      <c r="G694" s="16">
        <v>44880</v>
      </c>
      <c r="H694" s="7">
        <f t="shared" si="10"/>
        <v>0.75</v>
      </c>
      <c r="I69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694" s="24" t="str">
        <f>TEXT(Table1[[#This Row],[Date]],"mmm")</f>
        <v>Nov</v>
      </c>
    </row>
    <row r="695" spans="1:10" ht="15" customHeight="1">
      <c r="A695" s="14" t="s">
        <v>140</v>
      </c>
      <c r="B695" s="15" t="s">
        <v>6</v>
      </c>
      <c r="C695" s="15" t="s">
        <v>97</v>
      </c>
      <c r="D695" s="15" t="s">
        <v>11</v>
      </c>
      <c r="E695" s="15" t="s">
        <v>55</v>
      </c>
      <c r="F695" s="14">
        <v>20</v>
      </c>
      <c r="G695" s="16">
        <v>44880</v>
      </c>
      <c r="H695" s="7">
        <f t="shared" si="10"/>
        <v>0.33333333333333331</v>
      </c>
      <c r="I69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695" s="24" t="str">
        <f>TEXT(Table1[[#This Row],[Date]],"mmm")</f>
        <v>Nov</v>
      </c>
    </row>
    <row r="696" spans="1:10" ht="15" customHeight="1">
      <c r="A696" s="14" t="s">
        <v>141</v>
      </c>
      <c r="B696" s="15" t="s">
        <v>36</v>
      </c>
      <c r="C696" s="15" t="s">
        <v>37</v>
      </c>
      <c r="D696" s="15" t="s">
        <v>8</v>
      </c>
      <c r="E696" s="15" t="s">
        <v>36</v>
      </c>
      <c r="F696" s="14">
        <v>60</v>
      </c>
      <c r="G696" s="16">
        <v>44820</v>
      </c>
      <c r="H696" s="7">
        <f t="shared" si="10"/>
        <v>1</v>
      </c>
      <c r="I69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696" s="24" t="str">
        <f>TEXT(Table1[[#This Row],[Date]],"mmm")</f>
        <v>Sep</v>
      </c>
    </row>
    <row r="697" spans="1:10" ht="15" customHeight="1">
      <c r="A697" s="14" t="s">
        <v>141</v>
      </c>
      <c r="B697" s="15" t="s">
        <v>142</v>
      </c>
      <c r="C697" s="15" t="s">
        <v>137</v>
      </c>
      <c r="D697" s="15" t="s">
        <v>8</v>
      </c>
      <c r="E697" s="15" t="s">
        <v>35</v>
      </c>
      <c r="F697" s="14">
        <v>150</v>
      </c>
      <c r="G697" s="16">
        <v>44820</v>
      </c>
      <c r="H697" s="7">
        <f t="shared" si="10"/>
        <v>2.5</v>
      </c>
      <c r="I69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697" s="24" t="str">
        <f>TEXT(Table1[[#This Row],[Date]],"mmm")</f>
        <v>Sep</v>
      </c>
    </row>
    <row r="698" spans="1:10" ht="15" customHeight="1">
      <c r="A698" s="14" t="s">
        <v>141</v>
      </c>
      <c r="B698" s="15" t="s">
        <v>157</v>
      </c>
      <c r="C698" s="15" t="s">
        <v>16</v>
      </c>
      <c r="D698" s="15" t="s">
        <v>8</v>
      </c>
      <c r="E698" s="15" t="s">
        <v>9</v>
      </c>
      <c r="F698" s="14">
        <v>30</v>
      </c>
      <c r="G698" s="16">
        <v>44820</v>
      </c>
      <c r="H698" s="7">
        <f t="shared" si="10"/>
        <v>0.5</v>
      </c>
      <c r="I69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698" s="24" t="str">
        <f>TEXT(Table1[[#This Row],[Date]],"mmm")</f>
        <v>Sep</v>
      </c>
    </row>
    <row r="699" spans="1:10" ht="15" customHeight="1">
      <c r="A699" s="14" t="s">
        <v>141</v>
      </c>
      <c r="B699" s="15" t="s">
        <v>96</v>
      </c>
      <c r="C699" s="15" t="s">
        <v>40</v>
      </c>
      <c r="D699" s="15" t="s">
        <v>8</v>
      </c>
      <c r="E699" s="15" t="s">
        <v>96</v>
      </c>
      <c r="F699" s="14">
        <v>30</v>
      </c>
      <c r="G699" s="16">
        <v>44820</v>
      </c>
      <c r="H699" s="7">
        <f t="shared" si="10"/>
        <v>0.5</v>
      </c>
      <c r="I69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699" s="24" t="str">
        <f>TEXT(Table1[[#This Row],[Date]],"mmm")</f>
        <v>Sep</v>
      </c>
    </row>
    <row r="700" spans="1:10" ht="15" customHeight="1">
      <c r="A700" s="14" t="s">
        <v>141</v>
      </c>
      <c r="B700" s="15" t="s">
        <v>157</v>
      </c>
      <c r="C700" s="15" t="s">
        <v>44</v>
      </c>
      <c r="D700" s="15" t="s">
        <v>8</v>
      </c>
      <c r="E700" s="15" t="s">
        <v>12</v>
      </c>
      <c r="F700" s="14">
        <v>60</v>
      </c>
      <c r="G700" s="16">
        <v>44820</v>
      </c>
      <c r="H700" s="7">
        <f t="shared" si="10"/>
        <v>1</v>
      </c>
      <c r="I70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700" s="24" t="str">
        <f>TEXT(Table1[[#This Row],[Date]],"mmm")</f>
        <v>Sep</v>
      </c>
    </row>
    <row r="701" spans="1:10" ht="15" customHeight="1">
      <c r="A701" s="14" t="s">
        <v>141</v>
      </c>
      <c r="B701" s="15" t="s">
        <v>157</v>
      </c>
      <c r="C701" s="15" t="s">
        <v>9</v>
      </c>
      <c r="D701" s="15" t="s">
        <v>11</v>
      </c>
      <c r="E701" s="15" t="s">
        <v>9</v>
      </c>
      <c r="F701" s="14">
        <v>40</v>
      </c>
      <c r="G701" s="16">
        <v>44820</v>
      </c>
      <c r="H701" s="7">
        <f t="shared" si="10"/>
        <v>0.66666666666666663</v>
      </c>
      <c r="I70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701" s="24" t="str">
        <f>TEXT(Table1[[#This Row],[Date]],"mmm")</f>
        <v>Sep</v>
      </c>
    </row>
    <row r="702" spans="1:10" ht="15" customHeight="1">
      <c r="A702" s="14" t="s">
        <v>141</v>
      </c>
      <c r="B702" s="15" t="s">
        <v>142</v>
      </c>
      <c r="C702" s="15" t="s">
        <v>17</v>
      </c>
      <c r="D702" s="15" t="s">
        <v>8</v>
      </c>
      <c r="E702" s="15" t="s">
        <v>17</v>
      </c>
      <c r="F702" s="14">
        <v>60</v>
      </c>
      <c r="G702" s="16">
        <v>44820</v>
      </c>
      <c r="H702" s="7">
        <f t="shared" si="10"/>
        <v>1</v>
      </c>
      <c r="I70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702" s="24" t="str">
        <f>TEXT(Table1[[#This Row],[Date]],"mmm")</f>
        <v>Sep</v>
      </c>
    </row>
    <row r="703" spans="1:10" ht="15" customHeight="1">
      <c r="A703" s="14" t="s">
        <v>141</v>
      </c>
      <c r="B703" s="15" t="s">
        <v>157</v>
      </c>
      <c r="C703" s="15" t="s">
        <v>98</v>
      </c>
      <c r="D703" s="15" t="s">
        <v>13</v>
      </c>
      <c r="E703" s="15" t="s">
        <v>9</v>
      </c>
      <c r="F703" s="14">
        <v>80</v>
      </c>
      <c r="G703" s="16">
        <v>44820</v>
      </c>
      <c r="H703" s="7">
        <f t="shared" si="10"/>
        <v>1.3333333333333333</v>
      </c>
      <c r="I70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703" s="24" t="str">
        <f>TEXT(Table1[[#This Row],[Date]],"mmm")</f>
        <v>Sep</v>
      </c>
    </row>
    <row r="704" spans="1:10" ht="15" customHeight="1">
      <c r="A704" s="14" t="s">
        <v>140</v>
      </c>
      <c r="B704" s="15" t="s">
        <v>159</v>
      </c>
      <c r="C704" s="15" t="s">
        <v>17</v>
      </c>
      <c r="D704" s="15" t="s">
        <v>11</v>
      </c>
      <c r="E704" s="15" t="s">
        <v>9</v>
      </c>
      <c r="F704" s="14">
        <v>45</v>
      </c>
      <c r="G704" s="16">
        <v>44820</v>
      </c>
      <c r="H704" s="7">
        <f t="shared" si="10"/>
        <v>0.75</v>
      </c>
      <c r="I70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704" s="24" t="str">
        <f>TEXT(Table1[[#This Row],[Date]],"mmm")</f>
        <v>Sep</v>
      </c>
    </row>
    <row r="705" spans="1:10" ht="15" customHeight="1">
      <c r="A705" s="14" t="s">
        <v>140</v>
      </c>
      <c r="B705" s="15" t="s">
        <v>160</v>
      </c>
      <c r="C705" s="15" t="s">
        <v>17</v>
      </c>
      <c r="D705" s="15" t="s">
        <v>11</v>
      </c>
      <c r="E705" s="15" t="s">
        <v>9</v>
      </c>
      <c r="F705" s="14">
        <v>25</v>
      </c>
      <c r="G705" s="16">
        <v>44820</v>
      </c>
      <c r="H705" s="7">
        <f t="shared" si="10"/>
        <v>0.41666666666666669</v>
      </c>
      <c r="I70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705" s="24" t="str">
        <f>TEXT(Table1[[#This Row],[Date]],"mmm")</f>
        <v>Sep</v>
      </c>
    </row>
    <row r="706" spans="1:10" ht="15" customHeight="1">
      <c r="A706" s="14" t="s">
        <v>140</v>
      </c>
      <c r="B706" s="15" t="s">
        <v>96</v>
      </c>
      <c r="C706" s="15" t="s">
        <v>10</v>
      </c>
      <c r="D706" s="15" t="s">
        <v>8</v>
      </c>
      <c r="E706" s="15" t="s">
        <v>10</v>
      </c>
      <c r="F706" s="14">
        <v>30</v>
      </c>
      <c r="G706" s="16">
        <v>44820</v>
      </c>
      <c r="H706" s="7">
        <f t="shared" ref="H706:H769" si="11">IFERROR(IF(ISBLANK(F706)=TRUE(),"",F706/60),"")</f>
        <v>0.5</v>
      </c>
      <c r="I70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706" s="24" t="str">
        <f>TEXT(Table1[[#This Row],[Date]],"mmm")</f>
        <v>Sep</v>
      </c>
    </row>
    <row r="707" spans="1:10" ht="15" customHeight="1">
      <c r="A707" s="14" t="s">
        <v>140</v>
      </c>
      <c r="B707" s="15" t="s">
        <v>159</v>
      </c>
      <c r="C707" s="15" t="s">
        <v>78</v>
      </c>
      <c r="D707" s="15" t="s">
        <v>11</v>
      </c>
      <c r="E707" s="15" t="s">
        <v>9</v>
      </c>
      <c r="F707" s="14">
        <v>55</v>
      </c>
      <c r="G707" s="16">
        <v>44820</v>
      </c>
      <c r="H707" s="7">
        <f t="shared" si="11"/>
        <v>0.91666666666666663</v>
      </c>
      <c r="I70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707" s="24" t="str">
        <f>TEXT(Table1[[#This Row],[Date]],"mmm")</f>
        <v>Sep</v>
      </c>
    </row>
    <row r="708" spans="1:10" ht="15" customHeight="1">
      <c r="A708" s="14" t="s">
        <v>140</v>
      </c>
      <c r="B708" s="15" t="s">
        <v>146</v>
      </c>
      <c r="C708" s="15" t="s">
        <v>38</v>
      </c>
      <c r="D708" s="15" t="s">
        <v>11</v>
      </c>
      <c r="E708" s="15" t="s">
        <v>38</v>
      </c>
      <c r="F708" s="14">
        <v>75</v>
      </c>
      <c r="G708" s="16">
        <v>44820</v>
      </c>
      <c r="H708" s="7">
        <f t="shared" si="11"/>
        <v>1.25</v>
      </c>
      <c r="I70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708" s="24" t="str">
        <f>TEXT(Table1[[#This Row],[Date]],"mmm")</f>
        <v>Sep</v>
      </c>
    </row>
    <row r="709" spans="1:10" ht="15" customHeight="1">
      <c r="A709" s="14" t="s">
        <v>140</v>
      </c>
      <c r="B709" s="15" t="s">
        <v>160</v>
      </c>
      <c r="C709" s="15" t="s">
        <v>58</v>
      </c>
      <c r="D709" s="15" t="s">
        <v>11</v>
      </c>
      <c r="E709" s="15" t="s">
        <v>125</v>
      </c>
      <c r="F709" s="14">
        <v>25</v>
      </c>
      <c r="G709" s="16">
        <v>44820</v>
      </c>
      <c r="H709" s="7">
        <f t="shared" si="11"/>
        <v>0.41666666666666669</v>
      </c>
      <c r="I70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709" s="24" t="str">
        <f>TEXT(Table1[[#This Row],[Date]],"mmm")</f>
        <v>Sep</v>
      </c>
    </row>
    <row r="710" spans="1:10" ht="15" customHeight="1">
      <c r="A710" s="14" t="s">
        <v>140</v>
      </c>
      <c r="B710" s="15" t="s">
        <v>159</v>
      </c>
      <c r="C710" s="15" t="s">
        <v>161</v>
      </c>
      <c r="D710" s="15" t="s">
        <v>8</v>
      </c>
      <c r="E710" s="15" t="s">
        <v>9</v>
      </c>
      <c r="F710" s="14">
        <v>85</v>
      </c>
      <c r="G710" s="16">
        <v>44820</v>
      </c>
      <c r="H710" s="7">
        <f t="shared" si="11"/>
        <v>1.4166666666666667</v>
      </c>
      <c r="I71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710" s="24" t="str">
        <f>TEXT(Table1[[#This Row],[Date]],"mmm")</f>
        <v>Sep</v>
      </c>
    </row>
    <row r="711" spans="1:10" ht="15" customHeight="1">
      <c r="A711" s="14" t="s">
        <v>140</v>
      </c>
      <c r="B711" s="15" t="s">
        <v>159</v>
      </c>
      <c r="C711" s="15" t="s">
        <v>44</v>
      </c>
      <c r="D711" s="15" t="s">
        <v>8</v>
      </c>
      <c r="E711" s="15" t="s">
        <v>12</v>
      </c>
      <c r="F711" s="14">
        <v>150</v>
      </c>
      <c r="G711" s="16">
        <v>44820</v>
      </c>
      <c r="H711" s="7">
        <f t="shared" si="11"/>
        <v>2.5</v>
      </c>
      <c r="I71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711" s="24" t="str">
        <f>TEXT(Table1[[#This Row],[Date]],"mmm")</f>
        <v>Sep</v>
      </c>
    </row>
    <row r="712" spans="1:10" ht="15" customHeight="1">
      <c r="A712" s="14" t="s">
        <v>140</v>
      </c>
      <c r="B712" s="15" t="s">
        <v>144</v>
      </c>
      <c r="C712" s="15" t="s">
        <v>17</v>
      </c>
      <c r="D712" s="15" t="s">
        <v>8</v>
      </c>
      <c r="E712" s="15" t="s">
        <v>9</v>
      </c>
      <c r="F712" s="14">
        <v>25</v>
      </c>
      <c r="G712" s="16">
        <v>44820</v>
      </c>
      <c r="H712" s="7">
        <f t="shared" si="11"/>
        <v>0.41666666666666669</v>
      </c>
      <c r="I71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712" s="24" t="str">
        <f>TEXT(Table1[[#This Row],[Date]],"mmm")</f>
        <v>Sep</v>
      </c>
    </row>
    <row r="713" spans="1:10" ht="15" customHeight="1">
      <c r="A713" s="14" t="s">
        <v>141</v>
      </c>
      <c r="B713" s="15" t="s">
        <v>10</v>
      </c>
      <c r="C713" s="15" t="s">
        <v>10</v>
      </c>
      <c r="D713" s="15" t="s">
        <v>8</v>
      </c>
      <c r="E713" s="15" t="s">
        <v>10</v>
      </c>
      <c r="F713" s="14">
        <v>50</v>
      </c>
      <c r="G713" s="16">
        <v>44881</v>
      </c>
      <c r="H713" s="7">
        <f t="shared" si="11"/>
        <v>0.83333333333333337</v>
      </c>
      <c r="I71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713" s="24" t="str">
        <f>TEXT(Table1[[#This Row],[Date]],"mmm")</f>
        <v>Nov</v>
      </c>
    </row>
    <row r="714" spans="1:10" ht="15" customHeight="1">
      <c r="A714" s="14" t="s">
        <v>141</v>
      </c>
      <c r="B714" s="15" t="s">
        <v>36</v>
      </c>
      <c r="C714" s="15" t="s">
        <v>37</v>
      </c>
      <c r="D714" s="15" t="s">
        <v>8</v>
      </c>
      <c r="E714" s="15" t="s">
        <v>36</v>
      </c>
      <c r="F714" s="14">
        <v>60</v>
      </c>
      <c r="G714" s="16">
        <v>44881</v>
      </c>
      <c r="H714" s="7">
        <f t="shared" si="11"/>
        <v>1</v>
      </c>
      <c r="I71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714" s="24" t="str">
        <f>TEXT(Table1[[#This Row],[Date]],"mmm")</f>
        <v>Nov</v>
      </c>
    </row>
    <row r="715" spans="1:10" ht="15" customHeight="1">
      <c r="A715" s="14" t="s">
        <v>141</v>
      </c>
      <c r="B715" s="15" t="s">
        <v>157</v>
      </c>
      <c r="C715" s="15" t="s">
        <v>16</v>
      </c>
      <c r="D715" s="15" t="s">
        <v>8</v>
      </c>
      <c r="E715" s="15" t="s">
        <v>9</v>
      </c>
      <c r="F715" s="14">
        <v>20</v>
      </c>
      <c r="G715" s="16">
        <v>44881</v>
      </c>
      <c r="H715" s="7">
        <f t="shared" si="11"/>
        <v>0.33333333333333331</v>
      </c>
      <c r="I71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715" s="24" t="str">
        <f>TEXT(Table1[[#This Row],[Date]],"mmm")</f>
        <v>Nov</v>
      </c>
    </row>
    <row r="716" spans="1:10" ht="15" customHeight="1">
      <c r="A716" s="14" t="s">
        <v>141</v>
      </c>
      <c r="B716" s="15" t="s">
        <v>142</v>
      </c>
      <c r="C716" s="15" t="s">
        <v>142</v>
      </c>
      <c r="D716" s="15" t="s">
        <v>8</v>
      </c>
      <c r="E716" s="15" t="s">
        <v>35</v>
      </c>
      <c r="F716" s="14">
        <v>180</v>
      </c>
      <c r="G716" s="16">
        <v>44881</v>
      </c>
      <c r="H716" s="7">
        <f t="shared" si="11"/>
        <v>3</v>
      </c>
      <c r="I71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716" s="24" t="str">
        <f>TEXT(Table1[[#This Row],[Date]],"mmm")</f>
        <v>Nov</v>
      </c>
    </row>
    <row r="717" spans="1:10" ht="15" customHeight="1">
      <c r="A717" s="14" t="s">
        <v>141</v>
      </c>
      <c r="B717" s="15" t="s">
        <v>142</v>
      </c>
      <c r="C717" s="15" t="s">
        <v>17</v>
      </c>
      <c r="D717" s="15" t="s">
        <v>11</v>
      </c>
      <c r="E717" s="15" t="s">
        <v>17</v>
      </c>
      <c r="F717" s="14">
        <v>30</v>
      </c>
      <c r="G717" s="16">
        <v>44881</v>
      </c>
      <c r="H717" s="7">
        <f t="shared" si="11"/>
        <v>0.5</v>
      </c>
      <c r="I71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717" s="24" t="str">
        <f>TEXT(Table1[[#This Row],[Date]],"mmm")</f>
        <v>Nov</v>
      </c>
    </row>
    <row r="718" spans="1:10" ht="15" customHeight="1">
      <c r="A718" s="14" t="s">
        <v>141</v>
      </c>
      <c r="B718" s="15" t="s">
        <v>142</v>
      </c>
      <c r="C718" s="15" t="s">
        <v>6</v>
      </c>
      <c r="D718" s="15" t="s">
        <v>11</v>
      </c>
      <c r="E718" s="15" t="s">
        <v>6</v>
      </c>
      <c r="F718" s="14">
        <v>15</v>
      </c>
      <c r="G718" s="16">
        <v>44881</v>
      </c>
      <c r="H718" s="7">
        <f t="shared" si="11"/>
        <v>0.25</v>
      </c>
      <c r="I71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718" s="24" t="str">
        <f>TEXT(Table1[[#This Row],[Date]],"mmm")</f>
        <v>Nov</v>
      </c>
    </row>
    <row r="719" spans="1:10" ht="15" customHeight="1">
      <c r="A719" s="14" t="s">
        <v>141</v>
      </c>
      <c r="B719" s="15" t="s">
        <v>99</v>
      </c>
      <c r="C719" s="15" t="s">
        <v>102</v>
      </c>
      <c r="D719" s="15" t="s">
        <v>13</v>
      </c>
      <c r="E719" s="15" t="s">
        <v>6</v>
      </c>
      <c r="F719" s="14">
        <v>30</v>
      </c>
      <c r="G719" s="16">
        <v>44881</v>
      </c>
      <c r="H719" s="7">
        <f t="shared" si="11"/>
        <v>0.5</v>
      </c>
      <c r="I71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719" s="24" t="str">
        <f>TEXT(Table1[[#This Row],[Date]],"mmm")</f>
        <v>Nov</v>
      </c>
    </row>
    <row r="720" spans="1:10" ht="15" customHeight="1">
      <c r="A720" s="14" t="s">
        <v>141</v>
      </c>
      <c r="B720" s="15" t="s">
        <v>157</v>
      </c>
      <c r="C720" s="15" t="s">
        <v>44</v>
      </c>
      <c r="D720" s="15" t="s">
        <v>8</v>
      </c>
      <c r="E720" s="15" t="s">
        <v>12</v>
      </c>
      <c r="F720" s="14">
        <v>90</v>
      </c>
      <c r="G720" s="16">
        <v>44881</v>
      </c>
      <c r="H720" s="7">
        <f t="shared" si="11"/>
        <v>1.5</v>
      </c>
      <c r="I72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720" s="24" t="str">
        <f>TEXT(Table1[[#This Row],[Date]],"mmm")</f>
        <v>Nov</v>
      </c>
    </row>
    <row r="721" spans="1:10" ht="15" customHeight="1">
      <c r="A721" s="14" t="s">
        <v>141</v>
      </c>
      <c r="B721" s="15" t="s">
        <v>158</v>
      </c>
      <c r="C721" s="15" t="s">
        <v>103</v>
      </c>
      <c r="D721" s="15" t="s">
        <v>8</v>
      </c>
      <c r="E721" s="15" t="s">
        <v>9</v>
      </c>
      <c r="F721" s="14">
        <v>40</v>
      </c>
      <c r="G721" s="16">
        <v>44881</v>
      </c>
      <c r="H721" s="7">
        <f t="shared" si="11"/>
        <v>0.66666666666666663</v>
      </c>
      <c r="I72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721" s="24" t="str">
        <f>TEXT(Table1[[#This Row],[Date]],"mmm")</f>
        <v>Nov</v>
      </c>
    </row>
    <row r="722" spans="1:10" ht="15" customHeight="1">
      <c r="A722" s="14" t="s">
        <v>140</v>
      </c>
      <c r="B722" s="15" t="s">
        <v>159</v>
      </c>
      <c r="C722" s="15" t="s">
        <v>22</v>
      </c>
      <c r="D722" s="15" t="s">
        <v>13</v>
      </c>
      <c r="E722" s="15" t="s">
        <v>22</v>
      </c>
      <c r="F722" s="14">
        <v>90</v>
      </c>
      <c r="G722" s="16">
        <v>44881</v>
      </c>
      <c r="H722" s="7">
        <f t="shared" si="11"/>
        <v>1.5</v>
      </c>
      <c r="I72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722" s="24" t="str">
        <f>TEXT(Table1[[#This Row],[Date]],"mmm")</f>
        <v>Nov</v>
      </c>
    </row>
    <row r="723" spans="1:10" ht="15" customHeight="1">
      <c r="A723" s="14" t="s">
        <v>140</v>
      </c>
      <c r="B723" s="15" t="s">
        <v>159</v>
      </c>
      <c r="C723" s="15" t="s">
        <v>17</v>
      </c>
      <c r="D723" s="15" t="s">
        <v>11</v>
      </c>
      <c r="E723" s="15" t="s">
        <v>17</v>
      </c>
      <c r="F723" s="14">
        <v>30</v>
      </c>
      <c r="G723" s="16">
        <v>44881</v>
      </c>
      <c r="H723" s="7">
        <f t="shared" si="11"/>
        <v>0.5</v>
      </c>
      <c r="I72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723" s="24" t="str">
        <f>TEXT(Table1[[#This Row],[Date]],"mmm")</f>
        <v>Nov</v>
      </c>
    </row>
    <row r="724" spans="1:10" ht="15" customHeight="1">
      <c r="A724" s="14" t="s">
        <v>140</v>
      </c>
      <c r="B724" s="15" t="s">
        <v>159</v>
      </c>
      <c r="C724" s="15" t="s">
        <v>48</v>
      </c>
      <c r="D724" s="15" t="s">
        <v>11</v>
      </c>
      <c r="E724" s="15" t="s">
        <v>88</v>
      </c>
      <c r="F724" s="14">
        <v>20</v>
      </c>
      <c r="G724" s="16">
        <v>44881</v>
      </c>
      <c r="H724" s="7">
        <f t="shared" si="11"/>
        <v>0.33333333333333331</v>
      </c>
      <c r="I72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724" s="24" t="str">
        <f>TEXT(Table1[[#This Row],[Date]],"mmm")</f>
        <v>Nov</v>
      </c>
    </row>
    <row r="725" spans="1:10" ht="15" customHeight="1">
      <c r="A725" s="14" t="s">
        <v>140</v>
      </c>
      <c r="B725" s="15" t="s">
        <v>10</v>
      </c>
      <c r="C725" s="15" t="s">
        <v>10</v>
      </c>
      <c r="D725" s="15" t="s">
        <v>8</v>
      </c>
      <c r="E725" s="15" t="s">
        <v>10</v>
      </c>
      <c r="F725" s="14">
        <v>50</v>
      </c>
      <c r="G725" s="16">
        <v>44881</v>
      </c>
      <c r="H725" s="7">
        <f t="shared" si="11"/>
        <v>0.83333333333333337</v>
      </c>
      <c r="I72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725" s="24" t="str">
        <f>TEXT(Table1[[#This Row],[Date]],"mmm")</f>
        <v>Nov</v>
      </c>
    </row>
    <row r="726" spans="1:10" ht="15" customHeight="1">
      <c r="A726" s="14" t="s">
        <v>140</v>
      </c>
      <c r="B726" s="15" t="s">
        <v>160</v>
      </c>
      <c r="C726" s="15" t="s">
        <v>58</v>
      </c>
      <c r="D726" s="15" t="s">
        <v>11</v>
      </c>
      <c r="E726" s="15" t="s">
        <v>125</v>
      </c>
      <c r="F726" s="14">
        <v>40</v>
      </c>
      <c r="G726" s="16">
        <v>44881</v>
      </c>
      <c r="H726" s="7">
        <f t="shared" si="11"/>
        <v>0.66666666666666663</v>
      </c>
      <c r="I72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726" s="24" t="str">
        <f>TEXT(Table1[[#This Row],[Date]],"mmm")</f>
        <v>Nov</v>
      </c>
    </row>
    <row r="727" spans="1:10" ht="15" customHeight="1">
      <c r="A727" s="14" t="s">
        <v>140</v>
      </c>
      <c r="B727" s="15" t="s">
        <v>159</v>
      </c>
      <c r="C727" s="15" t="s">
        <v>52</v>
      </c>
      <c r="D727" s="15" t="s">
        <v>138</v>
      </c>
      <c r="E727" s="15" t="s">
        <v>9</v>
      </c>
      <c r="F727" s="14">
        <v>25</v>
      </c>
      <c r="G727" s="16">
        <v>44881</v>
      </c>
      <c r="H727" s="7">
        <f t="shared" si="11"/>
        <v>0.41666666666666669</v>
      </c>
      <c r="I72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727" s="24" t="str">
        <f>TEXT(Table1[[#This Row],[Date]],"mmm")</f>
        <v>Nov</v>
      </c>
    </row>
    <row r="728" spans="1:10" ht="15" customHeight="1">
      <c r="A728" s="14" t="s">
        <v>140</v>
      </c>
      <c r="B728" s="15" t="s">
        <v>152</v>
      </c>
      <c r="C728" s="15" t="s">
        <v>153</v>
      </c>
      <c r="D728" s="15" t="s">
        <v>8</v>
      </c>
      <c r="E728" s="15" t="s">
        <v>12</v>
      </c>
      <c r="F728" s="14">
        <v>40</v>
      </c>
      <c r="G728" s="16">
        <v>44881</v>
      </c>
      <c r="H728" s="7">
        <f t="shared" si="11"/>
        <v>0.66666666666666663</v>
      </c>
      <c r="I72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728" s="24" t="str">
        <f>TEXT(Table1[[#This Row],[Date]],"mmm")</f>
        <v>Nov</v>
      </c>
    </row>
    <row r="729" spans="1:10" ht="15" customHeight="1">
      <c r="A729" s="14" t="s">
        <v>140</v>
      </c>
      <c r="B729" s="15" t="s">
        <v>150</v>
      </c>
      <c r="C729" s="15" t="s">
        <v>14</v>
      </c>
      <c r="D729" s="15" t="s">
        <v>8</v>
      </c>
      <c r="E729" s="15" t="s">
        <v>14</v>
      </c>
      <c r="F729" s="14">
        <v>25</v>
      </c>
      <c r="G729" s="16">
        <v>44881</v>
      </c>
      <c r="H729" s="7">
        <f t="shared" si="11"/>
        <v>0.41666666666666669</v>
      </c>
      <c r="I72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729" s="24" t="str">
        <f>TEXT(Table1[[#This Row],[Date]],"mmm")</f>
        <v>Nov</v>
      </c>
    </row>
    <row r="730" spans="1:10" ht="15" customHeight="1">
      <c r="A730" s="14" t="s">
        <v>140</v>
      </c>
      <c r="B730" s="15" t="s">
        <v>159</v>
      </c>
      <c r="C730" s="15" t="s">
        <v>44</v>
      </c>
      <c r="D730" s="15" t="s">
        <v>8</v>
      </c>
      <c r="E730" s="15" t="s">
        <v>12</v>
      </c>
      <c r="F730" s="14">
        <v>90</v>
      </c>
      <c r="G730" s="16">
        <v>44881</v>
      </c>
      <c r="H730" s="7">
        <f t="shared" si="11"/>
        <v>1.5</v>
      </c>
      <c r="I73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730" s="24" t="str">
        <f>TEXT(Table1[[#This Row],[Date]],"mmm")</f>
        <v>Nov</v>
      </c>
    </row>
    <row r="731" spans="1:10" ht="15" customHeight="1">
      <c r="A731" s="14" t="s">
        <v>140</v>
      </c>
      <c r="B731" s="15" t="s">
        <v>159</v>
      </c>
      <c r="C731" s="15" t="s">
        <v>52</v>
      </c>
      <c r="D731" s="15" t="s">
        <v>138</v>
      </c>
      <c r="E731" s="15" t="s">
        <v>9</v>
      </c>
      <c r="F731" s="14">
        <v>40</v>
      </c>
      <c r="G731" s="16">
        <v>44881</v>
      </c>
      <c r="H731" s="7">
        <f t="shared" si="11"/>
        <v>0.66666666666666663</v>
      </c>
      <c r="I73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731" s="24" t="str">
        <f>TEXT(Table1[[#This Row],[Date]],"mmm")</f>
        <v>Nov</v>
      </c>
    </row>
    <row r="732" spans="1:10" ht="15" customHeight="1">
      <c r="A732" s="14" t="s">
        <v>140</v>
      </c>
      <c r="B732" s="15" t="s">
        <v>6</v>
      </c>
      <c r="C732" s="15" t="s">
        <v>7</v>
      </c>
      <c r="D732" s="15" t="s">
        <v>8</v>
      </c>
      <c r="E732" s="15" t="s">
        <v>9</v>
      </c>
      <c r="F732" s="14">
        <v>20</v>
      </c>
      <c r="G732" s="16">
        <v>44881</v>
      </c>
      <c r="H732" s="7">
        <f t="shared" si="11"/>
        <v>0.33333333333333331</v>
      </c>
      <c r="I73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732" s="24" t="str">
        <f>TEXT(Table1[[#This Row],[Date]],"mmm")</f>
        <v>Nov</v>
      </c>
    </row>
    <row r="733" spans="1:10" ht="15" customHeight="1">
      <c r="A733" s="14" t="s">
        <v>140</v>
      </c>
      <c r="B733" s="15" t="s">
        <v>6</v>
      </c>
      <c r="C733" s="15" t="s">
        <v>15</v>
      </c>
      <c r="D733" s="15" t="s">
        <v>11</v>
      </c>
      <c r="E733" s="15" t="s">
        <v>12</v>
      </c>
      <c r="F733" s="14">
        <v>45</v>
      </c>
      <c r="G733" s="16">
        <v>44881</v>
      </c>
      <c r="H733" s="7">
        <f t="shared" si="11"/>
        <v>0.75</v>
      </c>
      <c r="I73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733" s="24" t="str">
        <f>TEXT(Table1[[#This Row],[Date]],"mmm")</f>
        <v>Nov</v>
      </c>
    </row>
    <row r="734" spans="1:10" ht="15" customHeight="1">
      <c r="A734" s="14" t="s">
        <v>141</v>
      </c>
      <c r="B734" s="15" t="s">
        <v>36</v>
      </c>
      <c r="C734" s="15" t="s">
        <v>37</v>
      </c>
      <c r="D734" s="15" t="s">
        <v>8</v>
      </c>
      <c r="E734" s="15" t="s">
        <v>36</v>
      </c>
      <c r="F734" s="14">
        <v>60</v>
      </c>
      <c r="G734" s="16">
        <v>44821</v>
      </c>
      <c r="H734" s="7">
        <f t="shared" si="11"/>
        <v>1</v>
      </c>
      <c r="I73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734" s="24" t="str">
        <f>TEXT(Table1[[#This Row],[Date]],"mmm")</f>
        <v>Sep</v>
      </c>
    </row>
    <row r="735" spans="1:10" ht="15" customHeight="1">
      <c r="A735" s="14" t="s">
        <v>141</v>
      </c>
      <c r="B735" s="15" t="s">
        <v>142</v>
      </c>
      <c r="C735" s="15" t="s">
        <v>137</v>
      </c>
      <c r="D735" s="15" t="s">
        <v>8</v>
      </c>
      <c r="E735" s="15" t="s">
        <v>35</v>
      </c>
      <c r="F735" s="14">
        <v>150</v>
      </c>
      <c r="G735" s="16">
        <v>44821</v>
      </c>
      <c r="H735" s="7">
        <f t="shared" si="11"/>
        <v>2.5</v>
      </c>
      <c r="I73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735" s="24" t="str">
        <f>TEXT(Table1[[#This Row],[Date]],"mmm")</f>
        <v>Sep</v>
      </c>
    </row>
    <row r="736" spans="1:10" ht="15" customHeight="1">
      <c r="A736" s="14" t="s">
        <v>141</v>
      </c>
      <c r="B736" s="15" t="s">
        <v>157</v>
      </c>
      <c r="C736" s="15" t="s">
        <v>16</v>
      </c>
      <c r="D736" s="15" t="s">
        <v>8</v>
      </c>
      <c r="E736" s="15" t="s">
        <v>9</v>
      </c>
      <c r="F736" s="14">
        <v>30</v>
      </c>
      <c r="G736" s="16">
        <v>44821</v>
      </c>
      <c r="H736" s="7">
        <f t="shared" si="11"/>
        <v>0.5</v>
      </c>
      <c r="I73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736" s="24" t="str">
        <f>TEXT(Table1[[#This Row],[Date]],"mmm")</f>
        <v>Sep</v>
      </c>
    </row>
    <row r="737" spans="1:10" ht="15" customHeight="1">
      <c r="A737" s="14" t="s">
        <v>141</v>
      </c>
      <c r="B737" s="15" t="s">
        <v>96</v>
      </c>
      <c r="C737" s="15" t="s">
        <v>40</v>
      </c>
      <c r="D737" s="15" t="s">
        <v>8</v>
      </c>
      <c r="E737" s="15" t="s">
        <v>96</v>
      </c>
      <c r="F737" s="14">
        <v>30</v>
      </c>
      <c r="G737" s="16">
        <v>44821</v>
      </c>
      <c r="H737" s="7">
        <f t="shared" si="11"/>
        <v>0.5</v>
      </c>
      <c r="I73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737" s="24" t="str">
        <f>TEXT(Table1[[#This Row],[Date]],"mmm")</f>
        <v>Sep</v>
      </c>
    </row>
    <row r="738" spans="1:10" ht="15" customHeight="1">
      <c r="A738" s="14" t="s">
        <v>141</v>
      </c>
      <c r="B738" s="15" t="s">
        <v>157</v>
      </c>
      <c r="C738" s="15" t="s">
        <v>44</v>
      </c>
      <c r="D738" s="15" t="s">
        <v>8</v>
      </c>
      <c r="E738" s="15" t="s">
        <v>12</v>
      </c>
      <c r="F738" s="14">
        <v>60</v>
      </c>
      <c r="G738" s="16">
        <v>44821</v>
      </c>
      <c r="H738" s="7">
        <f t="shared" si="11"/>
        <v>1</v>
      </c>
      <c r="I73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738" s="24" t="str">
        <f>TEXT(Table1[[#This Row],[Date]],"mmm")</f>
        <v>Sep</v>
      </c>
    </row>
    <row r="739" spans="1:10" ht="15" customHeight="1">
      <c r="A739" s="14" t="s">
        <v>141</v>
      </c>
      <c r="B739" s="15" t="s">
        <v>157</v>
      </c>
      <c r="C739" s="15" t="s">
        <v>9</v>
      </c>
      <c r="D739" s="15" t="s">
        <v>11</v>
      </c>
      <c r="E739" s="15" t="s">
        <v>9</v>
      </c>
      <c r="F739" s="14">
        <v>40</v>
      </c>
      <c r="G739" s="16">
        <v>44821</v>
      </c>
      <c r="H739" s="7">
        <f t="shared" si="11"/>
        <v>0.66666666666666663</v>
      </c>
      <c r="I73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739" s="24" t="str">
        <f>TEXT(Table1[[#This Row],[Date]],"mmm")</f>
        <v>Sep</v>
      </c>
    </row>
    <row r="740" spans="1:10" ht="15" customHeight="1">
      <c r="A740" s="14" t="s">
        <v>141</v>
      </c>
      <c r="B740" s="15" t="s">
        <v>142</v>
      </c>
      <c r="C740" s="15" t="s">
        <v>17</v>
      </c>
      <c r="D740" s="15" t="s">
        <v>8</v>
      </c>
      <c r="E740" s="15" t="s">
        <v>17</v>
      </c>
      <c r="F740" s="14">
        <v>60</v>
      </c>
      <c r="G740" s="16">
        <v>44821</v>
      </c>
      <c r="H740" s="7">
        <f t="shared" si="11"/>
        <v>1</v>
      </c>
      <c r="I74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740" s="24" t="str">
        <f>TEXT(Table1[[#This Row],[Date]],"mmm")</f>
        <v>Sep</v>
      </c>
    </row>
    <row r="741" spans="1:10" ht="15" customHeight="1">
      <c r="A741" s="14" t="s">
        <v>141</v>
      </c>
      <c r="B741" s="15" t="s">
        <v>157</v>
      </c>
      <c r="C741" s="15" t="s">
        <v>98</v>
      </c>
      <c r="D741" s="15" t="s">
        <v>13</v>
      </c>
      <c r="E741" s="15" t="s">
        <v>9</v>
      </c>
      <c r="F741" s="14">
        <v>80</v>
      </c>
      <c r="G741" s="16">
        <v>44821</v>
      </c>
      <c r="H741" s="7">
        <f t="shared" si="11"/>
        <v>1.3333333333333333</v>
      </c>
      <c r="I74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741" s="24" t="str">
        <f>TEXT(Table1[[#This Row],[Date]],"mmm")</f>
        <v>Sep</v>
      </c>
    </row>
    <row r="742" spans="1:10" ht="15" customHeight="1">
      <c r="A742" s="14" t="s">
        <v>140</v>
      </c>
      <c r="B742" s="15" t="s">
        <v>159</v>
      </c>
      <c r="C742" s="15" t="s">
        <v>48</v>
      </c>
      <c r="D742" s="15" t="s">
        <v>11</v>
      </c>
      <c r="E742" s="15" t="s">
        <v>88</v>
      </c>
      <c r="F742" s="14">
        <v>45</v>
      </c>
      <c r="G742" s="16">
        <v>44821</v>
      </c>
      <c r="H742" s="7">
        <f t="shared" si="11"/>
        <v>0.75</v>
      </c>
      <c r="I74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742" s="24" t="str">
        <f>TEXT(Table1[[#This Row],[Date]],"mmm")</f>
        <v>Sep</v>
      </c>
    </row>
    <row r="743" spans="1:10" ht="15" customHeight="1">
      <c r="A743" s="14" t="s">
        <v>140</v>
      </c>
      <c r="B743" s="15" t="s">
        <v>159</v>
      </c>
      <c r="C743" s="15" t="s">
        <v>48</v>
      </c>
      <c r="D743" s="15" t="s">
        <v>11</v>
      </c>
      <c r="E743" s="15" t="s">
        <v>88</v>
      </c>
      <c r="F743" s="14">
        <v>30</v>
      </c>
      <c r="G743" s="16">
        <v>44821</v>
      </c>
      <c r="H743" s="7">
        <f t="shared" si="11"/>
        <v>0.5</v>
      </c>
      <c r="I74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743" s="24" t="str">
        <f>TEXT(Table1[[#This Row],[Date]],"mmm")</f>
        <v>Sep</v>
      </c>
    </row>
    <row r="744" spans="1:10" ht="15" customHeight="1">
      <c r="A744" s="14" t="s">
        <v>140</v>
      </c>
      <c r="B744" s="15" t="s">
        <v>160</v>
      </c>
      <c r="C744" s="15" t="s">
        <v>17</v>
      </c>
      <c r="D744" s="15" t="s">
        <v>11</v>
      </c>
      <c r="E744" s="15" t="s">
        <v>9</v>
      </c>
      <c r="F744" s="14">
        <v>25</v>
      </c>
      <c r="G744" s="16">
        <v>44821</v>
      </c>
      <c r="H744" s="7">
        <f t="shared" si="11"/>
        <v>0.41666666666666669</v>
      </c>
      <c r="I74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744" s="24" t="str">
        <f>TEXT(Table1[[#This Row],[Date]],"mmm")</f>
        <v>Sep</v>
      </c>
    </row>
    <row r="745" spans="1:10" ht="15" customHeight="1">
      <c r="A745" s="14" t="s">
        <v>140</v>
      </c>
      <c r="B745" s="15" t="s">
        <v>160</v>
      </c>
      <c r="C745" s="15" t="s">
        <v>17</v>
      </c>
      <c r="D745" s="15" t="s">
        <v>11</v>
      </c>
      <c r="E745" s="15" t="s">
        <v>17</v>
      </c>
      <c r="F745" s="14">
        <v>25</v>
      </c>
      <c r="G745" s="16">
        <v>44821</v>
      </c>
      <c r="H745" s="7">
        <f t="shared" si="11"/>
        <v>0.41666666666666669</v>
      </c>
      <c r="I74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745" s="24" t="str">
        <f>TEXT(Table1[[#This Row],[Date]],"mmm")</f>
        <v>Sep</v>
      </c>
    </row>
    <row r="746" spans="1:10" ht="15" customHeight="1">
      <c r="A746" s="14" t="s">
        <v>140</v>
      </c>
      <c r="B746" s="15" t="s">
        <v>96</v>
      </c>
      <c r="C746" s="15" t="s">
        <v>10</v>
      </c>
      <c r="D746" s="15" t="s">
        <v>8</v>
      </c>
      <c r="E746" s="15" t="s">
        <v>10</v>
      </c>
      <c r="F746" s="14">
        <v>30</v>
      </c>
      <c r="G746" s="16">
        <v>44821</v>
      </c>
      <c r="H746" s="7">
        <f t="shared" si="11"/>
        <v>0.5</v>
      </c>
      <c r="I74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746" s="24" t="str">
        <f>TEXT(Table1[[#This Row],[Date]],"mmm")</f>
        <v>Sep</v>
      </c>
    </row>
    <row r="747" spans="1:10" ht="15" customHeight="1">
      <c r="A747" s="14" t="s">
        <v>140</v>
      </c>
      <c r="B747" s="15" t="s">
        <v>159</v>
      </c>
      <c r="C747" s="15" t="s">
        <v>104</v>
      </c>
      <c r="D747" s="15" t="s">
        <v>11</v>
      </c>
      <c r="E747" s="15" t="s">
        <v>9</v>
      </c>
      <c r="F747" s="14">
        <v>30</v>
      </c>
      <c r="G747" s="16">
        <v>44821</v>
      </c>
      <c r="H747" s="7">
        <f t="shared" si="11"/>
        <v>0.5</v>
      </c>
      <c r="I74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747" s="24" t="str">
        <f>TEXT(Table1[[#This Row],[Date]],"mmm")</f>
        <v>Sep</v>
      </c>
    </row>
    <row r="748" spans="1:10" ht="15" customHeight="1">
      <c r="A748" s="14" t="s">
        <v>140</v>
      </c>
      <c r="B748" s="15" t="s">
        <v>154</v>
      </c>
      <c r="C748" s="15" t="s">
        <v>104</v>
      </c>
      <c r="D748" s="15" t="s">
        <v>11</v>
      </c>
      <c r="E748" s="15" t="s">
        <v>9</v>
      </c>
      <c r="F748" s="14">
        <v>45</v>
      </c>
      <c r="G748" s="16">
        <v>44821</v>
      </c>
      <c r="H748" s="7">
        <f t="shared" si="11"/>
        <v>0.75</v>
      </c>
      <c r="I74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748" s="24" t="str">
        <f>TEXT(Table1[[#This Row],[Date]],"mmm")</f>
        <v>Sep</v>
      </c>
    </row>
    <row r="749" spans="1:10" ht="15" customHeight="1">
      <c r="A749" s="14" t="s">
        <v>140</v>
      </c>
      <c r="B749" s="15" t="s">
        <v>159</v>
      </c>
      <c r="C749" s="15" t="s">
        <v>95</v>
      </c>
      <c r="D749" s="15" t="s">
        <v>11</v>
      </c>
      <c r="E749" s="15" t="s">
        <v>95</v>
      </c>
      <c r="F749" s="14">
        <v>65</v>
      </c>
      <c r="G749" s="16">
        <v>44821</v>
      </c>
      <c r="H749" s="7">
        <f t="shared" si="11"/>
        <v>1.0833333333333333</v>
      </c>
      <c r="I74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749" s="24" t="str">
        <f>TEXT(Table1[[#This Row],[Date]],"mmm")</f>
        <v>Sep</v>
      </c>
    </row>
    <row r="750" spans="1:10" ht="15" customHeight="1">
      <c r="A750" s="14" t="s">
        <v>140</v>
      </c>
      <c r="B750" s="15" t="s">
        <v>159</v>
      </c>
      <c r="C750" s="15" t="s">
        <v>161</v>
      </c>
      <c r="D750" s="15" t="s">
        <v>8</v>
      </c>
      <c r="E750" s="15" t="s">
        <v>175</v>
      </c>
      <c r="F750" s="14">
        <v>75</v>
      </c>
      <c r="G750" s="16">
        <v>44821</v>
      </c>
      <c r="H750" s="7">
        <f t="shared" si="11"/>
        <v>1.25</v>
      </c>
      <c r="I75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750" s="24" t="str">
        <f>TEXT(Table1[[#This Row],[Date]],"mmm")</f>
        <v>Sep</v>
      </c>
    </row>
    <row r="751" spans="1:10" ht="15" customHeight="1">
      <c r="A751" s="14" t="s">
        <v>140</v>
      </c>
      <c r="B751" s="15" t="s">
        <v>159</v>
      </c>
      <c r="C751" s="15" t="s">
        <v>44</v>
      </c>
      <c r="D751" s="15" t="s">
        <v>8</v>
      </c>
      <c r="E751" s="15" t="s">
        <v>12</v>
      </c>
      <c r="F751" s="14">
        <v>110</v>
      </c>
      <c r="G751" s="16">
        <v>44821</v>
      </c>
      <c r="H751" s="7">
        <f t="shared" si="11"/>
        <v>1.8333333333333333</v>
      </c>
      <c r="I75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751" s="24" t="str">
        <f>TEXT(Table1[[#This Row],[Date]],"mmm")</f>
        <v>Sep</v>
      </c>
    </row>
    <row r="752" spans="1:10" ht="15" customHeight="1">
      <c r="A752" s="14" t="s">
        <v>140</v>
      </c>
      <c r="B752" s="15" t="s">
        <v>159</v>
      </c>
      <c r="C752" s="15" t="s">
        <v>38</v>
      </c>
      <c r="D752" s="15" t="s">
        <v>8</v>
      </c>
      <c r="E752" s="15" t="s">
        <v>38</v>
      </c>
      <c r="F752" s="14">
        <v>30</v>
      </c>
      <c r="G752" s="16">
        <v>44821</v>
      </c>
      <c r="H752" s="7">
        <f t="shared" si="11"/>
        <v>0.5</v>
      </c>
      <c r="I75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11-Sep-22 - to - 17-Sep-22</v>
      </c>
      <c r="J752" s="24" t="str">
        <f>TEXT(Table1[[#This Row],[Date]],"mmm")</f>
        <v>Sep</v>
      </c>
    </row>
    <row r="753" spans="1:10" ht="15" customHeight="1">
      <c r="A753" s="14" t="s">
        <v>141</v>
      </c>
      <c r="B753" s="15" t="s">
        <v>10</v>
      </c>
      <c r="C753" s="15" t="s">
        <v>10</v>
      </c>
      <c r="D753" s="15" t="s">
        <v>8</v>
      </c>
      <c r="E753" s="15" t="s">
        <v>10</v>
      </c>
      <c r="F753" s="14">
        <v>20</v>
      </c>
      <c r="G753" s="16">
        <v>44851</v>
      </c>
      <c r="H753" s="7">
        <f t="shared" si="11"/>
        <v>0.33333333333333331</v>
      </c>
      <c r="I75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753" s="24" t="str">
        <f>TEXT(Table1[[#This Row],[Date]],"mmm")</f>
        <v>Oct</v>
      </c>
    </row>
    <row r="754" spans="1:10" ht="15" customHeight="1">
      <c r="A754" s="14" t="s">
        <v>141</v>
      </c>
      <c r="B754" s="15" t="s">
        <v>36</v>
      </c>
      <c r="C754" s="15" t="s">
        <v>37</v>
      </c>
      <c r="D754" s="15" t="s">
        <v>8</v>
      </c>
      <c r="E754" s="15" t="s">
        <v>36</v>
      </c>
      <c r="F754" s="14">
        <v>60</v>
      </c>
      <c r="G754" s="16">
        <v>44851</v>
      </c>
      <c r="H754" s="7">
        <f t="shared" si="11"/>
        <v>1</v>
      </c>
      <c r="I75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754" s="24" t="str">
        <f>TEXT(Table1[[#This Row],[Date]],"mmm")</f>
        <v>Oct</v>
      </c>
    </row>
    <row r="755" spans="1:10" ht="15" customHeight="1">
      <c r="A755" s="14" t="s">
        <v>141</v>
      </c>
      <c r="B755" s="15" t="s">
        <v>157</v>
      </c>
      <c r="C755" s="15" t="s">
        <v>16</v>
      </c>
      <c r="D755" s="15" t="s">
        <v>8</v>
      </c>
      <c r="E755" s="15" t="s">
        <v>9</v>
      </c>
      <c r="F755" s="14">
        <v>15</v>
      </c>
      <c r="G755" s="16">
        <v>44851</v>
      </c>
      <c r="H755" s="7">
        <f t="shared" si="11"/>
        <v>0.25</v>
      </c>
      <c r="I75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755" s="24" t="str">
        <f>TEXT(Table1[[#This Row],[Date]],"mmm")</f>
        <v>Oct</v>
      </c>
    </row>
    <row r="756" spans="1:10" ht="15" customHeight="1">
      <c r="A756" s="14" t="s">
        <v>141</v>
      </c>
      <c r="B756" s="15" t="s">
        <v>142</v>
      </c>
      <c r="C756" s="15" t="s">
        <v>89</v>
      </c>
      <c r="D756" s="15" t="s">
        <v>69</v>
      </c>
      <c r="E756" s="15" t="s">
        <v>75</v>
      </c>
      <c r="F756" s="14">
        <v>240</v>
      </c>
      <c r="G756" s="16">
        <v>44851</v>
      </c>
      <c r="H756" s="7">
        <f t="shared" si="11"/>
        <v>4</v>
      </c>
      <c r="I75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756" s="24" t="str">
        <f>TEXT(Table1[[#This Row],[Date]],"mmm")</f>
        <v>Oct</v>
      </c>
    </row>
    <row r="757" spans="1:10" ht="15" customHeight="1">
      <c r="A757" s="14" t="s">
        <v>141</v>
      </c>
      <c r="B757" s="15" t="s">
        <v>157</v>
      </c>
      <c r="C757" s="15" t="s">
        <v>137</v>
      </c>
      <c r="D757" s="15" t="s">
        <v>8</v>
      </c>
      <c r="E757" s="15" t="s">
        <v>35</v>
      </c>
      <c r="F757" s="14">
        <v>120</v>
      </c>
      <c r="G757" s="16">
        <v>44851</v>
      </c>
      <c r="H757" s="7">
        <f t="shared" si="11"/>
        <v>2</v>
      </c>
      <c r="I75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757" s="24" t="str">
        <f>TEXT(Table1[[#This Row],[Date]],"mmm")</f>
        <v>Oct</v>
      </c>
    </row>
    <row r="758" spans="1:10" ht="15" customHeight="1">
      <c r="A758" s="14" t="s">
        <v>141</v>
      </c>
      <c r="B758" s="15" t="s">
        <v>157</v>
      </c>
      <c r="C758" s="15" t="s">
        <v>20</v>
      </c>
      <c r="D758" s="15" t="s">
        <v>138</v>
      </c>
      <c r="E758" s="15" t="s">
        <v>20</v>
      </c>
      <c r="F758" s="14">
        <v>50</v>
      </c>
      <c r="G758" s="16">
        <v>44851</v>
      </c>
      <c r="H758" s="7">
        <f t="shared" si="11"/>
        <v>0.83333333333333337</v>
      </c>
      <c r="I75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758" s="24" t="str">
        <f>TEXT(Table1[[#This Row],[Date]],"mmm")</f>
        <v>Oct</v>
      </c>
    </row>
    <row r="759" spans="1:10" ht="15" customHeight="1">
      <c r="A759" s="14" t="s">
        <v>140</v>
      </c>
      <c r="B759" s="15" t="s">
        <v>159</v>
      </c>
      <c r="C759" s="15" t="s">
        <v>47</v>
      </c>
      <c r="D759" s="15" t="s">
        <v>8</v>
      </c>
      <c r="E759" s="15" t="s">
        <v>9</v>
      </c>
      <c r="F759" s="14">
        <v>30</v>
      </c>
      <c r="G759" s="16">
        <v>44851</v>
      </c>
      <c r="H759" s="7">
        <f t="shared" si="11"/>
        <v>0.5</v>
      </c>
      <c r="I75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759" s="24" t="str">
        <f>TEXT(Table1[[#This Row],[Date]],"mmm")</f>
        <v>Oct</v>
      </c>
    </row>
    <row r="760" spans="1:10" ht="15" customHeight="1">
      <c r="A760" s="14" t="s">
        <v>140</v>
      </c>
      <c r="B760" s="15" t="s">
        <v>10</v>
      </c>
      <c r="C760" s="15" t="s">
        <v>10</v>
      </c>
      <c r="D760" s="15" t="s">
        <v>8</v>
      </c>
      <c r="E760" s="15" t="s">
        <v>10</v>
      </c>
      <c r="F760" s="14">
        <v>25</v>
      </c>
      <c r="G760" s="16">
        <v>44851</v>
      </c>
      <c r="H760" s="7">
        <f t="shared" si="11"/>
        <v>0.41666666666666669</v>
      </c>
      <c r="I76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760" s="24" t="str">
        <f>TEXT(Table1[[#This Row],[Date]],"mmm")</f>
        <v>Oct</v>
      </c>
    </row>
    <row r="761" spans="1:10" ht="15" customHeight="1">
      <c r="A761" s="14" t="s">
        <v>140</v>
      </c>
      <c r="B761" s="15" t="s">
        <v>20</v>
      </c>
      <c r="C761" s="15" t="s">
        <v>10</v>
      </c>
      <c r="D761" s="15" t="s">
        <v>8</v>
      </c>
      <c r="E761" s="15" t="s">
        <v>20</v>
      </c>
      <c r="F761" s="14">
        <v>50</v>
      </c>
      <c r="G761" s="16">
        <v>44851</v>
      </c>
      <c r="H761" s="7">
        <f t="shared" si="11"/>
        <v>0.83333333333333337</v>
      </c>
      <c r="I76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761" s="24" t="str">
        <f>TEXT(Table1[[#This Row],[Date]],"mmm")</f>
        <v>Oct</v>
      </c>
    </row>
    <row r="762" spans="1:10" ht="15" customHeight="1">
      <c r="A762" s="14" t="s">
        <v>140</v>
      </c>
      <c r="B762" s="15" t="s">
        <v>152</v>
      </c>
      <c r="C762" s="15" t="s">
        <v>105</v>
      </c>
      <c r="D762" s="15" t="s">
        <v>8</v>
      </c>
      <c r="E762" s="15" t="s">
        <v>9</v>
      </c>
      <c r="F762" s="14">
        <v>40</v>
      </c>
      <c r="G762" s="16">
        <v>44851</v>
      </c>
      <c r="H762" s="7">
        <f t="shared" si="11"/>
        <v>0.66666666666666663</v>
      </c>
      <c r="I76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762" s="24" t="str">
        <f>TEXT(Table1[[#This Row],[Date]],"mmm")</f>
        <v>Oct</v>
      </c>
    </row>
    <row r="763" spans="1:10" ht="15" customHeight="1">
      <c r="A763" s="14" t="s">
        <v>140</v>
      </c>
      <c r="B763" s="15" t="s">
        <v>159</v>
      </c>
      <c r="C763" s="15" t="s">
        <v>66</v>
      </c>
      <c r="D763" s="15" t="s">
        <v>13</v>
      </c>
      <c r="E763" s="15" t="s">
        <v>66</v>
      </c>
      <c r="F763" s="14">
        <v>45</v>
      </c>
      <c r="G763" s="16">
        <v>44851</v>
      </c>
      <c r="H763" s="7">
        <f t="shared" si="11"/>
        <v>0.75</v>
      </c>
      <c r="I76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763" s="24" t="str">
        <f>TEXT(Table1[[#This Row],[Date]],"mmm")</f>
        <v>Oct</v>
      </c>
    </row>
    <row r="764" spans="1:10" ht="15" customHeight="1">
      <c r="A764" s="14" t="s">
        <v>140</v>
      </c>
      <c r="B764" s="15" t="s">
        <v>159</v>
      </c>
      <c r="C764" s="15" t="s">
        <v>44</v>
      </c>
      <c r="D764" s="15" t="s">
        <v>8</v>
      </c>
      <c r="E764" s="15" t="s">
        <v>12</v>
      </c>
      <c r="F764" s="14">
        <v>90</v>
      </c>
      <c r="G764" s="16">
        <v>44851</v>
      </c>
      <c r="H764" s="7">
        <f t="shared" si="11"/>
        <v>1.5</v>
      </c>
      <c r="I76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764" s="24" t="str">
        <f>TEXT(Table1[[#This Row],[Date]],"mmm")</f>
        <v>Oct</v>
      </c>
    </row>
    <row r="765" spans="1:10" ht="15" customHeight="1">
      <c r="A765" s="14" t="s">
        <v>140</v>
      </c>
      <c r="B765" s="15" t="s">
        <v>159</v>
      </c>
      <c r="C765" s="15" t="s">
        <v>17</v>
      </c>
      <c r="D765" s="15" t="s">
        <v>11</v>
      </c>
      <c r="E765" s="15" t="s">
        <v>17</v>
      </c>
      <c r="F765" s="14">
        <v>50</v>
      </c>
      <c r="G765" s="16">
        <v>44851</v>
      </c>
      <c r="H765" s="7">
        <f t="shared" si="11"/>
        <v>0.83333333333333337</v>
      </c>
      <c r="I76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765" s="24" t="str">
        <f>TEXT(Table1[[#This Row],[Date]],"mmm")</f>
        <v>Oct</v>
      </c>
    </row>
    <row r="766" spans="1:10" ht="15" customHeight="1">
      <c r="A766" s="14" t="s">
        <v>140</v>
      </c>
      <c r="B766" s="15" t="s">
        <v>159</v>
      </c>
      <c r="C766" s="15" t="s">
        <v>166</v>
      </c>
      <c r="D766" s="15" t="s">
        <v>13</v>
      </c>
      <c r="E766" s="15" t="s">
        <v>9</v>
      </c>
      <c r="F766" s="14">
        <v>35</v>
      </c>
      <c r="G766" s="16">
        <v>44851</v>
      </c>
      <c r="H766" s="7">
        <f t="shared" si="11"/>
        <v>0.58333333333333337</v>
      </c>
      <c r="I76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766" s="24" t="str">
        <f>TEXT(Table1[[#This Row],[Date]],"mmm")</f>
        <v>Oct</v>
      </c>
    </row>
    <row r="767" spans="1:10" ht="15" customHeight="1">
      <c r="A767" s="14" t="s">
        <v>140</v>
      </c>
      <c r="B767" s="15" t="s">
        <v>159</v>
      </c>
      <c r="C767" s="15" t="s">
        <v>51</v>
      </c>
      <c r="D767" s="15" t="s">
        <v>8</v>
      </c>
      <c r="E767" s="15" t="s">
        <v>9</v>
      </c>
      <c r="F767" s="14">
        <v>25</v>
      </c>
      <c r="G767" s="16">
        <v>44851</v>
      </c>
      <c r="H767" s="7">
        <f t="shared" si="11"/>
        <v>0.41666666666666669</v>
      </c>
      <c r="I76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767" s="24" t="str">
        <f>TEXT(Table1[[#This Row],[Date]],"mmm")</f>
        <v>Oct</v>
      </c>
    </row>
    <row r="768" spans="1:10" ht="15" customHeight="1">
      <c r="A768" s="14" t="s">
        <v>140</v>
      </c>
      <c r="B768" s="15" t="s">
        <v>159</v>
      </c>
      <c r="C768" s="15" t="s">
        <v>48</v>
      </c>
      <c r="D768" s="15" t="s">
        <v>11</v>
      </c>
      <c r="E768" s="15" t="s">
        <v>88</v>
      </c>
      <c r="F768" s="14">
        <v>25</v>
      </c>
      <c r="G768" s="16">
        <v>44851</v>
      </c>
      <c r="H768" s="7">
        <f t="shared" si="11"/>
        <v>0.41666666666666669</v>
      </c>
      <c r="I76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768" s="24" t="str">
        <f>TEXT(Table1[[#This Row],[Date]],"mmm")</f>
        <v>Oct</v>
      </c>
    </row>
    <row r="769" spans="1:10" ht="15" customHeight="1">
      <c r="A769" s="14" t="s">
        <v>140</v>
      </c>
      <c r="B769" s="15" t="s">
        <v>159</v>
      </c>
      <c r="C769" s="15" t="s">
        <v>106</v>
      </c>
      <c r="D769" s="15" t="s">
        <v>11</v>
      </c>
      <c r="E769" s="15" t="s">
        <v>9</v>
      </c>
      <c r="F769" s="14">
        <v>20</v>
      </c>
      <c r="G769" s="16">
        <v>44851</v>
      </c>
      <c r="H769" s="7">
        <f t="shared" si="11"/>
        <v>0.33333333333333331</v>
      </c>
      <c r="I76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769" s="24" t="str">
        <f>TEXT(Table1[[#This Row],[Date]],"mmm")</f>
        <v>Oct</v>
      </c>
    </row>
    <row r="770" spans="1:10" ht="15" customHeight="1">
      <c r="A770" s="14" t="s">
        <v>140</v>
      </c>
      <c r="B770" s="15" t="s">
        <v>159</v>
      </c>
      <c r="C770" s="15" t="s">
        <v>30</v>
      </c>
      <c r="D770" s="15" t="s">
        <v>11</v>
      </c>
      <c r="E770" s="15" t="s">
        <v>9</v>
      </c>
      <c r="F770" s="14">
        <v>30</v>
      </c>
      <c r="G770" s="16">
        <v>44851</v>
      </c>
      <c r="H770" s="7">
        <f t="shared" ref="H770:H833" si="12">IFERROR(IF(ISBLANK(F770)=TRUE(),"",F770/60),"")</f>
        <v>0.5</v>
      </c>
      <c r="I77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770" s="24" t="str">
        <f>TEXT(Table1[[#This Row],[Date]],"mmm")</f>
        <v>Oct</v>
      </c>
    </row>
    <row r="771" spans="1:10" ht="15" customHeight="1">
      <c r="A771" s="14" t="s">
        <v>140</v>
      </c>
      <c r="B771" s="15" t="s">
        <v>144</v>
      </c>
      <c r="C771" s="15" t="s">
        <v>50</v>
      </c>
      <c r="D771" s="15" t="s">
        <v>11</v>
      </c>
      <c r="E771" s="15" t="s">
        <v>9</v>
      </c>
      <c r="F771" s="14">
        <v>40</v>
      </c>
      <c r="G771" s="16">
        <v>44851</v>
      </c>
      <c r="H771" s="7">
        <f t="shared" si="12"/>
        <v>0.66666666666666663</v>
      </c>
      <c r="I77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771" s="24" t="str">
        <f>TEXT(Table1[[#This Row],[Date]],"mmm")</f>
        <v>Oct</v>
      </c>
    </row>
    <row r="772" spans="1:10" ht="15" customHeight="1">
      <c r="A772" s="14" t="s">
        <v>141</v>
      </c>
      <c r="B772" s="15" t="s">
        <v>10</v>
      </c>
      <c r="C772" s="15" t="s">
        <v>10</v>
      </c>
      <c r="D772" s="15" t="s">
        <v>8</v>
      </c>
      <c r="E772" s="15" t="s">
        <v>10</v>
      </c>
      <c r="F772" s="14">
        <v>20</v>
      </c>
      <c r="G772" s="16">
        <v>44882</v>
      </c>
      <c r="H772" s="7">
        <f t="shared" si="12"/>
        <v>0.33333333333333331</v>
      </c>
      <c r="I77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772" s="24" t="str">
        <f>TEXT(Table1[[#This Row],[Date]],"mmm")</f>
        <v>Nov</v>
      </c>
    </row>
    <row r="773" spans="1:10" ht="15" customHeight="1">
      <c r="A773" s="14" t="s">
        <v>141</v>
      </c>
      <c r="B773" s="15" t="s">
        <v>36</v>
      </c>
      <c r="C773" s="15" t="s">
        <v>37</v>
      </c>
      <c r="D773" s="15" t="s">
        <v>8</v>
      </c>
      <c r="E773" s="15" t="s">
        <v>36</v>
      </c>
      <c r="F773" s="14">
        <v>60</v>
      </c>
      <c r="G773" s="16">
        <v>44882</v>
      </c>
      <c r="H773" s="7">
        <f t="shared" si="12"/>
        <v>1</v>
      </c>
      <c r="I77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773" s="24" t="str">
        <f>TEXT(Table1[[#This Row],[Date]],"mmm")</f>
        <v>Nov</v>
      </c>
    </row>
    <row r="774" spans="1:10" ht="15" customHeight="1">
      <c r="A774" s="14" t="s">
        <v>141</v>
      </c>
      <c r="B774" s="15" t="s">
        <v>157</v>
      </c>
      <c r="C774" s="15" t="s">
        <v>16</v>
      </c>
      <c r="D774" s="15" t="s">
        <v>8</v>
      </c>
      <c r="E774" s="15" t="s">
        <v>9</v>
      </c>
      <c r="F774" s="14">
        <v>20</v>
      </c>
      <c r="G774" s="16">
        <v>44882</v>
      </c>
      <c r="H774" s="7">
        <f t="shared" si="12"/>
        <v>0.33333333333333331</v>
      </c>
      <c r="I77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774" s="24" t="str">
        <f>TEXT(Table1[[#This Row],[Date]],"mmm")</f>
        <v>Nov</v>
      </c>
    </row>
    <row r="775" spans="1:10" ht="15" customHeight="1">
      <c r="A775" s="14" t="s">
        <v>141</v>
      </c>
      <c r="B775" s="15" t="s">
        <v>142</v>
      </c>
      <c r="C775" s="15" t="s">
        <v>142</v>
      </c>
      <c r="D775" s="15" t="s">
        <v>8</v>
      </c>
      <c r="E775" s="15" t="s">
        <v>35</v>
      </c>
      <c r="F775" s="14">
        <v>200</v>
      </c>
      <c r="G775" s="16">
        <v>44882</v>
      </c>
      <c r="H775" s="7">
        <f t="shared" si="12"/>
        <v>3.3333333333333335</v>
      </c>
      <c r="I77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775" s="24" t="str">
        <f>TEXT(Table1[[#This Row],[Date]],"mmm")</f>
        <v>Nov</v>
      </c>
    </row>
    <row r="776" spans="1:10" ht="15" customHeight="1">
      <c r="A776" s="14" t="s">
        <v>141</v>
      </c>
      <c r="B776" s="15" t="s">
        <v>157</v>
      </c>
      <c r="C776" s="15" t="s">
        <v>107</v>
      </c>
      <c r="D776" s="15" t="s">
        <v>11</v>
      </c>
      <c r="E776" s="15" t="s">
        <v>6</v>
      </c>
      <c r="F776" s="14">
        <v>30</v>
      </c>
      <c r="G776" s="16">
        <v>44882</v>
      </c>
      <c r="H776" s="7">
        <f t="shared" si="12"/>
        <v>0.5</v>
      </c>
      <c r="I77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776" s="24" t="str">
        <f>TEXT(Table1[[#This Row],[Date]],"mmm")</f>
        <v>Nov</v>
      </c>
    </row>
    <row r="777" spans="1:10" ht="15" customHeight="1">
      <c r="A777" s="14" t="s">
        <v>141</v>
      </c>
      <c r="B777" s="15" t="s">
        <v>20</v>
      </c>
      <c r="C777" s="15" t="s">
        <v>20</v>
      </c>
      <c r="D777" s="15" t="s">
        <v>138</v>
      </c>
      <c r="E777" s="15" t="s">
        <v>20</v>
      </c>
      <c r="F777" s="14">
        <v>70</v>
      </c>
      <c r="G777" s="16">
        <v>44882</v>
      </c>
      <c r="H777" s="7">
        <f t="shared" si="12"/>
        <v>1.1666666666666667</v>
      </c>
      <c r="I77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777" s="24" t="str">
        <f>TEXT(Table1[[#This Row],[Date]],"mmm")</f>
        <v>Nov</v>
      </c>
    </row>
    <row r="778" spans="1:10" ht="15" customHeight="1">
      <c r="A778" s="14" t="s">
        <v>141</v>
      </c>
      <c r="B778" s="15" t="s">
        <v>157</v>
      </c>
      <c r="C778" s="15" t="s">
        <v>44</v>
      </c>
      <c r="D778" s="15" t="s">
        <v>8</v>
      </c>
      <c r="E778" s="15" t="s">
        <v>12</v>
      </c>
      <c r="F778" s="14">
        <v>80</v>
      </c>
      <c r="G778" s="16">
        <v>44882</v>
      </c>
      <c r="H778" s="7">
        <f t="shared" si="12"/>
        <v>1.3333333333333333</v>
      </c>
      <c r="I77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778" s="24" t="str">
        <f>TEXT(Table1[[#This Row],[Date]],"mmm")</f>
        <v>Nov</v>
      </c>
    </row>
    <row r="779" spans="1:10" ht="15" customHeight="1">
      <c r="A779" s="14" t="s">
        <v>141</v>
      </c>
      <c r="B779" s="15" t="s">
        <v>158</v>
      </c>
      <c r="C779" s="15" t="s">
        <v>103</v>
      </c>
      <c r="D779" s="15" t="s">
        <v>8</v>
      </c>
      <c r="E779" s="15" t="s">
        <v>9</v>
      </c>
      <c r="F779" s="14">
        <v>40</v>
      </c>
      <c r="G779" s="16">
        <v>44882</v>
      </c>
      <c r="H779" s="7">
        <f t="shared" si="12"/>
        <v>0.66666666666666663</v>
      </c>
      <c r="I77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779" s="24" t="str">
        <f>TEXT(Table1[[#This Row],[Date]],"mmm")</f>
        <v>Nov</v>
      </c>
    </row>
    <row r="780" spans="1:10" ht="15" customHeight="1">
      <c r="A780" s="14" t="s">
        <v>140</v>
      </c>
      <c r="B780" s="15" t="s">
        <v>159</v>
      </c>
      <c r="C780" s="15" t="s">
        <v>22</v>
      </c>
      <c r="D780" s="15" t="s">
        <v>13</v>
      </c>
      <c r="E780" s="15" t="s">
        <v>22</v>
      </c>
      <c r="F780" s="14">
        <v>55</v>
      </c>
      <c r="G780" s="16">
        <v>44882</v>
      </c>
      <c r="H780" s="7">
        <f t="shared" si="12"/>
        <v>0.91666666666666663</v>
      </c>
      <c r="I78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780" s="24" t="str">
        <f>TEXT(Table1[[#This Row],[Date]],"mmm")</f>
        <v>Nov</v>
      </c>
    </row>
    <row r="781" spans="1:10" ht="15" customHeight="1">
      <c r="A781" s="14" t="s">
        <v>140</v>
      </c>
      <c r="B781" s="15" t="s">
        <v>159</v>
      </c>
      <c r="C781" s="15" t="s">
        <v>23</v>
      </c>
      <c r="D781" s="15" t="s">
        <v>13</v>
      </c>
      <c r="E781" s="15" t="s">
        <v>134</v>
      </c>
      <c r="F781" s="14">
        <v>20</v>
      </c>
      <c r="G781" s="16">
        <v>44882</v>
      </c>
      <c r="H781" s="7">
        <f t="shared" si="12"/>
        <v>0.33333333333333331</v>
      </c>
      <c r="I78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781" s="24" t="str">
        <f>TEXT(Table1[[#This Row],[Date]],"mmm")</f>
        <v>Nov</v>
      </c>
    </row>
    <row r="782" spans="1:10" ht="15" customHeight="1">
      <c r="A782" s="14" t="s">
        <v>140</v>
      </c>
      <c r="B782" s="15" t="s">
        <v>159</v>
      </c>
      <c r="C782" s="15" t="s">
        <v>48</v>
      </c>
      <c r="D782" s="15" t="s">
        <v>11</v>
      </c>
      <c r="E782" s="15" t="s">
        <v>88</v>
      </c>
      <c r="F782" s="14">
        <v>40</v>
      </c>
      <c r="G782" s="16">
        <v>44882</v>
      </c>
      <c r="H782" s="7">
        <f t="shared" si="12"/>
        <v>0.66666666666666663</v>
      </c>
      <c r="I78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782" s="24" t="str">
        <f>TEXT(Table1[[#This Row],[Date]],"mmm")</f>
        <v>Nov</v>
      </c>
    </row>
    <row r="783" spans="1:10" ht="15" customHeight="1">
      <c r="A783" s="14" t="s">
        <v>140</v>
      </c>
      <c r="B783" s="15" t="s">
        <v>10</v>
      </c>
      <c r="C783" s="15" t="s">
        <v>10</v>
      </c>
      <c r="D783" s="15" t="s">
        <v>8</v>
      </c>
      <c r="E783" s="15" t="s">
        <v>10</v>
      </c>
      <c r="F783" s="14">
        <v>25</v>
      </c>
      <c r="G783" s="16">
        <v>44882</v>
      </c>
      <c r="H783" s="7">
        <f t="shared" si="12"/>
        <v>0.41666666666666669</v>
      </c>
      <c r="I78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783" s="24" t="str">
        <f>TEXT(Table1[[#This Row],[Date]],"mmm")</f>
        <v>Nov</v>
      </c>
    </row>
    <row r="784" spans="1:10" ht="15" customHeight="1">
      <c r="A784" s="14" t="s">
        <v>140</v>
      </c>
      <c r="B784" s="15" t="s">
        <v>160</v>
      </c>
      <c r="C784" s="15" t="s">
        <v>58</v>
      </c>
      <c r="D784" s="15" t="s">
        <v>11</v>
      </c>
      <c r="E784" s="15" t="s">
        <v>125</v>
      </c>
      <c r="F784" s="14">
        <v>25</v>
      </c>
      <c r="G784" s="16">
        <v>44882</v>
      </c>
      <c r="H784" s="7">
        <f t="shared" si="12"/>
        <v>0.41666666666666669</v>
      </c>
      <c r="I78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784" s="24" t="str">
        <f>TEXT(Table1[[#This Row],[Date]],"mmm")</f>
        <v>Nov</v>
      </c>
    </row>
    <row r="785" spans="1:10" ht="15" customHeight="1">
      <c r="A785" s="14" t="s">
        <v>140</v>
      </c>
      <c r="B785" s="15" t="s">
        <v>159</v>
      </c>
      <c r="C785" s="15" t="s">
        <v>52</v>
      </c>
      <c r="D785" s="15" t="s">
        <v>138</v>
      </c>
      <c r="E785" s="15" t="s">
        <v>9</v>
      </c>
      <c r="F785" s="14">
        <v>20</v>
      </c>
      <c r="G785" s="16">
        <v>44882</v>
      </c>
      <c r="H785" s="7">
        <f t="shared" si="12"/>
        <v>0.33333333333333331</v>
      </c>
      <c r="I78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785" s="24" t="str">
        <f>TEXT(Table1[[#This Row],[Date]],"mmm")</f>
        <v>Nov</v>
      </c>
    </row>
    <row r="786" spans="1:10" ht="15" customHeight="1">
      <c r="A786" s="14" t="s">
        <v>140</v>
      </c>
      <c r="B786" s="15" t="s">
        <v>152</v>
      </c>
      <c r="C786" s="15" t="s">
        <v>153</v>
      </c>
      <c r="D786" s="15" t="s">
        <v>8</v>
      </c>
      <c r="E786" s="15" t="s">
        <v>12</v>
      </c>
      <c r="F786" s="14">
        <v>25</v>
      </c>
      <c r="G786" s="16">
        <v>44882</v>
      </c>
      <c r="H786" s="7">
        <f t="shared" si="12"/>
        <v>0.41666666666666669</v>
      </c>
      <c r="I78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786" s="24" t="str">
        <f>TEXT(Table1[[#This Row],[Date]],"mmm")</f>
        <v>Nov</v>
      </c>
    </row>
    <row r="787" spans="1:10" ht="15" customHeight="1">
      <c r="A787" s="14" t="s">
        <v>140</v>
      </c>
      <c r="B787" s="15" t="s">
        <v>159</v>
      </c>
      <c r="C787" s="15" t="s">
        <v>161</v>
      </c>
      <c r="D787" s="15" t="s">
        <v>8</v>
      </c>
      <c r="E787" s="15" t="s">
        <v>175</v>
      </c>
      <c r="F787" s="14">
        <v>25</v>
      </c>
      <c r="G787" s="16">
        <v>44882</v>
      </c>
      <c r="H787" s="7">
        <f t="shared" si="12"/>
        <v>0.41666666666666669</v>
      </c>
      <c r="I78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787" s="24" t="str">
        <f>TEXT(Table1[[#This Row],[Date]],"mmm")</f>
        <v>Nov</v>
      </c>
    </row>
    <row r="788" spans="1:10" ht="15" customHeight="1">
      <c r="A788" s="14" t="s">
        <v>140</v>
      </c>
      <c r="B788" s="15" t="s">
        <v>159</v>
      </c>
      <c r="C788" s="15" t="s">
        <v>44</v>
      </c>
      <c r="D788" s="15" t="s">
        <v>8</v>
      </c>
      <c r="E788" s="15" t="s">
        <v>12</v>
      </c>
      <c r="F788" s="14">
        <v>25</v>
      </c>
      <c r="G788" s="16">
        <v>44882</v>
      </c>
      <c r="H788" s="7">
        <f t="shared" si="12"/>
        <v>0.41666666666666669</v>
      </c>
      <c r="I78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788" s="24" t="str">
        <f>TEXT(Table1[[#This Row],[Date]],"mmm")</f>
        <v>Nov</v>
      </c>
    </row>
    <row r="789" spans="1:10" ht="15" customHeight="1">
      <c r="A789" s="14" t="s">
        <v>140</v>
      </c>
      <c r="B789" s="15" t="s">
        <v>159</v>
      </c>
      <c r="C789" s="15" t="s">
        <v>108</v>
      </c>
      <c r="D789" s="15" t="s">
        <v>138</v>
      </c>
      <c r="E789" s="15" t="s">
        <v>9</v>
      </c>
      <c r="F789" s="14">
        <v>25</v>
      </c>
      <c r="G789" s="16">
        <v>44882</v>
      </c>
      <c r="H789" s="7">
        <f t="shared" si="12"/>
        <v>0.41666666666666669</v>
      </c>
      <c r="I78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789" s="24" t="str">
        <f>TEXT(Table1[[#This Row],[Date]],"mmm")</f>
        <v>Nov</v>
      </c>
    </row>
    <row r="790" spans="1:10" ht="15" customHeight="1">
      <c r="A790" s="14" t="s">
        <v>140</v>
      </c>
      <c r="B790" s="15" t="s">
        <v>159</v>
      </c>
      <c r="C790" s="15" t="s">
        <v>109</v>
      </c>
      <c r="D790" s="15" t="s">
        <v>138</v>
      </c>
      <c r="E790" s="15" t="s">
        <v>9</v>
      </c>
      <c r="F790" s="14">
        <v>90</v>
      </c>
      <c r="G790" s="16">
        <v>44882</v>
      </c>
      <c r="H790" s="7">
        <f t="shared" si="12"/>
        <v>1.5</v>
      </c>
      <c r="I79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790" s="24" t="str">
        <f>TEXT(Table1[[#This Row],[Date]],"mmm")</f>
        <v>Nov</v>
      </c>
    </row>
    <row r="791" spans="1:10" ht="15" customHeight="1">
      <c r="A791" s="14" t="s">
        <v>140</v>
      </c>
      <c r="B791" s="15" t="s">
        <v>159</v>
      </c>
      <c r="C791" s="15" t="s">
        <v>15</v>
      </c>
      <c r="D791" s="15" t="s">
        <v>11</v>
      </c>
      <c r="E791" s="15" t="s">
        <v>9</v>
      </c>
      <c r="F791" s="14">
        <v>30</v>
      </c>
      <c r="G791" s="16">
        <v>44882</v>
      </c>
      <c r="H791" s="7">
        <f t="shared" si="12"/>
        <v>0.5</v>
      </c>
      <c r="I79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791" s="24" t="str">
        <f>TEXT(Table1[[#This Row],[Date]],"mmm")</f>
        <v>Nov</v>
      </c>
    </row>
    <row r="792" spans="1:10" ht="15" customHeight="1">
      <c r="A792" s="14" t="s">
        <v>140</v>
      </c>
      <c r="B792" s="15" t="s">
        <v>159</v>
      </c>
      <c r="C792" s="15" t="s">
        <v>20</v>
      </c>
      <c r="D792" s="15" t="s">
        <v>11</v>
      </c>
      <c r="E792" s="15" t="s">
        <v>20</v>
      </c>
      <c r="F792" s="14">
        <v>20</v>
      </c>
      <c r="G792" s="16">
        <v>44882</v>
      </c>
      <c r="H792" s="7">
        <f t="shared" si="12"/>
        <v>0.33333333333333331</v>
      </c>
      <c r="I79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792" s="24" t="str">
        <f>TEXT(Table1[[#This Row],[Date]],"mmm")</f>
        <v>Nov</v>
      </c>
    </row>
    <row r="793" spans="1:10" ht="15" customHeight="1">
      <c r="A793" s="14" t="s">
        <v>140</v>
      </c>
      <c r="B793" s="15" t="s">
        <v>6</v>
      </c>
      <c r="C793" s="15" t="s">
        <v>7</v>
      </c>
      <c r="D793" s="15" t="s">
        <v>8</v>
      </c>
      <c r="E793" s="15" t="s">
        <v>9</v>
      </c>
      <c r="F793" s="14">
        <v>20</v>
      </c>
      <c r="G793" s="16">
        <v>44882</v>
      </c>
      <c r="H793" s="7">
        <f t="shared" si="12"/>
        <v>0.33333333333333331</v>
      </c>
      <c r="I79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793" s="24" t="str">
        <f>TEXT(Table1[[#This Row],[Date]],"mmm")</f>
        <v>Nov</v>
      </c>
    </row>
    <row r="794" spans="1:10" ht="15" customHeight="1">
      <c r="A794" s="14" t="s">
        <v>140</v>
      </c>
      <c r="B794" s="15" t="s">
        <v>6</v>
      </c>
      <c r="C794" s="15" t="s">
        <v>30</v>
      </c>
      <c r="D794" s="15" t="s">
        <v>11</v>
      </c>
      <c r="E794" s="15" t="s">
        <v>12</v>
      </c>
      <c r="F794" s="14">
        <v>25</v>
      </c>
      <c r="G794" s="16">
        <v>44882</v>
      </c>
      <c r="H794" s="7">
        <f t="shared" si="12"/>
        <v>0.41666666666666669</v>
      </c>
      <c r="I79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794" s="24" t="str">
        <f>TEXT(Table1[[#This Row],[Date]],"mmm")</f>
        <v>Nov</v>
      </c>
    </row>
    <row r="795" spans="1:10" ht="15" customHeight="1">
      <c r="A795" s="14" t="s">
        <v>141</v>
      </c>
      <c r="B795" s="15" t="s">
        <v>10</v>
      </c>
      <c r="C795" s="15" t="s">
        <v>10</v>
      </c>
      <c r="D795" s="15" t="s">
        <v>8</v>
      </c>
      <c r="E795" s="15" t="s">
        <v>10</v>
      </c>
      <c r="F795" s="14">
        <v>20</v>
      </c>
      <c r="G795" s="16">
        <v>44852</v>
      </c>
      <c r="H795" s="7">
        <f t="shared" si="12"/>
        <v>0.33333333333333331</v>
      </c>
      <c r="I79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795" s="24" t="str">
        <f>TEXT(Table1[[#This Row],[Date]],"mmm")</f>
        <v>Oct</v>
      </c>
    </row>
    <row r="796" spans="1:10" ht="15" customHeight="1">
      <c r="A796" s="14" t="s">
        <v>141</v>
      </c>
      <c r="B796" s="15" t="s">
        <v>36</v>
      </c>
      <c r="C796" s="15" t="s">
        <v>37</v>
      </c>
      <c r="D796" s="15" t="s">
        <v>8</v>
      </c>
      <c r="E796" s="15" t="s">
        <v>36</v>
      </c>
      <c r="F796" s="14">
        <v>60</v>
      </c>
      <c r="G796" s="16">
        <v>44852</v>
      </c>
      <c r="H796" s="7">
        <f t="shared" si="12"/>
        <v>1</v>
      </c>
      <c r="I79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796" s="24" t="str">
        <f>TEXT(Table1[[#This Row],[Date]],"mmm")</f>
        <v>Oct</v>
      </c>
    </row>
    <row r="797" spans="1:10" ht="15" customHeight="1">
      <c r="A797" s="14" t="s">
        <v>141</v>
      </c>
      <c r="B797" s="15" t="s">
        <v>157</v>
      </c>
      <c r="C797" s="15" t="s">
        <v>16</v>
      </c>
      <c r="D797" s="15" t="s">
        <v>8</v>
      </c>
      <c r="E797" s="15" t="s">
        <v>9</v>
      </c>
      <c r="F797" s="14">
        <v>15</v>
      </c>
      <c r="G797" s="16">
        <v>44852</v>
      </c>
      <c r="H797" s="7">
        <f t="shared" si="12"/>
        <v>0.25</v>
      </c>
      <c r="I79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797" s="24" t="str">
        <f>TEXT(Table1[[#This Row],[Date]],"mmm")</f>
        <v>Oct</v>
      </c>
    </row>
    <row r="798" spans="1:10" ht="15" customHeight="1">
      <c r="A798" s="14" t="s">
        <v>141</v>
      </c>
      <c r="B798" s="15" t="s">
        <v>142</v>
      </c>
      <c r="C798" s="15" t="s">
        <v>89</v>
      </c>
      <c r="D798" s="15" t="s">
        <v>69</v>
      </c>
      <c r="E798" s="15" t="s">
        <v>75</v>
      </c>
      <c r="F798" s="14">
        <v>325</v>
      </c>
      <c r="G798" s="16">
        <v>44852</v>
      </c>
      <c r="H798" s="7">
        <f t="shared" si="12"/>
        <v>5.416666666666667</v>
      </c>
      <c r="I79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798" s="24" t="str">
        <f>TEXT(Table1[[#This Row],[Date]],"mmm")</f>
        <v>Oct</v>
      </c>
    </row>
    <row r="799" spans="1:10" ht="15" customHeight="1">
      <c r="A799" s="14" t="s">
        <v>141</v>
      </c>
      <c r="B799" s="15" t="s">
        <v>157</v>
      </c>
      <c r="C799" s="15" t="s">
        <v>20</v>
      </c>
      <c r="D799" s="15" t="s">
        <v>138</v>
      </c>
      <c r="E799" s="15" t="s">
        <v>20</v>
      </c>
      <c r="F799" s="14">
        <v>90</v>
      </c>
      <c r="G799" s="16">
        <v>44852</v>
      </c>
      <c r="H799" s="7">
        <f t="shared" si="12"/>
        <v>1.5</v>
      </c>
      <c r="I79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799" s="24" t="str">
        <f>TEXT(Table1[[#This Row],[Date]],"mmm")</f>
        <v>Oct</v>
      </c>
    </row>
    <row r="800" spans="1:10" ht="15" customHeight="1">
      <c r="A800" s="14" t="s">
        <v>140</v>
      </c>
      <c r="B800" s="15" t="s">
        <v>159</v>
      </c>
      <c r="C800" s="15" t="s">
        <v>47</v>
      </c>
      <c r="D800" s="15" t="s">
        <v>8</v>
      </c>
      <c r="E800" s="15" t="s">
        <v>9</v>
      </c>
      <c r="F800" s="14">
        <v>30</v>
      </c>
      <c r="G800" s="16">
        <v>44852</v>
      </c>
      <c r="H800" s="7">
        <f t="shared" si="12"/>
        <v>0.5</v>
      </c>
      <c r="I80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800" s="24" t="str">
        <f>TEXT(Table1[[#This Row],[Date]],"mmm")</f>
        <v>Oct</v>
      </c>
    </row>
    <row r="801" spans="1:10" ht="15" customHeight="1">
      <c r="A801" s="14" t="s">
        <v>140</v>
      </c>
      <c r="B801" s="15" t="s">
        <v>10</v>
      </c>
      <c r="C801" s="15" t="s">
        <v>10</v>
      </c>
      <c r="D801" s="15" t="s">
        <v>8</v>
      </c>
      <c r="E801" s="15" t="s">
        <v>10</v>
      </c>
      <c r="F801" s="14">
        <v>20</v>
      </c>
      <c r="G801" s="16">
        <v>44852</v>
      </c>
      <c r="H801" s="7">
        <f t="shared" si="12"/>
        <v>0.33333333333333331</v>
      </c>
      <c r="I80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801" s="24" t="str">
        <f>TEXT(Table1[[#This Row],[Date]],"mmm")</f>
        <v>Oct</v>
      </c>
    </row>
    <row r="802" spans="1:10" ht="15" customHeight="1">
      <c r="A802" s="14" t="s">
        <v>140</v>
      </c>
      <c r="B802" s="15" t="s">
        <v>20</v>
      </c>
      <c r="C802" s="15" t="s">
        <v>20</v>
      </c>
      <c r="D802" s="15" t="s">
        <v>8</v>
      </c>
      <c r="E802" s="15" t="s">
        <v>20</v>
      </c>
      <c r="F802" s="14">
        <v>40</v>
      </c>
      <c r="G802" s="16">
        <v>44852</v>
      </c>
      <c r="H802" s="7">
        <f t="shared" si="12"/>
        <v>0.66666666666666663</v>
      </c>
      <c r="I80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802" s="24" t="str">
        <f>TEXT(Table1[[#This Row],[Date]],"mmm")</f>
        <v>Oct</v>
      </c>
    </row>
    <row r="803" spans="1:10" ht="15" customHeight="1">
      <c r="A803" s="14" t="s">
        <v>140</v>
      </c>
      <c r="B803" s="15" t="s">
        <v>152</v>
      </c>
      <c r="C803" s="15" t="s">
        <v>105</v>
      </c>
      <c r="D803" s="15" t="s">
        <v>8</v>
      </c>
      <c r="E803" s="15" t="s">
        <v>9</v>
      </c>
      <c r="F803" s="14">
        <v>65</v>
      </c>
      <c r="G803" s="16">
        <v>44852</v>
      </c>
      <c r="H803" s="7">
        <f t="shared" si="12"/>
        <v>1.0833333333333333</v>
      </c>
      <c r="I80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803" s="24" t="str">
        <f>TEXT(Table1[[#This Row],[Date]],"mmm")</f>
        <v>Oct</v>
      </c>
    </row>
    <row r="804" spans="1:10" ht="15" customHeight="1">
      <c r="A804" s="14" t="s">
        <v>140</v>
      </c>
      <c r="B804" s="15" t="s">
        <v>159</v>
      </c>
      <c r="C804" s="15" t="s">
        <v>44</v>
      </c>
      <c r="D804" s="15" t="s">
        <v>8</v>
      </c>
      <c r="E804" s="15" t="s">
        <v>12</v>
      </c>
      <c r="F804" s="14">
        <v>20</v>
      </c>
      <c r="G804" s="16">
        <v>44852</v>
      </c>
      <c r="H804" s="7">
        <f t="shared" si="12"/>
        <v>0.33333333333333331</v>
      </c>
      <c r="I80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804" s="24" t="str">
        <f>TEXT(Table1[[#This Row],[Date]],"mmm")</f>
        <v>Oct</v>
      </c>
    </row>
    <row r="805" spans="1:10" ht="15" customHeight="1">
      <c r="A805" s="14" t="s">
        <v>140</v>
      </c>
      <c r="B805" s="15" t="s">
        <v>159</v>
      </c>
      <c r="C805" s="15" t="s">
        <v>17</v>
      </c>
      <c r="D805" s="15" t="s">
        <v>11</v>
      </c>
      <c r="E805" s="15" t="s">
        <v>17</v>
      </c>
      <c r="F805" s="14">
        <v>25</v>
      </c>
      <c r="G805" s="16">
        <v>44852</v>
      </c>
      <c r="H805" s="7">
        <f t="shared" si="12"/>
        <v>0.41666666666666669</v>
      </c>
      <c r="I80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805" s="24" t="str">
        <f>TEXT(Table1[[#This Row],[Date]],"mmm")</f>
        <v>Oct</v>
      </c>
    </row>
    <row r="806" spans="1:10" ht="15" customHeight="1">
      <c r="A806" s="14" t="s">
        <v>140</v>
      </c>
      <c r="B806" s="15" t="s">
        <v>159</v>
      </c>
      <c r="C806" s="15" t="s">
        <v>161</v>
      </c>
      <c r="D806" s="15" t="s">
        <v>8</v>
      </c>
      <c r="E806" s="15" t="s">
        <v>175</v>
      </c>
      <c r="F806" s="14">
        <v>40</v>
      </c>
      <c r="G806" s="16">
        <v>44852</v>
      </c>
      <c r="H806" s="7">
        <f t="shared" si="12"/>
        <v>0.66666666666666663</v>
      </c>
      <c r="I80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806" s="24" t="str">
        <f>TEXT(Table1[[#This Row],[Date]],"mmm")</f>
        <v>Oct</v>
      </c>
    </row>
    <row r="807" spans="1:10" ht="15" customHeight="1">
      <c r="A807" s="14" t="s">
        <v>140</v>
      </c>
      <c r="B807" s="15" t="s">
        <v>159</v>
      </c>
      <c r="C807" s="15" t="s">
        <v>51</v>
      </c>
      <c r="D807" s="15" t="s">
        <v>8</v>
      </c>
      <c r="E807" s="15" t="s">
        <v>51</v>
      </c>
      <c r="F807" s="14">
        <v>25</v>
      </c>
      <c r="G807" s="16">
        <v>44852</v>
      </c>
      <c r="H807" s="7">
        <f t="shared" si="12"/>
        <v>0.41666666666666669</v>
      </c>
      <c r="I80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807" s="24" t="str">
        <f>TEXT(Table1[[#This Row],[Date]],"mmm")</f>
        <v>Oct</v>
      </c>
    </row>
    <row r="808" spans="1:10" ht="15" customHeight="1">
      <c r="A808" s="14" t="s">
        <v>140</v>
      </c>
      <c r="B808" s="15" t="s">
        <v>152</v>
      </c>
      <c r="C808" s="15" t="s">
        <v>110</v>
      </c>
      <c r="D808" s="15" t="s">
        <v>11</v>
      </c>
      <c r="E808" s="15" t="s">
        <v>9</v>
      </c>
      <c r="F808" s="14">
        <v>40</v>
      </c>
      <c r="G808" s="16">
        <v>44852</v>
      </c>
      <c r="H808" s="7">
        <f t="shared" si="12"/>
        <v>0.66666666666666663</v>
      </c>
      <c r="I80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808" s="24" t="str">
        <f>TEXT(Table1[[#This Row],[Date]],"mmm")</f>
        <v>Oct</v>
      </c>
    </row>
    <row r="809" spans="1:10" ht="15" customHeight="1">
      <c r="A809" s="14" t="s">
        <v>140</v>
      </c>
      <c r="B809" s="15" t="s">
        <v>159</v>
      </c>
      <c r="C809" s="15" t="s">
        <v>111</v>
      </c>
      <c r="D809" s="15" t="s">
        <v>11</v>
      </c>
      <c r="E809" s="15" t="s">
        <v>9</v>
      </c>
      <c r="F809" s="14">
        <v>20</v>
      </c>
      <c r="G809" s="16">
        <v>44852</v>
      </c>
      <c r="H809" s="7">
        <f t="shared" si="12"/>
        <v>0.33333333333333331</v>
      </c>
      <c r="I80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809" s="24" t="str">
        <f>TEXT(Table1[[#This Row],[Date]],"mmm")</f>
        <v>Oct</v>
      </c>
    </row>
    <row r="810" spans="1:10" ht="15" customHeight="1">
      <c r="A810" s="14" t="s">
        <v>140</v>
      </c>
      <c r="B810" s="15" t="s">
        <v>159</v>
      </c>
      <c r="C810" s="15" t="s">
        <v>105</v>
      </c>
      <c r="D810" s="15" t="s">
        <v>11</v>
      </c>
      <c r="E810" s="15" t="s">
        <v>9</v>
      </c>
      <c r="F810" s="14">
        <v>20</v>
      </c>
      <c r="G810" s="16">
        <v>44852</v>
      </c>
      <c r="H810" s="7">
        <f t="shared" si="12"/>
        <v>0.33333333333333331</v>
      </c>
      <c r="I81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810" s="24" t="str">
        <f>TEXT(Table1[[#This Row],[Date]],"mmm")</f>
        <v>Oct</v>
      </c>
    </row>
    <row r="811" spans="1:10" ht="15" customHeight="1">
      <c r="A811" s="14" t="s">
        <v>140</v>
      </c>
      <c r="B811" s="15" t="s">
        <v>159</v>
      </c>
      <c r="C811" s="15" t="s">
        <v>170</v>
      </c>
      <c r="D811" s="15" t="s">
        <v>11</v>
      </c>
      <c r="E811" s="15" t="s">
        <v>9</v>
      </c>
      <c r="F811" s="14">
        <v>15</v>
      </c>
      <c r="G811" s="16">
        <v>44852</v>
      </c>
      <c r="H811" s="7">
        <f t="shared" si="12"/>
        <v>0.25</v>
      </c>
      <c r="I81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811" s="24" t="str">
        <f>TEXT(Table1[[#This Row],[Date]],"mmm")</f>
        <v>Oct</v>
      </c>
    </row>
    <row r="812" spans="1:10" ht="15" customHeight="1">
      <c r="A812" s="14" t="s">
        <v>140</v>
      </c>
      <c r="B812" s="15" t="s">
        <v>159</v>
      </c>
      <c r="C812" s="15" t="s">
        <v>17</v>
      </c>
      <c r="D812" s="15" t="s">
        <v>11</v>
      </c>
      <c r="E812" s="15" t="s">
        <v>9</v>
      </c>
      <c r="F812" s="14">
        <v>20</v>
      </c>
      <c r="G812" s="16">
        <v>44852</v>
      </c>
      <c r="H812" s="7">
        <f t="shared" si="12"/>
        <v>0.33333333333333331</v>
      </c>
      <c r="I81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812" s="24" t="str">
        <f>TEXT(Table1[[#This Row],[Date]],"mmm")</f>
        <v>Oct</v>
      </c>
    </row>
    <row r="813" spans="1:10" ht="15" customHeight="1">
      <c r="A813" s="14" t="s">
        <v>140</v>
      </c>
      <c r="B813" s="15" t="s">
        <v>144</v>
      </c>
      <c r="C813" s="15" t="s">
        <v>50</v>
      </c>
      <c r="D813" s="15" t="s">
        <v>11</v>
      </c>
      <c r="E813" s="15" t="s">
        <v>9</v>
      </c>
      <c r="F813" s="14">
        <v>30</v>
      </c>
      <c r="G813" s="16">
        <v>44852</v>
      </c>
      <c r="H813" s="7">
        <f t="shared" si="12"/>
        <v>0.5</v>
      </c>
      <c r="I81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813" s="24" t="str">
        <f>TEXT(Table1[[#This Row],[Date]],"mmm")</f>
        <v>Oct</v>
      </c>
    </row>
    <row r="814" spans="1:10" ht="15" customHeight="1">
      <c r="A814" s="14" t="s">
        <v>140</v>
      </c>
      <c r="B814" s="15" t="s">
        <v>159</v>
      </c>
      <c r="C814" s="15" t="s">
        <v>22</v>
      </c>
      <c r="D814" s="15" t="s">
        <v>13</v>
      </c>
      <c r="E814" s="15" t="s">
        <v>22</v>
      </c>
      <c r="F814" s="14">
        <v>20</v>
      </c>
      <c r="G814" s="16">
        <v>44883</v>
      </c>
      <c r="H814" s="7">
        <f t="shared" si="12"/>
        <v>0.33333333333333331</v>
      </c>
      <c r="I81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814" s="24" t="str">
        <f>TEXT(Table1[[#This Row],[Date]],"mmm")</f>
        <v>Nov</v>
      </c>
    </row>
    <row r="815" spans="1:10" ht="15" customHeight="1">
      <c r="A815" s="14" t="s">
        <v>140</v>
      </c>
      <c r="B815" s="15" t="s">
        <v>159</v>
      </c>
      <c r="C815" s="15" t="s">
        <v>48</v>
      </c>
      <c r="D815" s="15" t="s">
        <v>11</v>
      </c>
      <c r="E815" s="15" t="s">
        <v>88</v>
      </c>
      <c r="F815" s="14">
        <v>20</v>
      </c>
      <c r="G815" s="16">
        <v>44883</v>
      </c>
      <c r="H815" s="7">
        <f t="shared" si="12"/>
        <v>0.33333333333333331</v>
      </c>
      <c r="I81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815" s="24" t="str">
        <f>TEXT(Table1[[#This Row],[Date]],"mmm")</f>
        <v>Nov</v>
      </c>
    </row>
    <row r="816" spans="1:10" ht="15" customHeight="1">
      <c r="A816" s="14" t="s">
        <v>140</v>
      </c>
      <c r="B816" s="15" t="s">
        <v>10</v>
      </c>
      <c r="C816" s="15" t="s">
        <v>10</v>
      </c>
      <c r="D816" s="15" t="s">
        <v>8</v>
      </c>
      <c r="E816" s="15" t="s">
        <v>10</v>
      </c>
      <c r="F816" s="14">
        <v>20</v>
      </c>
      <c r="G816" s="16">
        <v>44883</v>
      </c>
      <c r="H816" s="7">
        <f t="shared" si="12"/>
        <v>0.33333333333333331</v>
      </c>
      <c r="I81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816" s="24" t="str">
        <f>TEXT(Table1[[#This Row],[Date]],"mmm")</f>
        <v>Nov</v>
      </c>
    </row>
    <row r="817" spans="1:10" ht="15" customHeight="1">
      <c r="A817" s="14" t="s">
        <v>140</v>
      </c>
      <c r="B817" s="15" t="s">
        <v>159</v>
      </c>
      <c r="C817" s="15" t="s">
        <v>91</v>
      </c>
      <c r="D817" s="15" t="s">
        <v>11</v>
      </c>
      <c r="E817" s="15" t="s">
        <v>12</v>
      </c>
      <c r="F817" s="14">
        <v>25</v>
      </c>
      <c r="G817" s="16">
        <v>44883</v>
      </c>
      <c r="H817" s="7">
        <f t="shared" si="12"/>
        <v>0.41666666666666669</v>
      </c>
      <c r="I81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817" s="24" t="str">
        <f>TEXT(Table1[[#This Row],[Date]],"mmm")</f>
        <v>Nov</v>
      </c>
    </row>
    <row r="818" spans="1:10" ht="15" customHeight="1">
      <c r="A818" s="14" t="s">
        <v>140</v>
      </c>
      <c r="B818" s="15" t="s">
        <v>159</v>
      </c>
      <c r="C818" s="15" t="s">
        <v>112</v>
      </c>
      <c r="D818" s="15" t="s">
        <v>11</v>
      </c>
      <c r="E818" s="15" t="s">
        <v>9</v>
      </c>
      <c r="F818" s="14">
        <v>25</v>
      </c>
      <c r="G818" s="16">
        <v>44883</v>
      </c>
      <c r="H818" s="7">
        <f t="shared" si="12"/>
        <v>0.41666666666666669</v>
      </c>
      <c r="I81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818" s="24" t="str">
        <f>TEXT(Table1[[#This Row],[Date]],"mmm")</f>
        <v>Nov</v>
      </c>
    </row>
    <row r="819" spans="1:10" ht="15" customHeight="1">
      <c r="A819" s="14" t="s">
        <v>140</v>
      </c>
      <c r="B819" s="15" t="s">
        <v>159</v>
      </c>
      <c r="C819" s="15" t="s">
        <v>52</v>
      </c>
      <c r="D819" s="15" t="s">
        <v>138</v>
      </c>
      <c r="E819" s="15" t="s">
        <v>9</v>
      </c>
      <c r="F819" s="14">
        <v>25</v>
      </c>
      <c r="G819" s="16">
        <v>44883</v>
      </c>
      <c r="H819" s="7">
        <f t="shared" si="12"/>
        <v>0.41666666666666669</v>
      </c>
      <c r="I81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819" s="24" t="str">
        <f>TEXT(Table1[[#This Row],[Date]],"mmm")</f>
        <v>Nov</v>
      </c>
    </row>
    <row r="820" spans="1:10" ht="15" customHeight="1">
      <c r="A820" s="14" t="s">
        <v>140</v>
      </c>
      <c r="B820" s="15" t="s">
        <v>152</v>
      </c>
      <c r="C820" s="15" t="s">
        <v>153</v>
      </c>
      <c r="D820" s="15" t="s">
        <v>8</v>
      </c>
      <c r="E820" s="15" t="s">
        <v>12</v>
      </c>
      <c r="F820" s="14">
        <v>20</v>
      </c>
      <c r="G820" s="16">
        <v>44883</v>
      </c>
      <c r="H820" s="7">
        <f t="shared" si="12"/>
        <v>0.33333333333333331</v>
      </c>
      <c r="I82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820" s="24" t="str">
        <f>TEXT(Table1[[#This Row],[Date]],"mmm")</f>
        <v>Nov</v>
      </c>
    </row>
    <row r="821" spans="1:10" ht="15" customHeight="1">
      <c r="A821" s="14" t="s">
        <v>140</v>
      </c>
      <c r="B821" s="15" t="s">
        <v>159</v>
      </c>
      <c r="C821" s="15" t="s">
        <v>161</v>
      </c>
      <c r="D821" s="15" t="s">
        <v>8</v>
      </c>
      <c r="E821" s="15" t="s">
        <v>175</v>
      </c>
      <c r="F821" s="14">
        <v>30</v>
      </c>
      <c r="G821" s="16">
        <v>44883</v>
      </c>
      <c r="H821" s="7">
        <f t="shared" si="12"/>
        <v>0.5</v>
      </c>
      <c r="I82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821" s="24" t="str">
        <f>TEXT(Table1[[#This Row],[Date]],"mmm")</f>
        <v>Nov</v>
      </c>
    </row>
    <row r="822" spans="1:10" ht="15" customHeight="1">
      <c r="A822" s="14" t="s">
        <v>140</v>
      </c>
      <c r="B822" s="15" t="s">
        <v>159</v>
      </c>
      <c r="C822" s="15" t="s">
        <v>161</v>
      </c>
      <c r="D822" s="15" t="s">
        <v>8</v>
      </c>
      <c r="E822" s="15" t="s">
        <v>175</v>
      </c>
      <c r="F822" s="14">
        <v>30</v>
      </c>
      <c r="G822" s="16">
        <v>44883</v>
      </c>
      <c r="H822" s="7">
        <f t="shared" si="12"/>
        <v>0.5</v>
      </c>
      <c r="I82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822" s="24" t="str">
        <f>TEXT(Table1[[#This Row],[Date]],"mmm")</f>
        <v>Nov</v>
      </c>
    </row>
    <row r="823" spans="1:10" ht="15" customHeight="1">
      <c r="A823" s="14" t="s">
        <v>140</v>
      </c>
      <c r="B823" s="15" t="s">
        <v>159</v>
      </c>
      <c r="C823" s="15" t="s">
        <v>161</v>
      </c>
      <c r="D823" s="15" t="s">
        <v>8</v>
      </c>
      <c r="E823" s="15" t="s">
        <v>175</v>
      </c>
      <c r="F823" s="14">
        <v>45</v>
      </c>
      <c r="G823" s="16">
        <v>44883</v>
      </c>
      <c r="H823" s="7">
        <f t="shared" si="12"/>
        <v>0.75</v>
      </c>
      <c r="I82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823" s="24" t="str">
        <f>TEXT(Table1[[#This Row],[Date]],"mmm")</f>
        <v>Nov</v>
      </c>
    </row>
    <row r="824" spans="1:10" ht="15" customHeight="1">
      <c r="A824" s="14" t="s">
        <v>140</v>
      </c>
      <c r="B824" s="15" t="s">
        <v>159</v>
      </c>
      <c r="C824" s="15" t="s">
        <v>161</v>
      </c>
      <c r="D824" s="15" t="s">
        <v>8</v>
      </c>
      <c r="E824" s="15" t="s">
        <v>175</v>
      </c>
      <c r="F824" s="14">
        <v>35</v>
      </c>
      <c r="G824" s="16">
        <v>44883</v>
      </c>
      <c r="H824" s="7">
        <f t="shared" si="12"/>
        <v>0.58333333333333337</v>
      </c>
      <c r="I82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824" s="24" t="str">
        <f>TEXT(Table1[[#This Row],[Date]],"mmm")</f>
        <v>Nov</v>
      </c>
    </row>
    <row r="825" spans="1:10" ht="15" customHeight="1">
      <c r="A825" s="14" t="s">
        <v>140</v>
      </c>
      <c r="B825" s="15" t="s">
        <v>159</v>
      </c>
      <c r="C825" s="15" t="s">
        <v>44</v>
      </c>
      <c r="D825" s="15" t="s">
        <v>8</v>
      </c>
      <c r="E825" s="15" t="s">
        <v>12</v>
      </c>
      <c r="F825" s="14">
        <v>90</v>
      </c>
      <c r="G825" s="16">
        <v>44883</v>
      </c>
      <c r="H825" s="7">
        <f t="shared" si="12"/>
        <v>1.5</v>
      </c>
      <c r="I82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825" s="24" t="str">
        <f>TEXT(Table1[[#This Row],[Date]],"mmm")</f>
        <v>Nov</v>
      </c>
    </row>
    <row r="826" spans="1:10" ht="15" customHeight="1">
      <c r="A826" s="14" t="s">
        <v>140</v>
      </c>
      <c r="B826" s="15" t="s">
        <v>159</v>
      </c>
      <c r="C826" s="15" t="s">
        <v>108</v>
      </c>
      <c r="D826" s="15" t="s">
        <v>138</v>
      </c>
      <c r="E826" s="15" t="s">
        <v>9</v>
      </c>
      <c r="F826" s="14">
        <v>30</v>
      </c>
      <c r="G826" s="16">
        <v>44883</v>
      </c>
      <c r="H826" s="7">
        <f t="shared" si="12"/>
        <v>0.5</v>
      </c>
      <c r="I82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826" s="24" t="str">
        <f>TEXT(Table1[[#This Row],[Date]],"mmm")</f>
        <v>Nov</v>
      </c>
    </row>
    <row r="827" spans="1:10" ht="15" customHeight="1">
      <c r="A827" s="14" t="s">
        <v>140</v>
      </c>
      <c r="B827" s="15" t="s">
        <v>159</v>
      </c>
      <c r="C827" s="15" t="s">
        <v>113</v>
      </c>
      <c r="D827" s="15" t="s">
        <v>138</v>
      </c>
      <c r="E827" s="15" t="s">
        <v>114</v>
      </c>
      <c r="F827" s="14">
        <v>20</v>
      </c>
      <c r="G827" s="16">
        <v>44883</v>
      </c>
      <c r="H827" s="7">
        <f t="shared" si="12"/>
        <v>0.33333333333333331</v>
      </c>
      <c r="I82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827" s="24" t="str">
        <f>TEXT(Table1[[#This Row],[Date]],"mmm")</f>
        <v>Nov</v>
      </c>
    </row>
    <row r="828" spans="1:10" ht="15" customHeight="1">
      <c r="A828" s="14" t="s">
        <v>140</v>
      </c>
      <c r="B828" s="15" t="s">
        <v>159</v>
      </c>
      <c r="C828" s="15" t="s">
        <v>15</v>
      </c>
      <c r="D828" s="15" t="s">
        <v>11</v>
      </c>
      <c r="E828" s="15" t="s">
        <v>9</v>
      </c>
      <c r="F828" s="14">
        <v>20</v>
      </c>
      <c r="G828" s="16">
        <v>44883</v>
      </c>
      <c r="H828" s="7">
        <f t="shared" si="12"/>
        <v>0.33333333333333331</v>
      </c>
      <c r="I82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828" s="24" t="str">
        <f>TEXT(Table1[[#This Row],[Date]],"mmm")</f>
        <v>Nov</v>
      </c>
    </row>
    <row r="829" spans="1:10" ht="15" customHeight="1">
      <c r="A829" s="14" t="s">
        <v>140</v>
      </c>
      <c r="B829" s="15" t="s">
        <v>159</v>
      </c>
      <c r="C829" s="15" t="s">
        <v>54</v>
      </c>
      <c r="D829" s="15" t="s">
        <v>13</v>
      </c>
      <c r="E829" s="15" t="s">
        <v>72</v>
      </c>
      <c r="F829" s="14">
        <v>25</v>
      </c>
      <c r="G829" s="16">
        <v>44883</v>
      </c>
      <c r="H829" s="7">
        <f t="shared" si="12"/>
        <v>0.41666666666666669</v>
      </c>
      <c r="I82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829" s="24" t="str">
        <f>TEXT(Table1[[#This Row],[Date]],"mmm")</f>
        <v>Nov</v>
      </c>
    </row>
    <row r="830" spans="1:10" ht="15" customHeight="1">
      <c r="A830" s="14" t="s">
        <v>141</v>
      </c>
      <c r="B830" s="15" t="s">
        <v>10</v>
      </c>
      <c r="C830" s="15" t="s">
        <v>10</v>
      </c>
      <c r="D830" s="15" t="s">
        <v>8</v>
      </c>
      <c r="E830" s="15" t="s">
        <v>10</v>
      </c>
      <c r="F830" s="14">
        <v>20</v>
      </c>
      <c r="G830" s="16">
        <v>44883</v>
      </c>
      <c r="H830" s="7">
        <f t="shared" si="12"/>
        <v>0.33333333333333331</v>
      </c>
      <c r="I83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830" s="24" t="str">
        <f>TEXT(Table1[[#This Row],[Date]],"mmm")</f>
        <v>Nov</v>
      </c>
    </row>
    <row r="831" spans="1:10" ht="15" customHeight="1">
      <c r="A831" s="14" t="s">
        <v>141</v>
      </c>
      <c r="B831" s="15" t="s">
        <v>36</v>
      </c>
      <c r="C831" s="15" t="s">
        <v>37</v>
      </c>
      <c r="D831" s="15" t="s">
        <v>8</v>
      </c>
      <c r="E831" s="15" t="s">
        <v>36</v>
      </c>
      <c r="F831" s="14">
        <v>60</v>
      </c>
      <c r="G831" s="16">
        <v>44883</v>
      </c>
      <c r="H831" s="7">
        <f t="shared" si="12"/>
        <v>1</v>
      </c>
      <c r="I83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831" s="24" t="str">
        <f>TEXT(Table1[[#This Row],[Date]],"mmm")</f>
        <v>Nov</v>
      </c>
    </row>
    <row r="832" spans="1:10" ht="15" customHeight="1">
      <c r="A832" s="14" t="s">
        <v>141</v>
      </c>
      <c r="B832" s="15" t="s">
        <v>157</v>
      </c>
      <c r="C832" s="15" t="s">
        <v>16</v>
      </c>
      <c r="D832" s="15" t="s">
        <v>8</v>
      </c>
      <c r="E832" s="15" t="s">
        <v>9</v>
      </c>
      <c r="F832" s="14">
        <v>30</v>
      </c>
      <c r="G832" s="16">
        <v>44883</v>
      </c>
      <c r="H832" s="7">
        <f t="shared" si="12"/>
        <v>0.5</v>
      </c>
      <c r="I83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832" s="24" t="str">
        <f>TEXT(Table1[[#This Row],[Date]],"mmm")</f>
        <v>Nov</v>
      </c>
    </row>
    <row r="833" spans="1:10" ht="15" customHeight="1">
      <c r="A833" s="14" t="s">
        <v>141</v>
      </c>
      <c r="B833" s="15" t="s">
        <v>157</v>
      </c>
      <c r="C833" s="15" t="s">
        <v>107</v>
      </c>
      <c r="D833" s="15" t="s">
        <v>11</v>
      </c>
      <c r="E833" s="15" t="s">
        <v>6</v>
      </c>
      <c r="F833" s="14">
        <v>280</v>
      </c>
      <c r="G833" s="16">
        <v>44883</v>
      </c>
      <c r="H833" s="7">
        <f t="shared" si="12"/>
        <v>4.666666666666667</v>
      </c>
      <c r="I83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833" s="24" t="str">
        <f>TEXT(Table1[[#This Row],[Date]],"mmm")</f>
        <v>Nov</v>
      </c>
    </row>
    <row r="834" spans="1:10" ht="15" customHeight="1">
      <c r="A834" s="14" t="s">
        <v>141</v>
      </c>
      <c r="B834" s="15" t="s">
        <v>157</v>
      </c>
      <c r="C834" s="15" t="s">
        <v>44</v>
      </c>
      <c r="D834" s="15" t="s">
        <v>8</v>
      </c>
      <c r="E834" s="15" t="s">
        <v>12</v>
      </c>
      <c r="F834" s="14">
        <v>90</v>
      </c>
      <c r="G834" s="16">
        <v>44883</v>
      </c>
      <c r="H834" s="7">
        <f t="shared" ref="H834:H897" si="13">IFERROR(IF(ISBLANK(F834)=TRUE(),"",F834/60),"")</f>
        <v>1.5</v>
      </c>
      <c r="I83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834" s="24" t="str">
        <f>TEXT(Table1[[#This Row],[Date]],"mmm")</f>
        <v>Nov</v>
      </c>
    </row>
    <row r="835" spans="1:10" ht="15" customHeight="1">
      <c r="A835" s="14" t="s">
        <v>140</v>
      </c>
      <c r="B835" s="15" t="s">
        <v>6</v>
      </c>
      <c r="C835" s="15" t="s">
        <v>7</v>
      </c>
      <c r="D835" s="15" t="s">
        <v>8</v>
      </c>
      <c r="E835" s="15" t="s">
        <v>9</v>
      </c>
      <c r="F835" s="14">
        <v>20</v>
      </c>
      <c r="G835" s="16">
        <v>44883</v>
      </c>
      <c r="H835" s="7">
        <f t="shared" si="13"/>
        <v>0.33333333333333331</v>
      </c>
      <c r="I83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835" s="24" t="str">
        <f>TEXT(Table1[[#This Row],[Date]],"mmm")</f>
        <v>Nov</v>
      </c>
    </row>
    <row r="836" spans="1:10" ht="15" customHeight="1">
      <c r="A836" s="14" t="s">
        <v>140</v>
      </c>
      <c r="B836" s="15" t="s">
        <v>6</v>
      </c>
      <c r="C836" s="15" t="s">
        <v>55</v>
      </c>
      <c r="D836" s="15" t="s">
        <v>11</v>
      </c>
      <c r="E836" s="15" t="s">
        <v>55</v>
      </c>
      <c r="F836" s="14">
        <v>30</v>
      </c>
      <c r="G836" s="16">
        <v>44823</v>
      </c>
      <c r="H836" s="7">
        <f t="shared" si="13"/>
        <v>0.5</v>
      </c>
      <c r="I83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836" s="24" t="str">
        <f>TEXT(Table1[[#This Row],[Date]],"mmm")</f>
        <v>Sep</v>
      </c>
    </row>
    <row r="837" spans="1:10" ht="15" customHeight="1">
      <c r="A837" s="14" t="s">
        <v>141</v>
      </c>
      <c r="B837" s="15" t="s">
        <v>36</v>
      </c>
      <c r="C837" s="15" t="s">
        <v>37</v>
      </c>
      <c r="D837" s="15" t="s">
        <v>8</v>
      </c>
      <c r="E837" s="15" t="s">
        <v>36</v>
      </c>
      <c r="F837" s="14">
        <v>30</v>
      </c>
      <c r="G837" s="16">
        <v>44823</v>
      </c>
      <c r="H837" s="7">
        <f t="shared" si="13"/>
        <v>0.5</v>
      </c>
      <c r="I83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837" s="24" t="str">
        <f>TEXT(Table1[[#This Row],[Date]],"mmm")</f>
        <v>Sep</v>
      </c>
    </row>
    <row r="838" spans="1:10" ht="15" customHeight="1">
      <c r="A838" s="14" t="s">
        <v>141</v>
      </c>
      <c r="B838" s="15" t="s">
        <v>142</v>
      </c>
      <c r="C838" s="15" t="s">
        <v>137</v>
      </c>
      <c r="D838" s="15" t="s">
        <v>8</v>
      </c>
      <c r="E838" s="15" t="s">
        <v>35</v>
      </c>
      <c r="F838" s="14">
        <v>45</v>
      </c>
      <c r="G838" s="16">
        <v>44823</v>
      </c>
      <c r="H838" s="7">
        <f t="shared" si="13"/>
        <v>0.75</v>
      </c>
      <c r="I83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838" s="24" t="str">
        <f>TEXT(Table1[[#This Row],[Date]],"mmm")</f>
        <v>Sep</v>
      </c>
    </row>
    <row r="839" spans="1:10" ht="15" customHeight="1">
      <c r="A839" s="14" t="s">
        <v>141</v>
      </c>
      <c r="B839" s="15" t="s">
        <v>157</v>
      </c>
      <c r="C839" s="15" t="s">
        <v>16</v>
      </c>
      <c r="D839" s="15" t="s">
        <v>8</v>
      </c>
      <c r="E839" s="15" t="s">
        <v>9</v>
      </c>
      <c r="F839" s="14">
        <v>20</v>
      </c>
      <c r="G839" s="16">
        <v>44823</v>
      </c>
      <c r="H839" s="7">
        <f t="shared" si="13"/>
        <v>0.33333333333333331</v>
      </c>
      <c r="I83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839" s="24" t="str">
        <f>TEXT(Table1[[#This Row],[Date]],"mmm")</f>
        <v>Sep</v>
      </c>
    </row>
    <row r="840" spans="1:10" ht="15" customHeight="1">
      <c r="A840" s="14" t="s">
        <v>141</v>
      </c>
      <c r="B840" s="15" t="s">
        <v>96</v>
      </c>
      <c r="C840" s="15" t="s">
        <v>40</v>
      </c>
      <c r="D840" s="15" t="s">
        <v>8</v>
      </c>
      <c r="E840" s="15" t="s">
        <v>96</v>
      </c>
      <c r="F840" s="14">
        <v>20</v>
      </c>
      <c r="G840" s="16">
        <v>44823</v>
      </c>
      <c r="H840" s="7">
        <f t="shared" si="13"/>
        <v>0.33333333333333331</v>
      </c>
      <c r="I84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840" s="24" t="str">
        <f>TEXT(Table1[[#This Row],[Date]],"mmm")</f>
        <v>Sep</v>
      </c>
    </row>
    <row r="841" spans="1:10" ht="15" customHeight="1">
      <c r="A841" s="14" t="s">
        <v>141</v>
      </c>
      <c r="B841" s="15" t="s">
        <v>157</v>
      </c>
      <c r="C841" s="15" t="s">
        <v>44</v>
      </c>
      <c r="D841" s="15" t="s">
        <v>8</v>
      </c>
      <c r="E841" s="15" t="s">
        <v>12</v>
      </c>
      <c r="F841" s="14">
        <v>60</v>
      </c>
      <c r="G841" s="16">
        <v>44823</v>
      </c>
      <c r="H841" s="7">
        <f t="shared" si="13"/>
        <v>1</v>
      </c>
      <c r="I84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841" s="24" t="str">
        <f>TEXT(Table1[[#This Row],[Date]],"mmm")</f>
        <v>Sep</v>
      </c>
    </row>
    <row r="842" spans="1:10" ht="15" customHeight="1">
      <c r="A842" s="14" t="s">
        <v>141</v>
      </c>
      <c r="B842" s="15" t="s">
        <v>157</v>
      </c>
      <c r="C842" s="15" t="s">
        <v>9</v>
      </c>
      <c r="D842" s="15" t="s">
        <v>11</v>
      </c>
      <c r="E842" s="15" t="s">
        <v>9</v>
      </c>
      <c r="F842" s="14">
        <v>120</v>
      </c>
      <c r="G842" s="16">
        <v>44823</v>
      </c>
      <c r="H842" s="7">
        <f t="shared" si="13"/>
        <v>2</v>
      </c>
      <c r="I84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842" s="24" t="str">
        <f>TEXT(Table1[[#This Row],[Date]],"mmm")</f>
        <v>Sep</v>
      </c>
    </row>
    <row r="843" spans="1:10" ht="15" customHeight="1">
      <c r="A843" s="14" t="s">
        <v>141</v>
      </c>
      <c r="B843" s="15" t="s">
        <v>144</v>
      </c>
      <c r="C843" s="15" t="s">
        <v>9</v>
      </c>
      <c r="D843" s="15" t="s">
        <v>11</v>
      </c>
      <c r="E843" s="15" t="s">
        <v>9</v>
      </c>
      <c r="F843" s="14">
        <v>60</v>
      </c>
      <c r="G843" s="16">
        <v>44823</v>
      </c>
      <c r="H843" s="7">
        <f t="shared" si="13"/>
        <v>1</v>
      </c>
      <c r="I84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843" s="24" t="str">
        <f>TEXT(Table1[[#This Row],[Date]],"mmm")</f>
        <v>Sep</v>
      </c>
    </row>
    <row r="844" spans="1:10" ht="15" customHeight="1">
      <c r="A844" s="14" t="s">
        <v>141</v>
      </c>
      <c r="B844" s="15" t="s">
        <v>157</v>
      </c>
      <c r="C844" s="15" t="s">
        <v>98</v>
      </c>
      <c r="D844" s="15" t="s">
        <v>13</v>
      </c>
      <c r="E844" s="15" t="s">
        <v>9</v>
      </c>
      <c r="F844" s="14">
        <v>90</v>
      </c>
      <c r="G844" s="16">
        <v>44823</v>
      </c>
      <c r="H844" s="7">
        <f t="shared" si="13"/>
        <v>1.5</v>
      </c>
      <c r="I84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844" s="24" t="str">
        <f>TEXT(Table1[[#This Row],[Date]],"mmm")</f>
        <v>Sep</v>
      </c>
    </row>
    <row r="845" spans="1:10" ht="15" customHeight="1">
      <c r="A845" s="14" t="s">
        <v>141</v>
      </c>
      <c r="B845" s="15" t="s">
        <v>157</v>
      </c>
      <c r="C845" s="15" t="s">
        <v>17</v>
      </c>
      <c r="D845" s="15" t="s">
        <v>138</v>
      </c>
      <c r="E845" s="15" t="s">
        <v>17</v>
      </c>
      <c r="F845" s="14">
        <v>15</v>
      </c>
      <c r="G845" s="16">
        <v>44823</v>
      </c>
      <c r="H845" s="7">
        <f t="shared" si="13"/>
        <v>0.25</v>
      </c>
      <c r="I84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845" s="24" t="str">
        <f>TEXT(Table1[[#This Row],[Date]],"mmm")</f>
        <v>Sep</v>
      </c>
    </row>
    <row r="846" spans="1:10" ht="15" customHeight="1">
      <c r="A846" s="14" t="s">
        <v>141</v>
      </c>
      <c r="B846" s="15" t="s">
        <v>154</v>
      </c>
      <c r="C846" s="15" t="s">
        <v>38</v>
      </c>
      <c r="D846" s="15" t="s">
        <v>11</v>
      </c>
      <c r="E846" s="15" t="s">
        <v>38</v>
      </c>
      <c r="F846" s="14">
        <v>60</v>
      </c>
      <c r="G846" s="16">
        <v>44823</v>
      </c>
      <c r="H846" s="7">
        <f t="shared" si="13"/>
        <v>1</v>
      </c>
      <c r="I84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846" s="24" t="str">
        <f>TEXT(Table1[[#This Row],[Date]],"mmm")</f>
        <v>Sep</v>
      </c>
    </row>
    <row r="847" spans="1:10" ht="15" customHeight="1">
      <c r="A847" s="14" t="s">
        <v>140</v>
      </c>
      <c r="B847" s="15" t="s">
        <v>160</v>
      </c>
      <c r="C847" s="15" t="s">
        <v>115</v>
      </c>
      <c r="D847" s="15" t="s">
        <v>13</v>
      </c>
      <c r="E847" s="15" t="s">
        <v>115</v>
      </c>
      <c r="F847" s="14">
        <v>55</v>
      </c>
      <c r="G847" s="16">
        <v>44823</v>
      </c>
      <c r="H847" s="7">
        <f t="shared" si="13"/>
        <v>0.91666666666666663</v>
      </c>
      <c r="I84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847" s="24" t="str">
        <f>TEXT(Table1[[#This Row],[Date]],"mmm")</f>
        <v>Sep</v>
      </c>
    </row>
    <row r="848" spans="1:10" ht="15" customHeight="1">
      <c r="A848" s="14" t="s">
        <v>140</v>
      </c>
      <c r="B848" s="15" t="s">
        <v>159</v>
      </c>
      <c r="C848" s="15" t="s">
        <v>22</v>
      </c>
      <c r="D848" s="15" t="s">
        <v>13</v>
      </c>
      <c r="E848" s="15" t="s">
        <v>22</v>
      </c>
      <c r="F848" s="14">
        <v>110</v>
      </c>
      <c r="G848" s="16">
        <v>44823</v>
      </c>
      <c r="H848" s="7">
        <f t="shared" si="13"/>
        <v>1.8333333333333333</v>
      </c>
      <c r="I84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848" s="24" t="str">
        <f>TEXT(Table1[[#This Row],[Date]],"mmm")</f>
        <v>Sep</v>
      </c>
    </row>
    <row r="849" spans="1:10" ht="15" customHeight="1">
      <c r="A849" s="14" t="s">
        <v>140</v>
      </c>
      <c r="B849" s="15" t="s">
        <v>159</v>
      </c>
      <c r="C849" s="15" t="s">
        <v>23</v>
      </c>
      <c r="D849" s="15" t="s">
        <v>13</v>
      </c>
      <c r="E849" s="15" t="s">
        <v>134</v>
      </c>
      <c r="F849" s="14">
        <v>30</v>
      </c>
      <c r="G849" s="16">
        <v>44823</v>
      </c>
      <c r="H849" s="7">
        <f t="shared" si="13"/>
        <v>0.5</v>
      </c>
      <c r="I84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849" s="24" t="str">
        <f>TEXT(Table1[[#This Row],[Date]],"mmm")</f>
        <v>Sep</v>
      </c>
    </row>
    <row r="850" spans="1:10" ht="15" customHeight="1">
      <c r="A850" s="14" t="s">
        <v>140</v>
      </c>
      <c r="B850" s="15" t="s">
        <v>144</v>
      </c>
      <c r="C850" s="15" t="s">
        <v>17</v>
      </c>
      <c r="D850" s="15" t="s">
        <v>11</v>
      </c>
      <c r="E850" s="15" t="s">
        <v>17</v>
      </c>
      <c r="F850" s="14">
        <v>35</v>
      </c>
      <c r="G850" s="16">
        <v>44823</v>
      </c>
      <c r="H850" s="7">
        <f t="shared" si="13"/>
        <v>0.58333333333333337</v>
      </c>
      <c r="I85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850" s="24" t="str">
        <f>TEXT(Table1[[#This Row],[Date]],"mmm")</f>
        <v>Sep</v>
      </c>
    </row>
    <row r="851" spans="1:10" ht="15" customHeight="1">
      <c r="A851" s="14" t="s">
        <v>140</v>
      </c>
      <c r="B851" s="15" t="s">
        <v>10</v>
      </c>
      <c r="C851" s="15" t="s">
        <v>10</v>
      </c>
      <c r="D851" s="15" t="s">
        <v>8</v>
      </c>
      <c r="E851" s="15" t="s">
        <v>10</v>
      </c>
      <c r="F851" s="14">
        <v>20</v>
      </c>
      <c r="G851" s="16">
        <v>44823</v>
      </c>
      <c r="H851" s="7">
        <f t="shared" si="13"/>
        <v>0.33333333333333331</v>
      </c>
      <c r="I85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851" s="24" t="str">
        <f>TEXT(Table1[[#This Row],[Date]],"mmm")</f>
        <v>Sep</v>
      </c>
    </row>
    <row r="852" spans="1:10" ht="15" customHeight="1">
      <c r="A852" s="14" t="s">
        <v>140</v>
      </c>
      <c r="B852" s="15" t="s">
        <v>159</v>
      </c>
      <c r="C852" s="15" t="s">
        <v>104</v>
      </c>
      <c r="D852" s="15" t="s">
        <v>11</v>
      </c>
      <c r="E852" s="15" t="s">
        <v>9</v>
      </c>
      <c r="F852" s="14">
        <v>30</v>
      </c>
      <c r="G852" s="16">
        <v>44823</v>
      </c>
      <c r="H852" s="7">
        <f t="shared" si="13"/>
        <v>0.5</v>
      </c>
      <c r="I85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852" s="24" t="str">
        <f>TEXT(Table1[[#This Row],[Date]],"mmm")</f>
        <v>Sep</v>
      </c>
    </row>
    <row r="853" spans="1:10" ht="15" customHeight="1">
      <c r="A853" s="14" t="s">
        <v>140</v>
      </c>
      <c r="B853" s="15" t="s">
        <v>154</v>
      </c>
      <c r="C853" s="15" t="s">
        <v>104</v>
      </c>
      <c r="D853" s="15" t="s">
        <v>11</v>
      </c>
      <c r="E853" s="15" t="s">
        <v>9</v>
      </c>
      <c r="F853" s="14">
        <v>30</v>
      </c>
      <c r="G853" s="16">
        <v>44823</v>
      </c>
      <c r="H853" s="7">
        <f t="shared" si="13"/>
        <v>0.5</v>
      </c>
      <c r="I85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853" s="24" t="str">
        <f>TEXT(Table1[[#This Row],[Date]],"mmm")</f>
        <v>Sep</v>
      </c>
    </row>
    <row r="854" spans="1:10" ht="15" customHeight="1">
      <c r="A854" s="14" t="s">
        <v>140</v>
      </c>
      <c r="B854" s="15" t="s">
        <v>159</v>
      </c>
      <c r="C854" s="15" t="s">
        <v>78</v>
      </c>
      <c r="D854" s="15" t="s">
        <v>11</v>
      </c>
      <c r="E854" s="15" t="s">
        <v>9</v>
      </c>
      <c r="F854" s="14">
        <v>35</v>
      </c>
      <c r="G854" s="16">
        <v>44823</v>
      </c>
      <c r="H854" s="7">
        <f t="shared" si="13"/>
        <v>0.58333333333333337</v>
      </c>
      <c r="I85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854" s="24" t="str">
        <f>TEXT(Table1[[#This Row],[Date]],"mmm")</f>
        <v>Sep</v>
      </c>
    </row>
    <row r="855" spans="1:10" ht="15" customHeight="1">
      <c r="A855" s="14" t="s">
        <v>140</v>
      </c>
      <c r="B855" s="15" t="s">
        <v>159</v>
      </c>
      <c r="C855" s="15" t="s">
        <v>44</v>
      </c>
      <c r="D855" s="15" t="s">
        <v>8</v>
      </c>
      <c r="E855" s="15" t="s">
        <v>12</v>
      </c>
      <c r="F855" s="14">
        <v>95</v>
      </c>
      <c r="G855" s="16">
        <v>44823</v>
      </c>
      <c r="H855" s="7">
        <f t="shared" si="13"/>
        <v>1.5833333333333333</v>
      </c>
      <c r="I85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855" s="24" t="str">
        <f>TEXT(Table1[[#This Row],[Date]],"mmm")</f>
        <v>Sep</v>
      </c>
    </row>
    <row r="856" spans="1:10" ht="15" customHeight="1">
      <c r="A856" s="14" t="s">
        <v>140</v>
      </c>
      <c r="B856" s="15" t="s">
        <v>159</v>
      </c>
      <c r="C856" s="15" t="s">
        <v>38</v>
      </c>
      <c r="D856" s="15" t="s">
        <v>8</v>
      </c>
      <c r="E856" s="15" t="s">
        <v>38</v>
      </c>
      <c r="F856" s="14">
        <v>40</v>
      </c>
      <c r="G856" s="16">
        <v>44823</v>
      </c>
      <c r="H856" s="7">
        <f t="shared" si="13"/>
        <v>0.66666666666666663</v>
      </c>
      <c r="I85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856" s="24" t="str">
        <f>TEXT(Table1[[#This Row],[Date]],"mmm")</f>
        <v>Sep</v>
      </c>
    </row>
    <row r="857" spans="1:10" ht="15" customHeight="1">
      <c r="A857" s="14" t="s">
        <v>141</v>
      </c>
      <c r="B857" s="15" t="s">
        <v>10</v>
      </c>
      <c r="C857" s="15" t="s">
        <v>10</v>
      </c>
      <c r="D857" s="15" t="s">
        <v>8</v>
      </c>
      <c r="E857" s="15" t="s">
        <v>10</v>
      </c>
      <c r="F857" s="14">
        <v>20</v>
      </c>
      <c r="G857" s="16">
        <v>44853</v>
      </c>
      <c r="H857" s="7">
        <f t="shared" si="13"/>
        <v>0.33333333333333331</v>
      </c>
      <c r="I85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857" s="24" t="str">
        <f>TEXT(Table1[[#This Row],[Date]],"mmm")</f>
        <v>Oct</v>
      </c>
    </row>
    <row r="858" spans="1:10" ht="15" customHeight="1">
      <c r="A858" s="14" t="s">
        <v>141</v>
      </c>
      <c r="B858" s="15" t="s">
        <v>36</v>
      </c>
      <c r="C858" s="15" t="s">
        <v>37</v>
      </c>
      <c r="D858" s="15" t="s">
        <v>8</v>
      </c>
      <c r="E858" s="15" t="s">
        <v>36</v>
      </c>
      <c r="F858" s="14">
        <v>60</v>
      </c>
      <c r="G858" s="16">
        <v>44853</v>
      </c>
      <c r="H858" s="7">
        <f t="shared" si="13"/>
        <v>1</v>
      </c>
      <c r="I85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858" s="24" t="str">
        <f>TEXT(Table1[[#This Row],[Date]],"mmm")</f>
        <v>Oct</v>
      </c>
    </row>
    <row r="859" spans="1:10" ht="15" customHeight="1">
      <c r="A859" s="14" t="s">
        <v>141</v>
      </c>
      <c r="B859" s="15" t="s">
        <v>157</v>
      </c>
      <c r="C859" s="15" t="s">
        <v>16</v>
      </c>
      <c r="D859" s="15" t="s">
        <v>8</v>
      </c>
      <c r="E859" s="15" t="s">
        <v>9</v>
      </c>
      <c r="F859" s="14">
        <v>15</v>
      </c>
      <c r="G859" s="16">
        <v>44853</v>
      </c>
      <c r="H859" s="7">
        <f t="shared" si="13"/>
        <v>0.25</v>
      </c>
      <c r="I85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859" s="24" t="str">
        <f>TEXT(Table1[[#This Row],[Date]],"mmm")</f>
        <v>Oct</v>
      </c>
    </row>
    <row r="860" spans="1:10" ht="15" customHeight="1">
      <c r="A860" s="14" t="s">
        <v>141</v>
      </c>
      <c r="B860" s="15" t="s">
        <v>142</v>
      </c>
      <c r="C860" s="15" t="s">
        <v>89</v>
      </c>
      <c r="D860" s="15" t="s">
        <v>69</v>
      </c>
      <c r="E860" s="15" t="s">
        <v>75</v>
      </c>
      <c r="F860" s="14">
        <v>400</v>
      </c>
      <c r="G860" s="16">
        <v>44853</v>
      </c>
      <c r="H860" s="7">
        <f t="shared" si="13"/>
        <v>6.666666666666667</v>
      </c>
      <c r="I86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860" s="24" t="str">
        <f>TEXT(Table1[[#This Row],[Date]],"mmm")</f>
        <v>Oct</v>
      </c>
    </row>
    <row r="861" spans="1:10" ht="15" customHeight="1">
      <c r="A861" s="14" t="s">
        <v>140</v>
      </c>
      <c r="B861" s="15" t="s">
        <v>159</v>
      </c>
      <c r="C861" s="15" t="s">
        <v>47</v>
      </c>
      <c r="D861" s="15" t="s">
        <v>8</v>
      </c>
      <c r="E861" s="15" t="s">
        <v>9</v>
      </c>
      <c r="F861" s="14">
        <v>30</v>
      </c>
      <c r="G861" s="16">
        <v>44853</v>
      </c>
      <c r="H861" s="7">
        <f t="shared" si="13"/>
        <v>0.5</v>
      </c>
      <c r="I86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861" s="24" t="str">
        <f>TEXT(Table1[[#This Row],[Date]],"mmm")</f>
        <v>Oct</v>
      </c>
    </row>
    <row r="862" spans="1:10" ht="15" customHeight="1">
      <c r="A862" s="14" t="s">
        <v>140</v>
      </c>
      <c r="B862" s="15" t="s">
        <v>10</v>
      </c>
      <c r="C862" s="15" t="s">
        <v>10</v>
      </c>
      <c r="D862" s="15" t="s">
        <v>8</v>
      </c>
      <c r="E862" s="15" t="s">
        <v>10</v>
      </c>
      <c r="F862" s="14">
        <v>20</v>
      </c>
      <c r="G862" s="16">
        <v>44853</v>
      </c>
      <c r="H862" s="7">
        <f t="shared" si="13"/>
        <v>0.33333333333333331</v>
      </c>
      <c r="I86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862" s="24" t="str">
        <f>TEXT(Table1[[#This Row],[Date]],"mmm")</f>
        <v>Oct</v>
      </c>
    </row>
    <row r="863" spans="1:10" ht="15" customHeight="1">
      <c r="A863" s="14" t="s">
        <v>140</v>
      </c>
      <c r="B863" s="15" t="s">
        <v>152</v>
      </c>
      <c r="C863" s="15" t="s">
        <v>153</v>
      </c>
      <c r="D863" s="15" t="s">
        <v>8</v>
      </c>
      <c r="E863" s="15" t="s">
        <v>12</v>
      </c>
      <c r="F863" s="14">
        <v>40</v>
      </c>
      <c r="G863" s="16">
        <v>44853</v>
      </c>
      <c r="H863" s="7">
        <f t="shared" si="13"/>
        <v>0.66666666666666663</v>
      </c>
      <c r="I86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863" s="24" t="str">
        <f>TEXT(Table1[[#This Row],[Date]],"mmm")</f>
        <v>Oct</v>
      </c>
    </row>
    <row r="864" spans="1:10" ht="15" customHeight="1">
      <c r="A864" s="14" t="s">
        <v>140</v>
      </c>
      <c r="B864" s="15" t="s">
        <v>160</v>
      </c>
      <c r="C864" s="15" t="s">
        <v>17</v>
      </c>
      <c r="D864" s="15" t="s">
        <v>13</v>
      </c>
      <c r="E864" s="15" t="s">
        <v>17</v>
      </c>
      <c r="F864" s="14">
        <v>45</v>
      </c>
      <c r="G864" s="16">
        <v>44853</v>
      </c>
      <c r="H864" s="7">
        <f t="shared" si="13"/>
        <v>0.75</v>
      </c>
      <c r="I86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864" s="24" t="str">
        <f>TEXT(Table1[[#This Row],[Date]],"mmm")</f>
        <v>Oct</v>
      </c>
    </row>
    <row r="865" spans="1:10" ht="15" customHeight="1">
      <c r="A865" s="14" t="s">
        <v>140</v>
      </c>
      <c r="B865" s="15" t="s">
        <v>159</v>
      </c>
      <c r="C865" s="15" t="s">
        <v>44</v>
      </c>
      <c r="D865" s="15" t="s">
        <v>8</v>
      </c>
      <c r="E865" s="15" t="s">
        <v>12</v>
      </c>
      <c r="F865" s="14">
        <v>110</v>
      </c>
      <c r="G865" s="16">
        <v>44853</v>
      </c>
      <c r="H865" s="7">
        <f t="shared" si="13"/>
        <v>1.8333333333333333</v>
      </c>
      <c r="I86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865" s="24" t="str">
        <f>TEXT(Table1[[#This Row],[Date]],"mmm")</f>
        <v>Oct</v>
      </c>
    </row>
    <row r="866" spans="1:10" ht="15" customHeight="1">
      <c r="A866" s="14" t="s">
        <v>140</v>
      </c>
      <c r="B866" s="15" t="s">
        <v>159</v>
      </c>
      <c r="C866" s="15" t="s">
        <v>15</v>
      </c>
      <c r="D866" s="15" t="s">
        <v>116</v>
      </c>
      <c r="E866" s="15" t="s">
        <v>9</v>
      </c>
      <c r="F866" s="14">
        <v>20</v>
      </c>
      <c r="G866" s="16">
        <v>44853</v>
      </c>
      <c r="H866" s="7">
        <f t="shared" si="13"/>
        <v>0.33333333333333331</v>
      </c>
      <c r="I86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866" s="24" t="str">
        <f>TEXT(Table1[[#This Row],[Date]],"mmm")</f>
        <v>Oct</v>
      </c>
    </row>
    <row r="867" spans="1:10" ht="15" customHeight="1">
      <c r="A867" s="14" t="s">
        <v>140</v>
      </c>
      <c r="B867" s="15" t="s">
        <v>159</v>
      </c>
      <c r="C867" s="15" t="s">
        <v>100</v>
      </c>
      <c r="D867" s="15" t="s">
        <v>116</v>
      </c>
      <c r="E867" s="15" t="s">
        <v>9</v>
      </c>
      <c r="F867" s="14">
        <v>25</v>
      </c>
      <c r="G867" s="16">
        <v>44853</v>
      </c>
      <c r="H867" s="7">
        <f t="shared" si="13"/>
        <v>0.41666666666666669</v>
      </c>
      <c r="I86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867" s="24" t="str">
        <f>TEXT(Table1[[#This Row],[Date]],"mmm")</f>
        <v>Oct</v>
      </c>
    </row>
    <row r="868" spans="1:10" ht="15" customHeight="1">
      <c r="A868" s="14" t="s">
        <v>140</v>
      </c>
      <c r="B868" s="15" t="s">
        <v>159</v>
      </c>
      <c r="C868" s="15" t="s">
        <v>161</v>
      </c>
      <c r="D868" s="15" t="s">
        <v>8</v>
      </c>
      <c r="E868" s="15" t="s">
        <v>9</v>
      </c>
      <c r="F868" s="14">
        <v>25</v>
      </c>
      <c r="G868" s="16">
        <v>44853</v>
      </c>
      <c r="H868" s="7">
        <f t="shared" si="13"/>
        <v>0.41666666666666669</v>
      </c>
      <c r="I86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868" s="24" t="str">
        <f>TEXT(Table1[[#This Row],[Date]],"mmm")</f>
        <v>Oct</v>
      </c>
    </row>
    <row r="869" spans="1:10" ht="15" customHeight="1">
      <c r="A869" s="14" t="s">
        <v>140</v>
      </c>
      <c r="B869" s="15" t="s">
        <v>159</v>
      </c>
      <c r="C869" s="15" t="s">
        <v>51</v>
      </c>
      <c r="D869" s="15" t="s">
        <v>8</v>
      </c>
      <c r="E869" s="15" t="s">
        <v>51</v>
      </c>
      <c r="F869" s="14">
        <v>25</v>
      </c>
      <c r="G869" s="16">
        <v>44853</v>
      </c>
      <c r="H869" s="7">
        <f t="shared" si="13"/>
        <v>0.41666666666666669</v>
      </c>
      <c r="I86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869" s="24" t="str">
        <f>TEXT(Table1[[#This Row],[Date]],"mmm")</f>
        <v>Oct</v>
      </c>
    </row>
    <row r="870" spans="1:10" ht="15" customHeight="1">
      <c r="A870" s="14" t="s">
        <v>140</v>
      </c>
      <c r="B870" s="15" t="s">
        <v>159</v>
      </c>
      <c r="C870" s="15" t="s">
        <v>17</v>
      </c>
      <c r="D870" s="15" t="s">
        <v>11</v>
      </c>
      <c r="E870" s="15" t="s">
        <v>17</v>
      </c>
      <c r="F870" s="14">
        <v>25</v>
      </c>
      <c r="G870" s="16">
        <v>44853</v>
      </c>
      <c r="H870" s="7">
        <f t="shared" si="13"/>
        <v>0.41666666666666669</v>
      </c>
      <c r="I87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870" s="24" t="str">
        <f>TEXT(Table1[[#This Row],[Date]],"mmm")</f>
        <v>Oct</v>
      </c>
    </row>
    <row r="871" spans="1:10" ht="15" customHeight="1">
      <c r="A871" s="14" t="s">
        <v>140</v>
      </c>
      <c r="B871" s="15" t="s">
        <v>159</v>
      </c>
      <c r="C871" s="15" t="s">
        <v>52</v>
      </c>
      <c r="D871" s="15" t="s">
        <v>11</v>
      </c>
      <c r="E871" s="15" t="s">
        <v>52</v>
      </c>
      <c r="F871" s="14">
        <v>20</v>
      </c>
      <c r="G871" s="16">
        <v>44853</v>
      </c>
      <c r="H871" s="7">
        <f t="shared" si="13"/>
        <v>0.33333333333333331</v>
      </c>
      <c r="I87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871" s="24" t="str">
        <f>TEXT(Table1[[#This Row],[Date]],"mmm")</f>
        <v>Oct</v>
      </c>
    </row>
    <row r="872" spans="1:10" ht="15" customHeight="1">
      <c r="A872" s="14" t="s">
        <v>140</v>
      </c>
      <c r="B872" s="15" t="s">
        <v>159</v>
      </c>
      <c r="C872" s="15" t="s">
        <v>103</v>
      </c>
      <c r="D872" s="15" t="s">
        <v>11</v>
      </c>
      <c r="E872" s="15" t="s">
        <v>103</v>
      </c>
      <c r="F872" s="14">
        <v>65</v>
      </c>
      <c r="G872" s="16">
        <v>44853</v>
      </c>
      <c r="H872" s="7">
        <f t="shared" si="13"/>
        <v>1.0833333333333333</v>
      </c>
      <c r="I87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872" s="24" t="str">
        <f>TEXT(Table1[[#This Row],[Date]],"mmm")</f>
        <v>Oct</v>
      </c>
    </row>
    <row r="873" spans="1:10" ht="15" customHeight="1">
      <c r="A873" s="14" t="s">
        <v>140</v>
      </c>
      <c r="B873" s="15" t="s">
        <v>150</v>
      </c>
      <c r="C873" s="15" t="s">
        <v>17</v>
      </c>
      <c r="D873" s="15" t="s">
        <v>11</v>
      </c>
      <c r="E873" s="15" t="s">
        <v>17</v>
      </c>
      <c r="F873" s="14">
        <v>45</v>
      </c>
      <c r="G873" s="16">
        <v>44853</v>
      </c>
      <c r="H873" s="7">
        <f t="shared" si="13"/>
        <v>0.75</v>
      </c>
      <c r="I87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873" s="24" t="str">
        <f>TEXT(Table1[[#This Row],[Date]],"mmm")</f>
        <v>Oct</v>
      </c>
    </row>
    <row r="874" spans="1:10" ht="15" customHeight="1">
      <c r="A874" s="14" t="s">
        <v>140</v>
      </c>
      <c r="B874" s="15" t="s">
        <v>144</v>
      </c>
      <c r="C874" s="15" t="s">
        <v>50</v>
      </c>
      <c r="D874" s="15" t="s">
        <v>11</v>
      </c>
      <c r="E874" s="15" t="s">
        <v>9</v>
      </c>
      <c r="F874" s="14">
        <v>20</v>
      </c>
      <c r="G874" s="16">
        <v>44853</v>
      </c>
      <c r="H874" s="7">
        <f t="shared" si="13"/>
        <v>0.33333333333333331</v>
      </c>
      <c r="I87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874" s="24" t="str">
        <f>TEXT(Table1[[#This Row],[Date]],"mmm")</f>
        <v>Oct</v>
      </c>
    </row>
    <row r="875" spans="1:10" ht="15" customHeight="1">
      <c r="A875" s="14" t="s">
        <v>141</v>
      </c>
      <c r="B875" s="15" t="s">
        <v>10</v>
      </c>
      <c r="C875" s="15" t="s">
        <v>10</v>
      </c>
      <c r="D875" s="15" t="s">
        <v>8</v>
      </c>
      <c r="E875" s="15" t="s">
        <v>10</v>
      </c>
      <c r="F875" s="14">
        <v>20</v>
      </c>
      <c r="G875" s="16">
        <v>44884</v>
      </c>
      <c r="H875" s="7">
        <f t="shared" si="13"/>
        <v>0.33333333333333331</v>
      </c>
      <c r="I87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875" s="24" t="str">
        <f>TEXT(Table1[[#This Row],[Date]],"mmm")</f>
        <v>Nov</v>
      </c>
    </row>
    <row r="876" spans="1:10" ht="15" customHeight="1">
      <c r="A876" s="14" t="s">
        <v>141</v>
      </c>
      <c r="B876" s="15" t="s">
        <v>36</v>
      </c>
      <c r="C876" s="15" t="s">
        <v>37</v>
      </c>
      <c r="D876" s="15" t="s">
        <v>8</v>
      </c>
      <c r="E876" s="15" t="s">
        <v>36</v>
      </c>
      <c r="F876" s="14">
        <v>60</v>
      </c>
      <c r="G876" s="16">
        <v>44884</v>
      </c>
      <c r="H876" s="7">
        <f t="shared" si="13"/>
        <v>1</v>
      </c>
      <c r="I87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876" s="24" t="str">
        <f>TEXT(Table1[[#This Row],[Date]],"mmm")</f>
        <v>Nov</v>
      </c>
    </row>
    <row r="877" spans="1:10" ht="15" customHeight="1">
      <c r="A877" s="14" t="s">
        <v>141</v>
      </c>
      <c r="B877" s="15" t="s">
        <v>157</v>
      </c>
      <c r="C877" s="15" t="s">
        <v>16</v>
      </c>
      <c r="D877" s="15" t="s">
        <v>8</v>
      </c>
      <c r="E877" s="15" t="s">
        <v>9</v>
      </c>
      <c r="F877" s="14">
        <v>30</v>
      </c>
      <c r="G877" s="16">
        <v>44884</v>
      </c>
      <c r="H877" s="7">
        <f t="shared" si="13"/>
        <v>0.5</v>
      </c>
      <c r="I87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877" s="24" t="str">
        <f>TEXT(Table1[[#This Row],[Date]],"mmm")</f>
        <v>Nov</v>
      </c>
    </row>
    <row r="878" spans="1:10" ht="15" customHeight="1">
      <c r="A878" s="14" t="s">
        <v>141</v>
      </c>
      <c r="B878" s="15" t="s">
        <v>142</v>
      </c>
      <c r="C878" s="15" t="s">
        <v>137</v>
      </c>
      <c r="D878" s="15" t="s">
        <v>8</v>
      </c>
      <c r="E878" s="15" t="s">
        <v>35</v>
      </c>
      <c r="F878" s="14">
        <v>120</v>
      </c>
      <c r="G878" s="16">
        <v>44884</v>
      </c>
      <c r="H878" s="7">
        <f t="shared" si="13"/>
        <v>2</v>
      </c>
      <c r="I87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878" s="24" t="str">
        <f>TEXT(Table1[[#This Row],[Date]],"mmm")</f>
        <v>Nov</v>
      </c>
    </row>
    <row r="879" spans="1:10" ht="15" customHeight="1">
      <c r="A879" s="14" t="s">
        <v>141</v>
      </c>
      <c r="B879" s="15" t="s">
        <v>157</v>
      </c>
      <c r="C879" s="15" t="s">
        <v>44</v>
      </c>
      <c r="D879" s="15" t="s">
        <v>8</v>
      </c>
      <c r="E879" s="15" t="s">
        <v>12</v>
      </c>
      <c r="F879" s="14">
        <v>90</v>
      </c>
      <c r="G879" s="16">
        <v>44884</v>
      </c>
      <c r="H879" s="7">
        <f t="shared" si="13"/>
        <v>1.5</v>
      </c>
      <c r="I87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879" s="24" t="str">
        <f>TEXT(Table1[[#This Row],[Date]],"mmm")</f>
        <v>Nov</v>
      </c>
    </row>
    <row r="880" spans="1:10" ht="15" customHeight="1">
      <c r="A880" s="14" t="s">
        <v>141</v>
      </c>
      <c r="B880" s="15" t="s">
        <v>158</v>
      </c>
      <c r="C880" s="15" t="s">
        <v>103</v>
      </c>
      <c r="D880" s="15" t="s">
        <v>8</v>
      </c>
      <c r="E880" s="15" t="s">
        <v>9</v>
      </c>
      <c r="F880" s="14">
        <v>50</v>
      </c>
      <c r="G880" s="16">
        <v>44884</v>
      </c>
      <c r="H880" s="7">
        <f t="shared" si="13"/>
        <v>0.83333333333333337</v>
      </c>
      <c r="I88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880" s="24" t="str">
        <f>TEXT(Table1[[#This Row],[Date]],"mmm")</f>
        <v>Nov</v>
      </c>
    </row>
    <row r="881" spans="1:10" ht="15" customHeight="1">
      <c r="A881" s="14" t="s">
        <v>141</v>
      </c>
      <c r="B881" s="15" t="s">
        <v>157</v>
      </c>
      <c r="C881" s="15" t="s">
        <v>17</v>
      </c>
      <c r="D881" s="15" t="s">
        <v>11</v>
      </c>
      <c r="E881" s="15" t="s">
        <v>17</v>
      </c>
      <c r="F881" s="14">
        <v>60</v>
      </c>
      <c r="G881" s="16">
        <v>44884</v>
      </c>
      <c r="H881" s="7">
        <f t="shared" si="13"/>
        <v>1</v>
      </c>
      <c r="I88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881" s="24" t="str">
        <f>TEXT(Table1[[#This Row],[Date]],"mmm")</f>
        <v>Nov</v>
      </c>
    </row>
    <row r="882" spans="1:10" ht="15" customHeight="1">
      <c r="A882" s="14" t="s">
        <v>141</v>
      </c>
      <c r="B882" s="15" t="s">
        <v>158</v>
      </c>
      <c r="C882" s="15" t="s">
        <v>6</v>
      </c>
      <c r="D882" s="15" t="s">
        <v>11</v>
      </c>
      <c r="E882" s="15" t="s">
        <v>6</v>
      </c>
      <c r="F882" s="14">
        <v>60</v>
      </c>
      <c r="G882" s="16">
        <v>44884</v>
      </c>
      <c r="H882" s="7">
        <f t="shared" si="13"/>
        <v>1</v>
      </c>
      <c r="I88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882" s="24" t="str">
        <f>TEXT(Table1[[#This Row],[Date]],"mmm")</f>
        <v>Nov</v>
      </c>
    </row>
    <row r="883" spans="1:10" ht="15" customHeight="1">
      <c r="A883" s="14" t="s">
        <v>141</v>
      </c>
      <c r="B883" s="15" t="s">
        <v>10</v>
      </c>
      <c r="C883" s="15" t="s">
        <v>10</v>
      </c>
      <c r="D883" s="15" t="s">
        <v>8</v>
      </c>
      <c r="E883" s="15" t="s">
        <v>10</v>
      </c>
      <c r="F883" s="14">
        <v>20</v>
      </c>
      <c r="G883" s="16">
        <v>44884</v>
      </c>
      <c r="H883" s="7">
        <f t="shared" si="13"/>
        <v>0.33333333333333331</v>
      </c>
      <c r="I88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883" s="24" t="str">
        <f>TEXT(Table1[[#This Row],[Date]],"mmm")</f>
        <v>Nov</v>
      </c>
    </row>
    <row r="884" spans="1:10" ht="15" customHeight="1">
      <c r="A884" s="14" t="s">
        <v>141</v>
      </c>
      <c r="B884" s="15" t="s">
        <v>36</v>
      </c>
      <c r="C884" s="15" t="s">
        <v>37</v>
      </c>
      <c r="D884" s="15" t="s">
        <v>8</v>
      </c>
      <c r="E884" s="15" t="s">
        <v>36</v>
      </c>
      <c r="F884" s="14">
        <v>60</v>
      </c>
      <c r="G884" s="16">
        <v>44884</v>
      </c>
      <c r="H884" s="7">
        <f t="shared" si="13"/>
        <v>1</v>
      </c>
      <c r="I88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884" s="24" t="str">
        <f>TEXT(Table1[[#This Row],[Date]],"mmm")</f>
        <v>Nov</v>
      </c>
    </row>
    <row r="885" spans="1:10" ht="15" customHeight="1">
      <c r="A885" s="14" t="s">
        <v>141</v>
      </c>
      <c r="B885" s="15" t="s">
        <v>157</v>
      </c>
      <c r="C885" s="15" t="s">
        <v>16</v>
      </c>
      <c r="D885" s="15" t="s">
        <v>8</v>
      </c>
      <c r="E885" s="15" t="s">
        <v>9</v>
      </c>
      <c r="F885" s="14">
        <v>30</v>
      </c>
      <c r="G885" s="16">
        <v>44884</v>
      </c>
      <c r="H885" s="7">
        <f t="shared" si="13"/>
        <v>0.5</v>
      </c>
      <c r="I88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885" s="24" t="str">
        <f>TEXT(Table1[[#This Row],[Date]],"mmm")</f>
        <v>Nov</v>
      </c>
    </row>
    <row r="886" spans="1:10" ht="15" customHeight="1">
      <c r="A886" s="14" t="s">
        <v>141</v>
      </c>
      <c r="B886" s="15" t="s">
        <v>142</v>
      </c>
      <c r="C886" s="15" t="s">
        <v>137</v>
      </c>
      <c r="D886" s="15" t="s">
        <v>8</v>
      </c>
      <c r="E886" s="15" t="s">
        <v>35</v>
      </c>
      <c r="F886" s="14">
        <v>120</v>
      </c>
      <c r="G886" s="16">
        <v>44884</v>
      </c>
      <c r="H886" s="7">
        <f t="shared" si="13"/>
        <v>2</v>
      </c>
      <c r="I88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886" s="24" t="str">
        <f>TEXT(Table1[[#This Row],[Date]],"mmm")</f>
        <v>Nov</v>
      </c>
    </row>
    <row r="887" spans="1:10" ht="15" customHeight="1">
      <c r="A887" s="14" t="s">
        <v>141</v>
      </c>
      <c r="B887" s="15" t="s">
        <v>157</v>
      </c>
      <c r="C887" s="15" t="s">
        <v>44</v>
      </c>
      <c r="D887" s="15" t="s">
        <v>8</v>
      </c>
      <c r="E887" s="15" t="s">
        <v>12</v>
      </c>
      <c r="F887" s="14">
        <v>90</v>
      </c>
      <c r="G887" s="16">
        <v>44884</v>
      </c>
      <c r="H887" s="7">
        <f t="shared" si="13"/>
        <v>1.5</v>
      </c>
      <c r="I88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887" s="24" t="str">
        <f>TEXT(Table1[[#This Row],[Date]],"mmm")</f>
        <v>Nov</v>
      </c>
    </row>
    <row r="888" spans="1:10" ht="15" customHeight="1">
      <c r="A888" s="14" t="s">
        <v>141</v>
      </c>
      <c r="B888" s="15" t="s">
        <v>158</v>
      </c>
      <c r="C888" s="15" t="s">
        <v>103</v>
      </c>
      <c r="D888" s="15" t="s">
        <v>8</v>
      </c>
      <c r="E888" s="15" t="s">
        <v>9</v>
      </c>
      <c r="F888" s="14">
        <v>50</v>
      </c>
      <c r="G888" s="16">
        <v>44884</v>
      </c>
      <c r="H888" s="7">
        <f t="shared" si="13"/>
        <v>0.83333333333333337</v>
      </c>
      <c r="I88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888" s="24" t="str">
        <f>TEXT(Table1[[#This Row],[Date]],"mmm")</f>
        <v>Nov</v>
      </c>
    </row>
    <row r="889" spans="1:10" ht="15" customHeight="1">
      <c r="A889" s="14" t="s">
        <v>141</v>
      </c>
      <c r="B889" s="15" t="s">
        <v>157</v>
      </c>
      <c r="C889" s="15" t="s">
        <v>17</v>
      </c>
      <c r="D889" s="15" t="s">
        <v>11</v>
      </c>
      <c r="E889" s="15" t="s">
        <v>17</v>
      </c>
      <c r="F889" s="14">
        <v>60</v>
      </c>
      <c r="G889" s="16">
        <v>44884</v>
      </c>
      <c r="H889" s="7">
        <f t="shared" si="13"/>
        <v>1</v>
      </c>
      <c r="I88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889" s="24" t="str">
        <f>TEXT(Table1[[#This Row],[Date]],"mmm")</f>
        <v>Nov</v>
      </c>
    </row>
    <row r="890" spans="1:10" ht="15" customHeight="1">
      <c r="A890" s="14" t="s">
        <v>141</v>
      </c>
      <c r="B890" s="15" t="s">
        <v>158</v>
      </c>
      <c r="C890" s="15" t="s">
        <v>6</v>
      </c>
      <c r="D890" s="15" t="s">
        <v>11</v>
      </c>
      <c r="E890" s="15" t="s">
        <v>6</v>
      </c>
      <c r="F890" s="14">
        <v>60</v>
      </c>
      <c r="G890" s="16">
        <v>44884</v>
      </c>
      <c r="H890" s="7">
        <f t="shared" si="13"/>
        <v>1</v>
      </c>
      <c r="I89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13-Nov-22 - to - 19-Nov-22</v>
      </c>
      <c r="J890" s="24" t="str">
        <f>TEXT(Table1[[#This Row],[Date]],"mmm")</f>
        <v>Nov</v>
      </c>
    </row>
    <row r="891" spans="1:10" ht="15" customHeight="1">
      <c r="A891" s="14" t="s">
        <v>141</v>
      </c>
      <c r="B891" s="15" t="s">
        <v>36</v>
      </c>
      <c r="C891" s="15" t="s">
        <v>37</v>
      </c>
      <c r="D891" s="15" t="s">
        <v>8</v>
      </c>
      <c r="E891" s="15" t="s">
        <v>36</v>
      </c>
      <c r="F891" s="14">
        <v>45</v>
      </c>
      <c r="G891" s="16">
        <v>44824</v>
      </c>
      <c r="H891" s="7">
        <f t="shared" si="13"/>
        <v>0.75</v>
      </c>
      <c r="I89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891" s="24" t="str">
        <f>TEXT(Table1[[#This Row],[Date]],"mmm")</f>
        <v>Sep</v>
      </c>
    </row>
    <row r="892" spans="1:10" ht="15" customHeight="1">
      <c r="A892" s="14" t="s">
        <v>141</v>
      </c>
      <c r="B892" s="15" t="s">
        <v>142</v>
      </c>
      <c r="C892" s="15" t="s">
        <v>137</v>
      </c>
      <c r="D892" s="15" t="s">
        <v>8</v>
      </c>
      <c r="E892" s="15" t="s">
        <v>35</v>
      </c>
      <c r="F892" s="14">
        <v>110</v>
      </c>
      <c r="G892" s="16">
        <v>44824</v>
      </c>
      <c r="H892" s="7">
        <f t="shared" si="13"/>
        <v>1.8333333333333333</v>
      </c>
      <c r="I89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892" s="24" t="str">
        <f>TEXT(Table1[[#This Row],[Date]],"mmm")</f>
        <v>Sep</v>
      </c>
    </row>
    <row r="893" spans="1:10" ht="15" customHeight="1">
      <c r="A893" s="14" t="s">
        <v>141</v>
      </c>
      <c r="B893" s="15" t="s">
        <v>157</v>
      </c>
      <c r="C893" s="15" t="s">
        <v>16</v>
      </c>
      <c r="D893" s="15" t="s">
        <v>8</v>
      </c>
      <c r="E893" s="15" t="s">
        <v>9</v>
      </c>
      <c r="F893" s="14">
        <v>45</v>
      </c>
      <c r="G893" s="16">
        <v>44824</v>
      </c>
      <c r="H893" s="7">
        <f t="shared" si="13"/>
        <v>0.75</v>
      </c>
      <c r="I89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893" s="24" t="str">
        <f>TEXT(Table1[[#This Row],[Date]],"mmm")</f>
        <v>Sep</v>
      </c>
    </row>
    <row r="894" spans="1:10" ht="15" customHeight="1">
      <c r="A894" s="14" t="s">
        <v>141</v>
      </c>
      <c r="B894" s="15" t="s">
        <v>96</v>
      </c>
      <c r="C894" s="15" t="s">
        <v>10</v>
      </c>
      <c r="D894" s="15" t="s">
        <v>8</v>
      </c>
      <c r="E894" s="15" t="s">
        <v>10</v>
      </c>
      <c r="F894" s="14">
        <v>20</v>
      </c>
      <c r="G894" s="16">
        <v>44824</v>
      </c>
      <c r="H894" s="7">
        <f t="shared" si="13"/>
        <v>0.33333333333333331</v>
      </c>
      <c r="I89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894" s="24" t="str">
        <f>TEXT(Table1[[#This Row],[Date]],"mmm")</f>
        <v>Sep</v>
      </c>
    </row>
    <row r="895" spans="1:10" ht="15" customHeight="1">
      <c r="A895" s="14" t="s">
        <v>141</v>
      </c>
      <c r="B895" s="15" t="s">
        <v>157</v>
      </c>
      <c r="C895" s="15" t="s">
        <v>44</v>
      </c>
      <c r="D895" s="15" t="s">
        <v>8</v>
      </c>
      <c r="E895" s="15" t="s">
        <v>12</v>
      </c>
      <c r="F895" s="14">
        <v>90</v>
      </c>
      <c r="G895" s="16">
        <v>44824</v>
      </c>
      <c r="H895" s="7">
        <f t="shared" si="13"/>
        <v>1.5</v>
      </c>
      <c r="I89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895" s="24" t="str">
        <f>TEXT(Table1[[#This Row],[Date]],"mmm")</f>
        <v>Sep</v>
      </c>
    </row>
    <row r="896" spans="1:10" ht="15" customHeight="1">
      <c r="A896" s="14" t="s">
        <v>141</v>
      </c>
      <c r="B896" s="15" t="s">
        <v>20</v>
      </c>
      <c r="C896" s="15" t="s">
        <v>20</v>
      </c>
      <c r="D896" s="15" t="s">
        <v>138</v>
      </c>
      <c r="E896" s="15" t="s">
        <v>20</v>
      </c>
      <c r="F896" s="14">
        <v>50</v>
      </c>
      <c r="G896" s="16">
        <v>44824</v>
      </c>
      <c r="H896" s="7">
        <f t="shared" si="13"/>
        <v>0.83333333333333337</v>
      </c>
      <c r="I89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896" s="24" t="str">
        <f>TEXT(Table1[[#This Row],[Date]],"mmm")</f>
        <v>Sep</v>
      </c>
    </row>
    <row r="897" spans="1:10" ht="15" customHeight="1">
      <c r="A897" s="14" t="s">
        <v>141</v>
      </c>
      <c r="B897" s="15" t="s">
        <v>157</v>
      </c>
      <c r="C897" s="15" t="s">
        <v>9</v>
      </c>
      <c r="D897" s="15" t="s">
        <v>11</v>
      </c>
      <c r="E897" s="15" t="s">
        <v>9</v>
      </c>
      <c r="F897" s="14">
        <v>60</v>
      </c>
      <c r="G897" s="16">
        <v>44824</v>
      </c>
      <c r="H897" s="7">
        <f t="shared" si="13"/>
        <v>1</v>
      </c>
      <c r="I89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897" s="24" t="str">
        <f>TEXT(Table1[[#This Row],[Date]],"mmm")</f>
        <v>Sep</v>
      </c>
    </row>
    <row r="898" spans="1:10" ht="15" customHeight="1">
      <c r="A898" s="14" t="s">
        <v>141</v>
      </c>
      <c r="B898" s="15" t="s">
        <v>157</v>
      </c>
      <c r="C898" s="15" t="s">
        <v>98</v>
      </c>
      <c r="D898" s="15" t="s">
        <v>13</v>
      </c>
      <c r="E898" s="15" t="s">
        <v>9</v>
      </c>
      <c r="F898" s="14">
        <v>60</v>
      </c>
      <c r="G898" s="16">
        <v>44824</v>
      </c>
      <c r="H898" s="7">
        <f t="shared" ref="H898:H961" si="14">IFERROR(IF(ISBLANK(F898)=TRUE(),"",F898/60),"")</f>
        <v>1</v>
      </c>
      <c r="I89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898" s="24" t="str">
        <f>TEXT(Table1[[#This Row],[Date]],"mmm")</f>
        <v>Sep</v>
      </c>
    </row>
    <row r="899" spans="1:10" ht="15" customHeight="1">
      <c r="A899" s="14" t="s">
        <v>141</v>
      </c>
      <c r="B899" s="15" t="s">
        <v>157</v>
      </c>
      <c r="C899" s="15" t="s">
        <v>17</v>
      </c>
      <c r="D899" s="15" t="s">
        <v>138</v>
      </c>
      <c r="E899" s="15" t="s">
        <v>17</v>
      </c>
      <c r="F899" s="14">
        <v>20</v>
      </c>
      <c r="G899" s="16">
        <v>44824</v>
      </c>
      <c r="H899" s="7">
        <f t="shared" si="14"/>
        <v>0.33333333333333331</v>
      </c>
      <c r="I89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899" s="24" t="str">
        <f>TEXT(Table1[[#This Row],[Date]],"mmm")</f>
        <v>Sep</v>
      </c>
    </row>
    <row r="900" spans="1:10" ht="15" customHeight="1">
      <c r="A900" s="14" t="s">
        <v>140</v>
      </c>
      <c r="B900" s="15" t="s">
        <v>159</v>
      </c>
      <c r="C900" s="15" t="s">
        <v>17</v>
      </c>
      <c r="D900" s="15" t="s">
        <v>11</v>
      </c>
      <c r="E900" s="15" t="s">
        <v>17</v>
      </c>
      <c r="F900" s="14">
        <v>30</v>
      </c>
      <c r="G900" s="16">
        <v>44824</v>
      </c>
      <c r="H900" s="7">
        <f t="shared" si="14"/>
        <v>0.5</v>
      </c>
      <c r="I90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900" s="24" t="str">
        <f>TEXT(Table1[[#This Row],[Date]],"mmm")</f>
        <v>Sep</v>
      </c>
    </row>
    <row r="901" spans="1:10" ht="15" customHeight="1">
      <c r="A901" s="14" t="s">
        <v>140</v>
      </c>
      <c r="B901" s="15" t="s">
        <v>159</v>
      </c>
      <c r="C901" s="15" t="s">
        <v>161</v>
      </c>
      <c r="D901" s="15" t="s">
        <v>8</v>
      </c>
      <c r="E901" s="15" t="s">
        <v>175</v>
      </c>
      <c r="F901" s="14">
        <v>80</v>
      </c>
      <c r="G901" s="16">
        <v>44824</v>
      </c>
      <c r="H901" s="7">
        <f t="shared" si="14"/>
        <v>1.3333333333333333</v>
      </c>
      <c r="I90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901" s="24" t="str">
        <f>TEXT(Table1[[#This Row],[Date]],"mmm")</f>
        <v>Sep</v>
      </c>
    </row>
    <row r="902" spans="1:10" ht="15" customHeight="1">
      <c r="A902" s="14" t="s">
        <v>140</v>
      </c>
      <c r="B902" s="15" t="s">
        <v>159</v>
      </c>
      <c r="C902" s="15" t="s">
        <v>54</v>
      </c>
      <c r="D902" s="15" t="s">
        <v>13</v>
      </c>
      <c r="E902" s="15" t="s">
        <v>72</v>
      </c>
      <c r="F902" s="14">
        <v>30</v>
      </c>
      <c r="G902" s="16">
        <v>44824</v>
      </c>
      <c r="H902" s="7">
        <f t="shared" si="14"/>
        <v>0.5</v>
      </c>
      <c r="I90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902" s="24" t="str">
        <f>TEXT(Table1[[#This Row],[Date]],"mmm")</f>
        <v>Sep</v>
      </c>
    </row>
    <row r="903" spans="1:10" ht="15" customHeight="1">
      <c r="A903" s="14" t="s">
        <v>140</v>
      </c>
      <c r="B903" s="15" t="s">
        <v>144</v>
      </c>
      <c r="C903" s="15" t="s">
        <v>17</v>
      </c>
      <c r="D903" s="15" t="s">
        <v>11</v>
      </c>
      <c r="E903" s="15" t="s">
        <v>17</v>
      </c>
      <c r="F903" s="14">
        <v>35</v>
      </c>
      <c r="G903" s="16">
        <v>44824</v>
      </c>
      <c r="H903" s="7">
        <f t="shared" si="14"/>
        <v>0.58333333333333337</v>
      </c>
      <c r="I90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903" s="24" t="str">
        <f>TEXT(Table1[[#This Row],[Date]],"mmm")</f>
        <v>Sep</v>
      </c>
    </row>
    <row r="904" spans="1:10" ht="15" customHeight="1">
      <c r="A904" s="14" t="s">
        <v>140</v>
      </c>
      <c r="B904" s="15" t="s">
        <v>10</v>
      </c>
      <c r="C904" s="15" t="s">
        <v>10</v>
      </c>
      <c r="D904" s="15" t="s">
        <v>8</v>
      </c>
      <c r="E904" s="15" t="s">
        <v>10</v>
      </c>
      <c r="F904" s="14">
        <v>20</v>
      </c>
      <c r="G904" s="16">
        <v>44824</v>
      </c>
      <c r="H904" s="7">
        <f t="shared" si="14"/>
        <v>0.33333333333333331</v>
      </c>
      <c r="I90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904" s="24" t="str">
        <f>TEXT(Table1[[#This Row],[Date]],"mmm")</f>
        <v>Sep</v>
      </c>
    </row>
    <row r="905" spans="1:10" ht="15" customHeight="1">
      <c r="A905" s="14" t="s">
        <v>140</v>
      </c>
      <c r="B905" s="15" t="s">
        <v>159</v>
      </c>
      <c r="C905" s="15" t="s">
        <v>15</v>
      </c>
      <c r="D905" s="15" t="s">
        <v>11</v>
      </c>
      <c r="E905" s="15" t="s">
        <v>9</v>
      </c>
      <c r="F905" s="14">
        <v>30</v>
      </c>
      <c r="G905" s="16">
        <v>44824</v>
      </c>
      <c r="H905" s="7">
        <f t="shared" si="14"/>
        <v>0.5</v>
      </c>
      <c r="I90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905" s="24" t="str">
        <f>TEXT(Table1[[#This Row],[Date]],"mmm")</f>
        <v>Sep</v>
      </c>
    </row>
    <row r="906" spans="1:10" ht="15" customHeight="1">
      <c r="A906" s="14" t="s">
        <v>140</v>
      </c>
      <c r="B906" s="15" t="s">
        <v>154</v>
      </c>
      <c r="C906" s="15" t="s">
        <v>15</v>
      </c>
      <c r="D906" s="15" t="s">
        <v>11</v>
      </c>
      <c r="E906" s="15" t="s">
        <v>9</v>
      </c>
      <c r="F906" s="14">
        <v>30</v>
      </c>
      <c r="G906" s="16">
        <v>44824</v>
      </c>
      <c r="H906" s="7">
        <f t="shared" si="14"/>
        <v>0.5</v>
      </c>
      <c r="I90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906" s="24" t="str">
        <f>TEXT(Table1[[#This Row],[Date]],"mmm")</f>
        <v>Sep</v>
      </c>
    </row>
    <row r="907" spans="1:10" ht="15" customHeight="1">
      <c r="A907" s="14" t="s">
        <v>140</v>
      </c>
      <c r="B907" s="15" t="s">
        <v>154</v>
      </c>
      <c r="C907" s="15" t="s">
        <v>17</v>
      </c>
      <c r="D907" s="15" t="s">
        <v>11</v>
      </c>
      <c r="E907" s="15" t="s">
        <v>17</v>
      </c>
      <c r="F907" s="14">
        <v>40</v>
      </c>
      <c r="G907" s="16">
        <v>44824</v>
      </c>
      <c r="H907" s="7">
        <f t="shared" si="14"/>
        <v>0.66666666666666663</v>
      </c>
      <c r="I90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907" s="24" t="str">
        <f>TEXT(Table1[[#This Row],[Date]],"mmm")</f>
        <v>Sep</v>
      </c>
    </row>
    <row r="908" spans="1:10" ht="15" customHeight="1">
      <c r="A908" s="14" t="s">
        <v>140</v>
      </c>
      <c r="B908" s="15" t="s">
        <v>159</v>
      </c>
      <c r="C908" s="15" t="s">
        <v>44</v>
      </c>
      <c r="D908" s="15" t="s">
        <v>8</v>
      </c>
      <c r="E908" s="15" t="s">
        <v>12</v>
      </c>
      <c r="F908" s="14">
        <v>95</v>
      </c>
      <c r="G908" s="16">
        <v>44824</v>
      </c>
      <c r="H908" s="7">
        <f t="shared" si="14"/>
        <v>1.5833333333333333</v>
      </c>
      <c r="I90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908" s="24" t="str">
        <f>TEXT(Table1[[#This Row],[Date]],"mmm")</f>
        <v>Sep</v>
      </c>
    </row>
    <row r="909" spans="1:10" ht="15" customHeight="1">
      <c r="A909" s="14" t="s">
        <v>140</v>
      </c>
      <c r="B909" s="15" t="s">
        <v>159</v>
      </c>
      <c r="C909" s="15" t="s">
        <v>38</v>
      </c>
      <c r="D909" s="15" t="s">
        <v>8</v>
      </c>
      <c r="E909" s="15" t="s">
        <v>38</v>
      </c>
      <c r="F909" s="14">
        <v>35</v>
      </c>
      <c r="G909" s="16">
        <v>44824</v>
      </c>
      <c r="H909" s="7">
        <f t="shared" si="14"/>
        <v>0.58333333333333337</v>
      </c>
      <c r="I90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909" s="24" t="str">
        <f>TEXT(Table1[[#This Row],[Date]],"mmm")</f>
        <v>Sep</v>
      </c>
    </row>
    <row r="910" spans="1:10" ht="15" customHeight="1">
      <c r="A910" s="14" t="s">
        <v>140</v>
      </c>
      <c r="B910" s="15" t="s">
        <v>20</v>
      </c>
      <c r="C910" s="15" t="s">
        <v>166</v>
      </c>
      <c r="D910" s="15" t="s">
        <v>13</v>
      </c>
      <c r="E910" s="15" t="s">
        <v>166</v>
      </c>
      <c r="F910" s="14">
        <v>50</v>
      </c>
      <c r="G910" s="16">
        <v>44824</v>
      </c>
      <c r="H910" s="7">
        <f t="shared" si="14"/>
        <v>0.83333333333333337</v>
      </c>
      <c r="I91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910" s="24" t="str">
        <f>TEXT(Table1[[#This Row],[Date]],"mmm")</f>
        <v>Sep</v>
      </c>
    </row>
    <row r="911" spans="1:10" ht="15" customHeight="1">
      <c r="A911" s="14" t="s">
        <v>140</v>
      </c>
      <c r="B911" s="15" t="s">
        <v>154</v>
      </c>
      <c r="C911" s="15" t="s">
        <v>38</v>
      </c>
      <c r="D911" s="15" t="s">
        <v>11</v>
      </c>
      <c r="E911" s="15" t="s">
        <v>38</v>
      </c>
      <c r="F911" s="14">
        <v>35</v>
      </c>
      <c r="G911" s="16">
        <v>44824</v>
      </c>
      <c r="H911" s="7">
        <f t="shared" si="14"/>
        <v>0.58333333333333337</v>
      </c>
      <c r="I91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911" s="24" t="str">
        <f>TEXT(Table1[[#This Row],[Date]],"mmm")</f>
        <v>Sep</v>
      </c>
    </row>
    <row r="912" spans="1:10" ht="15" customHeight="1">
      <c r="A912" s="14" t="s">
        <v>141</v>
      </c>
      <c r="B912" s="15" t="s">
        <v>10</v>
      </c>
      <c r="C912" s="15" t="s">
        <v>10</v>
      </c>
      <c r="D912" s="15" t="s">
        <v>8</v>
      </c>
      <c r="E912" s="15" t="s">
        <v>10</v>
      </c>
      <c r="F912" s="14">
        <v>20</v>
      </c>
      <c r="G912" s="16">
        <v>44854</v>
      </c>
      <c r="H912" s="7">
        <f t="shared" si="14"/>
        <v>0.33333333333333331</v>
      </c>
      <c r="I91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912" s="24" t="str">
        <f>TEXT(Table1[[#This Row],[Date]],"mmm")</f>
        <v>Oct</v>
      </c>
    </row>
    <row r="913" spans="1:10" ht="15" customHeight="1">
      <c r="A913" s="14" t="s">
        <v>141</v>
      </c>
      <c r="B913" s="15" t="s">
        <v>36</v>
      </c>
      <c r="C913" s="15" t="s">
        <v>37</v>
      </c>
      <c r="D913" s="15" t="s">
        <v>8</v>
      </c>
      <c r="E913" s="15" t="s">
        <v>36</v>
      </c>
      <c r="F913" s="14">
        <v>60</v>
      </c>
      <c r="G913" s="16">
        <v>44854</v>
      </c>
      <c r="H913" s="7">
        <f t="shared" si="14"/>
        <v>1</v>
      </c>
      <c r="I91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913" s="24" t="str">
        <f>TEXT(Table1[[#This Row],[Date]],"mmm")</f>
        <v>Oct</v>
      </c>
    </row>
    <row r="914" spans="1:10" ht="15" customHeight="1">
      <c r="A914" s="14" t="s">
        <v>141</v>
      </c>
      <c r="B914" s="15" t="s">
        <v>157</v>
      </c>
      <c r="C914" s="15" t="s">
        <v>16</v>
      </c>
      <c r="D914" s="15" t="s">
        <v>8</v>
      </c>
      <c r="E914" s="15" t="s">
        <v>9</v>
      </c>
      <c r="F914" s="14">
        <v>30</v>
      </c>
      <c r="G914" s="16">
        <v>44854</v>
      </c>
      <c r="H914" s="7">
        <f t="shared" si="14"/>
        <v>0.5</v>
      </c>
      <c r="I91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914" s="24" t="str">
        <f>TEXT(Table1[[#This Row],[Date]],"mmm")</f>
        <v>Oct</v>
      </c>
    </row>
    <row r="915" spans="1:10" ht="15" customHeight="1">
      <c r="A915" s="14" t="s">
        <v>141</v>
      </c>
      <c r="B915" s="15" t="s">
        <v>142</v>
      </c>
      <c r="C915" s="15" t="s">
        <v>89</v>
      </c>
      <c r="D915" s="15" t="s">
        <v>69</v>
      </c>
      <c r="E915" s="15" t="s">
        <v>75</v>
      </c>
      <c r="F915" s="14">
        <v>400</v>
      </c>
      <c r="G915" s="16">
        <v>44854</v>
      </c>
      <c r="H915" s="7">
        <f t="shared" si="14"/>
        <v>6.666666666666667</v>
      </c>
      <c r="I91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915" s="24" t="str">
        <f>TEXT(Table1[[#This Row],[Date]],"mmm")</f>
        <v>Oct</v>
      </c>
    </row>
    <row r="916" spans="1:10" ht="15" customHeight="1">
      <c r="A916" s="14" t="s">
        <v>141</v>
      </c>
      <c r="B916" s="15" t="s">
        <v>10</v>
      </c>
      <c r="C916" s="15" t="s">
        <v>10</v>
      </c>
      <c r="D916" s="15" t="s">
        <v>8</v>
      </c>
      <c r="E916" s="15" t="s">
        <v>10</v>
      </c>
      <c r="F916" s="14">
        <v>20</v>
      </c>
      <c r="G916" s="16">
        <v>44854</v>
      </c>
      <c r="H916" s="7">
        <f t="shared" si="14"/>
        <v>0.33333333333333331</v>
      </c>
      <c r="I91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916" s="24" t="str">
        <f>TEXT(Table1[[#This Row],[Date]],"mmm")</f>
        <v>Oct</v>
      </c>
    </row>
    <row r="917" spans="1:10" ht="15" customHeight="1">
      <c r="A917" s="14" t="s">
        <v>141</v>
      </c>
      <c r="B917" s="15" t="s">
        <v>36</v>
      </c>
      <c r="C917" s="15" t="s">
        <v>37</v>
      </c>
      <c r="D917" s="15" t="s">
        <v>8</v>
      </c>
      <c r="E917" s="15" t="s">
        <v>36</v>
      </c>
      <c r="F917" s="14">
        <v>30</v>
      </c>
      <c r="G917" s="16">
        <v>44854</v>
      </c>
      <c r="H917" s="7">
        <f t="shared" si="14"/>
        <v>0.5</v>
      </c>
      <c r="I91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917" s="24" t="str">
        <f>TEXT(Table1[[#This Row],[Date]],"mmm")</f>
        <v>Oct</v>
      </c>
    </row>
    <row r="918" spans="1:10" ht="15" customHeight="1">
      <c r="A918" s="14" t="s">
        <v>141</v>
      </c>
      <c r="B918" s="15" t="s">
        <v>157</v>
      </c>
      <c r="C918" s="15" t="s">
        <v>16</v>
      </c>
      <c r="D918" s="15" t="s">
        <v>8</v>
      </c>
      <c r="E918" s="15" t="s">
        <v>9</v>
      </c>
      <c r="F918" s="14">
        <v>15</v>
      </c>
      <c r="G918" s="16">
        <v>44854</v>
      </c>
      <c r="H918" s="7">
        <f t="shared" si="14"/>
        <v>0.25</v>
      </c>
      <c r="I91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918" s="24" t="str">
        <f>TEXT(Table1[[#This Row],[Date]],"mmm")</f>
        <v>Oct</v>
      </c>
    </row>
    <row r="919" spans="1:10" ht="15" customHeight="1">
      <c r="A919" s="14" t="s">
        <v>141</v>
      </c>
      <c r="B919" s="15" t="s">
        <v>142</v>
      </c>
      <c r="C919" s="15" t="s">
        <v>89</v>
      </c>
      <c r="D919" s="15" t="s">
        <v>69</v>
      </c>
      <c r="E919" s="15" t="s">
        <v>75</v>
      </c>
      <c r="F919" s="14">
        <v>450</v>
      </c>
      <c r="G919" s="16">
        <v>44854</v>
      </c>
      <c r="H919" s="7">
        <f t="shared" si="14"/>
        <v>7.5</v>
      </c>
      <c r="I91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919" s="24" t="str">
        <f>TEXT(Table1[[#This Row],[Date]],"mmm")</f>
        <v>Oct</v>
      </c>
    </row>
    <row r="920" spans="1:10" ht="15" customHeight="1">
      <c r="A920" s="14" t="s">
        <v>140</v>
      </c>
      <c r="B920" s="15" t="s">
        <v>10</v>
      </c>
      <c r="C920" s="15" t="s">
        <v>10</v>
      </c>
      <c r="D920" s="15" t="s">
        <v>8</v>
      </c>
      <c r="E920" s="15" t="s">
        <v>10</v>
      </c>
      <c r="F920" s="14">
        <v>20</v>
      </c>
      <c r="G920" s="16">
        <v>44854</v>
      </c>
      <c r="H920" s="7">
        <f t="shared" si="14"/>
        <v>0.33333333333333331</v>
      </c>
      <c r="I92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920" s="24" t="str">
        <f>TEXT(Table1[[#This Row],[Date]],"mmm")</f>
        <v>Oct</v>
      </c>
    </row>
    <row r="921" spans="1:10" ht="15" customHeight="1">
      <c r="A921" s="14" t="s">
        <v>140</v>
      </c>
      <c r="B921" s="15" t="s">
        <v>152</v>
      </c>
      <c r="C921" s="15" t="s">
        <v>153</v>
      </c>
      <c r="D921" s="15" t="s">
        <v>8</v>
      </c>
      <c r="E921" s="15" t="s">
        <v>12</v>
      </c>
      <c r="F921" s="14">
        <v>25</v>
      </c>
      <c r="G921" s="16">
        <v>44854</v>
      </c>
      <c r="H921" s="7">
        <f t="shared" si="14"/>
        <v>0.41666666666666669</v>
      </c>
      <c r="I92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921" s="24" t="str">
        <f>TEXT(Table1[[#This Row],[Date]],"mmm")</f>
        <v>Oct</v>
      </c>
    </row>
    <row r="922" spans="1:10" ht="15" customHeight="1">
      <c r="A922" s="14" t="s">
        <v>140</v>
      </c>
      <c r="B922" s="15" t="s">
        <v>159</v>
      </c>
      <c r="C922" s="15" t="s">
        <v>17</v>
      </c>
      <c r="D922" s="15" t="s">
        <v>11</v>
      </c>
      <c r="E922" s="15" t="s">
        <v>17</v>
      </c>
      <c r="F922" s="14">
        <v>20</v>
      </c>
      <c r="G922" s="16">
        <v>44854</v>
      </c>
      <c r="H922" s="7">
        <f t="shared" si="14"/>
        <v>0.33333333333333331</v>
      </c>
      <c r="I92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922" s="24" t="str">
        <f>TEXT(Table1[[#This Row],[Date]],"mmm")</f>
        <v>Oct</v>
      </c>
    </row>
    <row r="923" spans="1:10" ht="15" customHeight="1">
      <c r="A923" s="14" t="s">
        <v>140</v>
      </c>
      <c r="B923" s="15" t="s">
        <v>159</v>
      </c>
      <c r="C923" s="15" t="s">
        <v>44</v>
      </c>
      <c r="D923" s="15" t="s">
        <v>8</v>
      </c>
      <c r="E923" s="15" t="s">
        <v>12</v>
      </c>
      <c r="F923" s="14">
        <v>110</v>
      </c>
      <c r="G923" s="16">
        <v>44854</v>
      </c>
      <c r="H923" s="7">
        <f t="shared" si="14"/>
        <v>1.8333333333333333</v>
      </c>
      <c r="I92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923" s="24" t="str">
        <f>TEXT(Table1[[#This Row],[Date]],"mmm")</f>
        <v>Oct</v>
      </c>
    </row>
    <row r="924" spans="1:10" ht="15" customHeight="1">
      <c r="A924" s="14" t="s">
        <v>140</v>
      </c>
      <c r="B924" s="15" t="s">
        <v>159</v>
      </c>
      <c r="C924" s="15" t="s">
        <v>48</v>
      </c>
      <c r="D924" s="15" t="s">
        <v>11</v>
      </c>
      <c r="E924" s="15" t="s">
        <v>88</v>
      </c>
      <c r="F924" s="14">
        <v>20</v>
      </c>
      <c r="G924" s="16">
        <v>44854</v>
      </c>
      <c r="H924" s="7">
        <f t="shared" si="14"/>
        <v>0.33333333333333331</v>
      </c>
      <c r="I92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924" s="24" t="str">
        <f>TEXT(Table1[[#This Row],[Date]],"mmm")</f>
        <v>Oct</v>
      </c>
    </row>
    <row r="925" spans="1:10" ht="15" customHeight="1">
      <c r="A925" s="14" t="s">
        <v>140</v>
      </c>
      <c r="B925" s="15" t="s">
        <v>159</v>
      </c>
      <c r="C925" s="15" t="s">
        <v>51</v>
      </c>
      <c r="D925" s="15" t="s">
        <v>8</v>
      </c>
      <c r="E925" s="15" t="s">
        <v>19</v>
      </c>
      <c r="F925" s="14">
        <v>25</v>
      </c>
      <c r="G925" s="16">
        <v>44854</v>
      </c>
      <c r="H925" s="7">
        <f t="shared" si="14"/>
        <v>0.41666666666666669</v>
      </c>
      <c r="I92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925" s="24" t="str">
        <f>TEXT(Table1[[#This Row],[Date]],"mmm")</f>
        <v>Oct</v>
      </c>
    </row>
    <row r="926" spans="1:10" ht="15" customHeight="1">
      <c r="A926" s="14" t="s">
        <v>140</v>
      </c>
      <c r="B926" s="15" t="s">
        <v>159</v>
      </c>
      <c r="C926" s="15" t="s">
        <v>161</v>
      </c>
      <c r="D926" s="15" t="s">
        <v>11</v>
      </c>
      <c r="E926" s="15" t="s">
        <v>9</v>
      </c>
      <c r="F926" s="14">
        <v>25</v>
      </c>
      <c r="G926" s="16">
        <v>44854</v>
      </c>
      <c r="H926" s="7">
        <f t="shared" si="14"/>
        <v>0.41666666666666669</v>
      </c>
      <c r="I92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926" s="24" t="str">
        <f>TEXT(Table1[[#This Row],[Date]],"mmm")</f>
        <v>Oct</v>
      </c>
    </row>
    <row r="927" spans="1:10" ht="15" customHeight="1">
      <c r="A927" s="14" t="s">
        <v>140</v>
      </c>
      <c r="B927" s="15" t="s">
        <v>159</v>
      </c>
      <c r="C927" s="15" t="s">
        <v>15</v>
      </c>
      <c r="D927" s="15" t="s">
        <v>8</v>
      </c>
      <c r="E927" s="15" t="s">
        <v>9</v>
      </c>
      <c r="F927" s="14">
        <v>25</v>
      </c>
      <c r="G927" s="16">
        <v>44854</v>
      </c>
      <c r="H927" s="7">
        <f t="shared" si="14"/>
        <v>0.41666666666666669</v>
      </c>
      <c r="I92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927" s="24" t="str">
        <f>TEXT(Table1[[#This Row],[Date]],"mmm")</f>
        <v>Oct</v>
      </c>
    </row>
    <row r="928" spans="1:10" ht="15" customHeight="1">
      <c r="A928" s="14" t="s">
        <v>140</v>
      </c>
      <c r="B928" s="15" t="s">
        <v>160</v>
      </c>
      <c r="C928" s="15" t="s">
        <v>17</v>
      </c>
      <c r="D928" s="15" t="s">
        <v>11</v>
      </c>
      <c r="E928" s="15" t="s">
        <v>9</v>
      </c>
      <c r="F928" s="14">
        <v>65</v>
      </c>
      <c r="G928" s="16">
        <v>44854</v>
      </c>
      <c r="H928" s="7">
        <f t="shared" si="14"/>
        <v>1.0833333333333333</v>
      </c>
      <c r="I92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928" s="24" t="str">
        <f>TEXT(Table1[[#This Row],[Date]],"mmm")</f>
        <v>Oct</v>
      </c>
    </row>
    <row r="929" spans="1:10" ht="15" customHeight="1">
      <c r="A929" s="14" t="s">
        <v>140</v>
      </c>
      <c r="B929" s="15" t="s">
        <v>154</v>
      </c>
      <c r="C929" s="15" t="s">
        <v>117</v>
      </c>
      <c r="D929" s="15" t="s">
        <v>11</v>
      </c>
      <c r="E929" s="15" t="s">
        <v>9</v>
      </c>
      <c r="F929" s="14">
        <v>45</v>
      </c>
      <c r="G929" s="16">
        <v>44854</v>
      </c>
      <c r="H929" s="7">
        <f t="shared" si="14"/>
        <v>0.75</v>
      </c>
      <c r="I92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929" s="24" t="str">
        <f>TEXT(Table1[[#This Row],[Date]],"mmm")</f>
        <v>Oct</v>
      </c>
    </row>
    <row r="930" spans="1:10" ht="15" customHeight="1">
      <c r="A930" s="14" t="s">
        <v>140</v>
      </c>
      <c r="B930" s="15" t="s">
        <v>160</v>
      </c>
      <c r="C930" s="15" t="s">
        <v>118</v>
      </c>
      <c r="D930" s="15" t="s">
        <v>11</v>
      </c>
      <c r="E930" s="15" t="s">
        <v>9</v>
      </c>
      <c r="F930" s="14">
        <v>20</v>
      </c>
      <c r="G930" s="16">
        <v>44854</v>
      </c>
      <c r="H930" s="7">
        <f t="shared" si="14"/>
        <v>0.33333333333333331</v>
      </c>
      <c r="I93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930" s="24" t="str">
        <f>TEXT(Table1[[#This Row],[Date]],"mmm")</f>
        <v>Oct</v>
      </c>
    </row>
    <row r="931" spans="1:10" ht="15" customHeight="1">
      <c r="A931" s="14" t="s">
        <v>140</v>
      </c>
      <c r="B931" s="15" t="s">
        <v>160</v>
      </c>
      <c r="C931" s="15" t="s">
        <v>17</v>
      </c>
      <c r="D931" s="15" t="s">
        <v>11</v>
      </c>
      <c r="E931" s="15" t="s">
        <v>9</v>
      </c>
      <c r="F931" s="14">
        <v>20</v>
      </c>
      <c r="G931" s="16">
        <v>44854</v>
      </c>
      <c r="H931" s="7">
        <f t="shared" si="14"/>
        <v>0.33333333333333331</v>
      </c>
      <c r="I93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931" s="24" t="str">
        <f>TEXT(Table1[[#This Row],[Date]],"mmm")</f>
        <v>Oct</v>
      </c>
    </row>
    <row r="932" spans="1:10" ht="15" customHeight="1">
      <c r="A932" s="14" t="s">
        <v>140</v>
      </c>
      <c r="B932" s="15" t="s">
        <v>6</v>
      </c>
      <c r="C932" s="15" t="s">
        <v>47</v>
      </c>
      <c r="D932" s="15" t="s">
        <v>8</v>
      </c>
      <c r="E932" s="15" t="s">
        <v>9</v>
      </c>
      <c r="F932" s="14">
        <v>30</v>
      </c>
      <c r="G932" s="16">
        <v>44854</v>
      </c>
      <c r="H932" s="7">
        <f t="shared" si="14"/>
        <v>0.5</v>
      </c>
      <c r="I93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932" s="24" t="str">
        <f>TEXT(Table1[[#This Row],[Date]],"mmm")</f>
        <v>Oct</v>
      </c>
    </row>
    <row r="933" spans="1:10" ht="15" customHeight="1">
      <c r="A933" s="14" t="s">
        <v>140</v>
      </c>
      <c r="B933" s="15" t="s">
        <v>6</v>
      </c>
      <c r="C933" s="15" t="s">
        <v>52</v>
      </c>
      <c r="D933" s="15" t="s">
        <v>11</v>
      </c>
      <c r="E933" s="15" t="s">
        <v>52</v>
      </c>
      <c r="F933" s="14">
        <v>20</v>
      </c>
      <c r="G933" s="16">
        <v>44854</v>
      </c>
      <c r="H933" s="7">
        <f t="shared" si="14"/>
        <v>0.33333333333333331</v>
      </c>
      <c r="I93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933" s="24" t="str">
        <f>TEXT(Table1[[#This Row],[Date]],"mmm")</f>
        <v>Oct</v>
      </c>
    </row>
    <row r="934" spans="1:10" ht="15" customHeight="1">
      <c r="A934" s="14" t="s">
        <v>140</v>
      </c>
      <c r="B934" s="15" t="s">
        <v>6</v>
      </c>
      <c r="C934" s="15" t="s">
        <v>103</v>
      </c>
      <c r="D934" s="15" t="s">
        <v>11</v>
      </c>
      <c r="E934" s="15" t="s">
        <v>103</v>
      </c>
      <c r="F934" s="14">
        <v>20</v>
      </c>
      <c r="G934" s="16">
        <v>44854</v>
      </c>
      <c r="H934" s="7">
        <f t="shared" si="14"/>
        <v>0.33333333333333331</v>
      </c>
      <c r="I93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934" s="24" t="str">
        <f>TEXT(Table1[[#This Row],[Date]],"mmm")</f>
        <v>Oct</v>
      </c>
    </row>
    <row r="935" spans="1:10" ht="15" customHeight="1">
      <c r="A935" s="14" t="s">
        <v>141</v>
      </c>
      <c r="B935" s="15" t="s">
        <v>36</v>
      </c>
      <c r="C935" s="15" t="s">
        <v>37</v>
      </c>
      <c r="D935" s="15" t="s">
        <v>8</v>
      </c>
      <c r="E935" s="15" t="s">
        <v>36</v>
      </c>
      <c r="F935" s="14">
        <v>60</v>
      </c>
      <c r="G935" s="16">
        <v>44825</v>
      </c>
      <c r="H935" s="7">
        <f t="shared" si="14"/>
        <v>1</v>
      </c>
      <c r="I93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935" s="24" t="str">
        <f>TEXT(Table1[[#This Row],[Date]],"mmm")</f>
        <v>Sep</v>
      </c>
    </row>
    <row r="936" spans="1:10" ht="15" customHeight="1">
      <c r="A936" s="14" t="s">
        <v>141</v>
      </c>
      <c r="B936" s="15" t="s">
        <v>142</v>
      </c>
      <c r="C936" s="15" t="s">
        <v>137</v>
      </c>
      <c r="D936" s="15" t="s">
        <v>8</v>
      </c>
      <c r="E936" s="15" t="s">
        <v>35</v>
      </c>
      <c r="F936" s="14">
        <v>120</v>
      </c>
      <c r="G936" s="16">
        <v>44825</v>
      </c>
      <c r="H936" s="7">
        <f t="shared" si="14"/>
        <v>2</v>
      </c>
      <c r="I93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936" s="24" t="str">
        <f>TEXT(Table1[[#This Row],[Date]],"mmm")</f>
        <v>Sep</v>
      </c>
    </row>
    <row r="937" spans="1:10" ht="15" customHeight="1">
      <c r="A937" s="14" t="s">
        <v>141</v>
      </c>
      <c r="B937" s="15" t="s">
        <v>157</v>
      </c>
      <c r="C937" s="15" t="s">
        <v>16</v>
      </c>
      <c r="D937" s="15" t="s">
        <v>8</v>
      </c>
      <c r="E937" s="15" t="s">
        <v>9</v>
      </c>
      <c r="F937" s="14">
        <v>20</v>
      </c>
      <c r="G937" s="16">
        <v>44825</v>
      </c>
      <c r="H937" s="7">
        <f t="shared" si="14"/>
        <v>0.33333333333333331</v>
      </c>
      <c r="I93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937" s="24" t="str">
        <f>TEXT(Table1[[#This Row],[Date]],"mmm")</f>
        <v>Sep</v>
      </c>
    </row>
    <row r="938" spans="1:10" ht="15" customHeight="1">
      <c r="A938" s="14" t="s">
        <v>141</v>
      </c>
      <c r="B938" s="15" t="s">
        <v>96</v>
      </c>
      <c r="C938" s="15" t="s">
        <v>10</v>
      </c>
      <c r="D938" s="15" t="s">
        <v>8</v>
      </c>
      <c r="E938" s="15" t="s">
        <v>10</v>
      </c>
      <c r="F938" s="14">
        <v>20</v>
      </c>
      <c r="G938" s="16">
        <v>44825</v>
      </c>
      <c r="H938" s="7">
        <f t="shared" si="14"/>
        <v>0.33333333333333331</v>
      </c>
      <c r="I93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938" s="24" t="str">
        <f>TEXT(Table1[[#This Row],[Date]],"mmm")</f>
        <v>Sep</v>
      </c>
    </row>
    <row r="939" spans="1:10" ht="15" customHeight="1">
      <c r="A939" s="14" t="s">
        <v>141</v>
      </c>
      <c r="B939" s="15" t="s">
        <v>157</v>
      </c>
      <c r="C939" s="15" t="s">
        <v>44</v>
      </c>
      <c r="D939" s="15" t="s">
        <v>8</v>
      </c>
      <c r="E939" s="15" t="s">
        <v>12</v>
      </c>
      <c r="F939" s="14">
        <v>60</v>
      </c>
      <c r="G939" s="16">
        <v>44825</v>
      </c>
      <c r="H939" s="7">
        <f t="shared" si="14"/>
        <v>1</v>
      </c>
      <c r="I93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939" s="24" t="str">
        <f>TEXT(Table1[[#This Row],[Date]],"mmm")</f>
        <v>Sep</v>
      </c>
    </row>
    <row r="940" spans="1:10" ht="15" customHeight="1">
      <c r="A940" s="14" t="s">
        <v>141</v>
      </c>
      <c r="B940" s="15" t="s">
        <v>20</v>
      </c>
      <c r="C940" s="15" t="s">
        <v>20</v>
      </c>
      <c r="D940" s="15" t="s">
        <v>138</v>
      </c>
      <c r="E940" s="15" t="s">
        <v>20</v>
      </c>
      <c r="F940" s="14">
        <v>30</v>
      </c>
      <c r="G940" s="16">
        <v>44825</v>
      </c>
      <c r="H940" s="7">
        <f t="shared" si="14"/>
        <v>0.5</v>
      </c>
      <c r="I94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940" s="24" t="str">
        <f>TEXT(Table1[[#This Row],[Date]],"mmm")</f>
        <v>Sep</v>
      </c>
    </row>
    <row r="941" spans="1:10" ht="15" customHeight="1">
      <c r="A941" s="14" t="s">
        <v>141</v>
      </c>
      <c r="B941" s="15" t="s">
        <v>157</v>
      </c>
      <c r="C941" s="15" t="s">
        <v>17</v>
      </c>
      <c r="D941" s="15" t="s">
        <v>11</v>
      </c>
      <c r="E941" s="15" t="s">
        <v>17</v>
      </c>
      <c r="F941" s="14">
        <v>30</v>
      </c>
      <c r="G941" s="16">
        <v>44825</v>
      </c>
      <c r="H941" s="7">
        <f t="shared" si="14"/>
        <v>0.5</v>
      </c>
      <c r="I94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941" s="24" t="str">
        <f>TEXT(Table1[[#This Row],[Date]],"mmm")</f>
        <v>Sep</v>
      </c>
    </row>
    <row r="942" spans="1:10" ht="15" customHeight="1">
      <c r="A942" s="14" t="s">
        <v>141</v>
      </c>
      <c r="B942" s="15" t="s">
        <v>158</v>
      </c>
      <c r="C942" s="15" t="s">
        <v>38</v>
      </c>
      <c r="D942" s="15" t="s">
        <v>11</v>
      </c>
      <c r="E942" s="15" t="s">
        <v>38</v>
      </c>
      <c r="F942" s="14">
        <v>45</v>
      </c>
      <c r="G942" s="16">
        <v>44825</v>
      </c>
      <c r="H942" s="7">
        <f t="shared" si="14"/>
        <v>0.75</v>
      </c>
      <c r="I94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942" s="24" t="str">
        <f>TEXT(Table1[[#This Row],[Date]],"mmm")</f>
        <v>Sep</v>
      </c>
    </row>
    <row r="943" spans="1:10" ht="15" customHeight="1">
      <c r="A943" s="14" t="s">
        <v>141</v>
      </c>
      <c r="B943" s="15" t="s">
        <v>158</v>
      </c>
      <c r="C943" s="15" t="s">
        <v>6</v>
      </c>
      <c r="D943" s="15" t="s">
        <v>138</v>
      </c>
      <c r="E943" s="15" t="s">
        <v>6</v>
      </c>
      <c r="F943" s="14">
        <v>60</v>
      </c>
      <c r="G943" s="16">
        <v>44825</v>
      </c>
      <c r="H943" s="7">
        <f t="shared" si="14"/>
        <v>1</v>
      </c>
      <c r="I94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943" s="24" t="str">
        <f>TEXT(Table1[[#This Row],[Date]],"mmm")</f>
        <v>Sep</v>
      </c>
    </row>
    <row r="944" spans="1:10" ht="15" customHeight="1">
      <c r="A944" s="14" t="s">
        <v>141</v>
      </c>
      <c r="B944" s="15" t="s">
        <v>154</v>
      </c>
      <c r="C944" s="15" t="s">
        <v>38</v>
      </c>
      <c r="D944" s="15" t="s">
        <v>11</v>
      </c>
      <c r="E944" s="15" t="s">
        <v>38</v>
      </c>
      <c r="F944" s="14">
        <v>60</v>
      </c>
      <c r="G944" s="16">
        <v>44825</v>
      </c>
      <c r="H944" s="7">
        <f t="shared" si="14"/>
        <v>1</v>
      </c>
      <c r="I94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944" s="24" t="str">
        <f>TEXT(Table1[[#This Row],[Date]],"mmm")</f>
        <v>Sep</v>
      </c>
    </row>
    <row r="945" spans="1:10" ht="15" customHeight="1">
      <c r="A945" s="14" t="s">
        <v>140</v>
      </c>
      <c r="B945" s="15" t="s">
        <v>159</v>
      </c>
      <c r="C945" s="15" t="s">
        <v>47</v>
      </c>
      <c r="D945" s="15" t="s">
        <v>11</v>
      </c>
      <c r="E945" s="15" t="s">
        <v>9</v>
      </c>
      <c r="F945" s="14">
        <v>35</v>
      </c>
      <c r="G945" s="16">
        <v>44825</v>
      </c>
      <c r="H945" s="7">
        <f t="shared" si="14"/>
        <v>0.58333333333333337</v>
      </c>
      <c r="I94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945" s="24" t="str">
        <f>TEXT(Table1[[#This Row],[Date]],"mmm")</f>
        <v>Sep</v>
      </c>
    </row>
    <row r="946" spans="1:10" ht="15" customHeight="1">
      <c r="A946" s="14" t="s">
        <v>140</v>
      </c>
      <c r="B946" s="15" t="s">
        <v>159</v>
      </c>
      <c r="C946" s="15" t="s">
        <v>161</v>
      </c>
      <c r="D946" s="15" t="s">
        <v>8</v>
      </c>
      <c r="E946" s="15" t="s">
        <v>9</v>
      </c>
      <c r="F946" s="14">
        <v>45</v>
      </c>
      <c r="G946" s="16">
        <v>44825</v>
      </c>
      <c r="H946" s="7">
        <f t="shared" si="14"/>
        <v>0.75</v>
      </c>
      <c r="I94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946" s="24" t="str">
        <f>TEXT(Table1[[#This Row],[Date]],"mmm")</f>
        <v>Sep</v>
      </c>
    </row>
    <row r="947" spans="1:10" ht="15" customHeight="1">
      <c r="A947" s="14" t="s">
        <v>140</v>
      </c>
      <c r="B947" s="15" t="s">
        <v>159</v>
      </c>
      <c r="C947" s="15" t="s">
        <v>119</v>
      </c>
      <c r="D947" s="15" t="s">
        <v>138</v>
      </c>
      <c r="E947" s="15" t="s">
        <v>9</v>
      </c>
      <c r="F947" s="14">
        <v>35</v>
      </c>
      <c r="G947" s="16">
        <v>44825</v>
      </c>
      <c r="H947" s="7">
        <f t="shared" si="14"/>
        <v>0.58333333333333337</v>
      </c>
      <c r="I94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947" s="24" t="str">
        <f>TEXT(Table1[[#This Row],[Date]],"mmm")</f>
        <v>Sep</v>
      </c>
    </row>
    <row r="948" spans="1:10" ht="15" customHeight="1">
      <c r="A948" s="14" t="s">
        <v>140</v>
      </c>
      <c r="B948" s="15" t="s">
        <v>144</v>
      </c>
      <c r="C948" s="15" t="s">
        <v>17</v>
      </c>
      <c r="D948" s="15" t="s">
        <v>11</v>
      </c>
      <c r="E948" s="15" t="s">
        <v>17</v>
      </c>
      <c r="F948" s="14">
        <v>40</v>
      </c>
      <c r="G948" s="16">
        <v>44825</v>
      </c>
      <c r="H948" s="7">
        <f t="shared" si="14"/>
        <v>0.66666666666666663</v>
      </c>
      <c r="I94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948" s="24" t="str">
        <f>TEXT(Table1[[#This Row],[Date]],"mmm")</f>
        <v>Sep</v>
      </c>
    </row>
    <row r="949" spans="1:10" ht="15" customHeight="1">
      <c r="A949" s="14" t="s">
        <v>140</v>
      </c>
      <c r="B949" s="15" t="s">
        <v>152</v>
      </c>
      <c r="C949" s="15" t="s">
        <v>17</v>
      </c>
      <c r="D949" s="15" t="s">
        <v>11</v>
      </c>
      <c r="E949" s="15" t="s">
        <v>17</v>
      </c>
      <c r="F949" s="14">
        <v>20</v>
      </c>
      <c r="G949" s="16">
        <v>44825</v>
      </c>
      <c r="H949" s="7">
        <f t="shared" si="14"/>
        <v>0.33333333333333331</v>
      </c>
      <c r="I94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949" s="24" t="str">
        <f>TEXT(Table1[[#This Row],[Date]],"mmm")</f>
        <v>Sep</v>
      </c>
    </row>
    <row r="950" spans="1:10" ht="15" customHeight="1">
      <c r="A950" s="14" t="s">
        <v>140</v>
      </c>
      <c r="B950" s="15" t="s">
        <v>10</v>
      </c>
      <c r="C950" s="15" t="s">
        <v>10</v>
      </c>
      <c r="D950" s="15" t="s">
        <v>8</v>
      </c>
      <c r="E950" s="15" t="s">
        <v>10</v>
      </c>
      <c r="F950" s="14">
        <v>20</v>
      </c>
      <c r="G950" s="16">
        <v>44825</v>
      </c>
      <c r="H950" s="7">
        <f t="shared" si="14"/>
        <v>0.33333333333333331</v>
      </c>
      <c r="I95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950" s="24" t="str">
        <f>TEXT(Table1[[#This Row],[Date]],"mmm")</f>
        <v>Sep</v>
      </c>
    </row>
    <row r="951" spans="1:10" ht="15" customHeight="1">
      <c r="A951" s="14" t="s">
        <v>140</v>
      </c>
      <c r="B951" s="15" t="s">
        <v>159</v>
      </c>
      <c r="C951" s="15" t="s">
        <v>15</v>
      </c>
      <c r="D951" s="15" t="s">
        <v>11</v>
      </c>
      <c r="E951" s="15" t="s">
        <v>9</v>
      </c>
      <c r="F951" s="14">
        <v>55</v>
      </c>
      <c r="G951" s="16">
        <v>44825</v>
      </c>
      <c r="H951" s="7">
        <f t="shared" si="14"/>
        <v>0.91666666666666663</v>
      </c>
      <c r="I95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951" s="24" t="str">
        <f>TEXT(Table1[[#This Row],[Date]],"mmm")</f>
        <v>Sep</v>
      </c>
    </row>
    <row r="952" spans="1:10" ht="15" customHeight="1">
      <c r="A952" s="14" t="s">
        <v>140</v>
      </c>
      <c r="B952" s="15" t="s">
        <v>20</v>
      </c>
      <c r="C952" s="15" t="s">
        <v>20</v>
      </c>
      <c r="D952" s="15" t="s">
        <v>11</v>
      </c>
      <c r="E952" s="15" t="s">
        <v>20</v>
      </c>
      <c r="F952" s="14">
        <v>30</v>
      </c>
      <c r="G952" s="16">
        <v>44825</v>
      </c>
      <c r="H952" s="7">
        <f t="shared" si="14"/>
        <v>0.5</v>
      </c>
      <c r="I95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952" s="24" t="str">
        <f>TEXT(Table1[[#This Row],[Date]],"mmm")</f>
        <v>Sep</v>
      </c>
    </row>
    <row r="953" spans="1:10" ht="15" customHeight="1">
      <c r="A953" s="14" t="s">
        <v>140</v>
      </c>
      <c r="B953" s="15" t="s">
        <v>159</v>
      </c>
      <c r="C953" s="15" t="s">
        <v>161</v>
      </c>
      <c r="D953" s="15" t="s">
        <v>11</v>
      </c>
      <c r="E953" s="15" t="s">
        <v>175</v>
      </c>
      <c r="F953" s="14">
        <v>75</v>
      </c>
      <c r="G953" s="16">
        <v>44825</v>
      </c>
      <c r="H953" s="7">
        <f t="shared" si="14"/>
        <v>1.25</v>
      </c>
      <c r="I95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953" s="24" t="str">
        <f>TEXT(Table1[[#This Row],[Date]],"mmm")</f>
        <v>Sep</v>
      </c>
    </row>
    <row r="954" spans="1:10" ht="15" customHeight="1">
      <c r="A954" s="14" t="s">
        <v>140</v>
      </c>
      <c r="B954" s="15" t="s">
        <v>159</v>
      </c>
      <c r="C954" s="15" t="s">
        <v>44</v>
      </c>
      <c r="D954" s="15" t="s">
        <v>8</v>
      </c>
      <c r="E954" s="15" t="s">
        <v>12</v>
      </c>
      <c r="F954" s="14">
        <v>110</v>
      </c>
      <c r="G954" s="16">
        <v>44825</v>
      </c>
      <c r="H954" s="7">
        <f t="shared" si="14"/>
        <v>1.8333333333333333</v>
      </c>
      <c r="I95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954" s="24" t="str">
        <f>TEXT(Table1[[#This Row],[Date]],"mmm")</f>
        <v>Sep</v>
      </c>
    </row>
    <row r="955" spans="1:10" ht="15" customHeight="1">
      <c r="A955" s="14" t="s">
        <v>140</v>
      </c>
      <c r="B955" s="15" t="s">
        <v>159</v>
      </c>
      <c r="C955" s="15" t="s">
        <v>93</v>
      </c>
      <c r="D955" s="15" t="s">
        <v>13</v>
      </c>
      <c r="E955" s="15" t="s">
        <v>6</v>
      </c>
      <c r="F955" s="14">
        <v>35</v>
      </c>
      <c r="G955" s="16">
        <v>44825</v>
      </c>
      <c r="H955" s="7">
        <f t="shared" si="14"/>
        <v>0.58333333333333337</v>
      </c>
      <c r="I95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955" s="24" t="str">
        <f>TEXT(Table1[[#This Row],[Date]],"mmm")</f>
        <v>Sep</v>
      </c>
    </row>
    <row r="956" spans="1:10" ht="15" customHeight="1">
      <c r="A956" s="14" t="s">
        <v>140</v>
      </c>
      <c r="B956" s="15" t="s">
        <v>154</v>
      </c>
      <c r="C956" s="15" t="s">
        <v>38</v>
      </c>
      <c r="D956" s="15" t="s">
        <v>11</v>
      </c>
      <c r="E956" s="15" t="s">
        <v>9</v>
      </c>
      <c r="F956" s="14">
        <v>20</v>
      </c>
      <c r="G956" s="16">
        <v>44825</v>
      </c>
      <c r="H956" s="7">
        <f t="shared" si="14"/>
        <v>0.33333333333333331</v>
      </c>
      <c r="I95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956" s="24" t="str">
        <f>TEXT(Table1[[#This Row],[Date]],"mmm")</f>
        <v>Sep</v>
      </c>
    </row>
    <row r="957" spans="1:10" ht="15" customHeight="1">
      <c r="A957" s="14" t="s">
        <v>141</v>
      </c>
      <c r="B957" s="15" t="s">
        <v>10</v>
      </c>
      <c r="C957" s="15" t="s">
        <v>10</v>
      </c>
      <c r="D957" s="15" t="s">
        <v>8</v>
      </c>
      <c r="E957" s="15" t="s">
        <v>10</v>
      </c>
      <c r="F957" s="14">
        <v>20</v>
      </c>
      <c r="G957" s="16">
        <v>44855</v>
      </c>
      <c r="H957" s="7">
        <f t="shared" si="14"/>
        <v>0.33333333333333331</v>
      </c>
      <c r="I95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957" s="24" t="str">
        <f>TEXT(Table1[[#This Row],[Date]],"mmm")</f>
        <v>Oct</v>
      </c>
    </row>
    <row r="958" spans="1:10" ht="15" customHeight="1">
      <c r="A958" s="14" t="s">
        <v>141</v>
      </c>
      <c r="B958" s="15" t="s">
        <v>36</v>
      </c>
      <c r="C958" s="15" t="s">
        <v>37</v>
      </c>
      <c r="D958" s="15" t="s">
        <v>8</v>
      </c>
      <c r="E958" s="15" t="s">
        <v>36</v>
      </c>
      <c r="F958" s="14">
        <v>60</v>
      </c>
      <c r="G958" s="16">
        <v>44855</v>
      </c>
      <c r="H958" s="7">
        <f t="shared" si="14"/>
        <v>1</v>
      </c>
      <c r="I95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958" s="24" t="str">
        <f>TEXT(Table1[[#This Row],[Date]],"mmm")</f>
        <v>Oct</v>
      </c>
    </row>
    <row r="959" spans="1:10" ht="15" customHeight="1">
      <c r="A959" s="14" t="s">
        <v>141</v>
      </c>
      <c r="B959" s="15" t="s">
        <v>157</v>
      </c>
      <c r="C959" s="15" t="s">
        <v>16</v>
      </c>
      <c r="D959" s="15" t="s">
        <v>8</v>
      </c>
      <c r="E959" s="15" t="s">
        <v>9</v>
      </c>
      <c r="F959" s="14">
        <v>20</v>
      </c>
      <c r="G959" s="16">
        <v>44855</v>
      </c>
      <c r="H959" s="7">
        <f t="shared" si="14"/>
        <v>0.33333333333333331</v>
      </c>
      <c r="I95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959" s="24" t="str">
        <f>TEXT(Table1[[#This Row],[Date]],"mmm")</f>
        <v>Oct</v>
      </c>
    </row>
    <row r="960" spans="1:10" ht="15" customHeight="1">
      <c r="A960" s="14" t="s">
        <v>141</v>
      </c>
      <c r="B960" s="15" t="s">
        <v>142</v>
      </c>
      <c r="C960" s="15" t="s">
        <v>89</v>
      </c>
      <c r="D960" s="15" t="s">
        <v>69</v>
      </c>
      <c r="E960" s="15" t="s">
        <v>75</v>
      </c>
      <c r="F960" s="14">
        <v>350</v>
      </c>
      <c r="G960" s="16">
        <v>44855</v>
      </c>
      <c r="H960" s="7">
        <f t="shared" si="14"/>
        <v>5.833333333333333</v>
      </c>
      <c r="I96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960" s="24" t="str">
        <f>TEXT(Table1[[#This Row],[Date]],"mmm")</f>
        <v>Oct</v>
      </c>
    </row>
    <row r="961" spans="1:10" ht="15" customHeight="1">
      <c r="A961" s="14" t="s">
        <v>141</v>
      </c>
      <c r="B961" s="15" t="s">
        <v>157</v>
      </c>
      <c r="C961" s="15" t="s">
        <v>20</v>
      </c>
      <c r="D961" s="15" t="s">
        <v>138</v>
      </c>
      <c r="E961" s="15" t="s">
        <v>20</v>
      </c>
      <c r="F961" s="14">
        <v>40</v>
      </c>
      <c r="G961" s="16">
        <v>44855</v>
      </c>
      <c r="H961" s="7">
        <f t="shared" si="14"/>
        <v>0.66666666666666663</v>
      </c>
      <c r="I96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961" s="24" t="str">
        <f>TEXT(Table1[[#This Row],[Date]],"mmm")</f>
        <v>Oct</v>
      </c>
    </row>
    <row r="962" spans="1:10" ht="15" customHeight="1">
      <c r="A962" s="14" t="s">
        <v>140</v>
      </c>
      <c r="B962" s="15" t="s">
        <v>10</v>
      </c>
      <c r="C962" s="15" t="s">
        <v>10</v>
      </c>
      <c r="D962" s="15" t="s">
        <v>8</v>
      </c>
      <c r="E962" s="15" t="s">
        <v>10</v>
      </c>
      <c r="F962" s="14">
        <v>20</v>
      </c>
      <c r="G962" s="16">
        <v>44855</v>
      </c>
      <c r="H962" s="7">
        <f t="shared" ref="H962:H1025" si="15">IFERROR(IF(ISBLANK(F962)=TRUE(),"",F962/60),"")</f>
        <v>0.33333333333333331</v>
      </c>
      <c r="I96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962" s="24" t="str">
        <f>TEXT(Table1[[#This Row],[Date]],"mmm")</f>
        <v>Oct</v>
      </c>
    </row>
    <row r="963" spans="1:10" ht="15" customHeight="1">
      <c r="A963" s="14" t="s">
        <v>140</v>
      </c>
      <c r="B963" s="15" t="s">
        <v>152</v>
      </c>
      <c r="C963" s="15" t="s">
        <v>153</v>
      </c>
      <c r="D963" s="15" t="s">
        <v>8</v>
      </c>
      <c r="E963" s="15" t="s">
        <v>12</v>
      </c>
      <c r="F963" s="14">
        <v>25</v>
      </c>
      <c r="G963" s="16">
        <v>44855</v>
      </c>
      <c r="H963" s="7">
        <f t="shared" si="15"/>
        <v>0.41666666666666669</v>
      </c>
      <c r="I96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963" s="24" t="str">
        <f>TEXT(Table1[[#This Row],[Date]],"mmm")</f>
        <v>Oct</v>
      </c>
    </row>
    <row r="964" spans="1:10" ht="15" customHeight="1">
      <c r="A964" s="14" t="s">
        <v>140</v>
      </c>
      <c r="B964" s="15" t="s">
        <v>159</v>
      </c>
      <c r="C964" s="15" t="s">
        <v>17</v>
      </c>
      <c r="D964" s="15" t="s">
        <v>11</v>
      </c>
      <c r="E964" s="15" t="s">
        <v>17</v>
      </c>
      <c r="F964" s="14">
        <v>20</v>
      </c>
      <c r="G964" s="16">
        <v>44855</v>
      </c>
      <c r="H964" s="7">
        <f t="shared" si="15"/>
        <v>0.33333333333333331</v>
      </c>
      <c r="I96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964" s="24" t="str">
        <f>TEXT(Table1[[#This Row],[Date]],"mmm")</f>
        <v>Oct</v>
      </c>
    </row>
    <row r="965" spans="1:10" ht="15" customHeight="1">
      <c r="A965" s="14" t="s">
        <v>140</v>
      </c>
      <c r="B965" s="15" t="s">
        <v>159</v>
      </c>
      <c r="C965" s="15" t="s">
        <v>44</v>
      </c>
      <c r="D965" s="15" t="s">
        <v>8</v>
      </c>
      <c r="E965" s="15" t="s">
        <v>12</v>
      </c>
      <c r="F965" s="14">
        <v>95</v>
      </c>
      <c r="G965" s="16">
        <v>44855</v>
      </c>
      <c r="H965" s="7">
        <f t="shared" si="15"/>
        <v>1.5833333333333333</v>
      </c>
      <c r="I96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965" s="24" t="str">
        <f>TEXT(Table1[[#This Row],[Date]],"mmm")</f>
        <v>Oct</v>
      </c>
    </row>
    <row r="966" spans="1:10" ht="15" customHeight="1">
      <c r="A966" s="14" t="s">
        <v>140</v>
      </c>
      <c r="B966" s="15" t="s">
        <v>159</v>
      </c>
      <c r="C966" s="15" t="s">
        <v>48</v>
      </c>
      <c r="D966" s="15" t="s">
        <v>11</v>
      </c>
      <c r="E966" s="15" t="s">
        <v>88</v>
      </c>
      <c r="F966" s="14">
        <v>20</v>
      </c>
      <c r="G966" s="16">
        <v>44855</v>
      </c>
      <c r="H966" s="7">
        <f t="shared" si="15"/>
        <v>0.33333333333333331</v>
      </c>
      <c r="I96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966" s="24" t="str">
        <f>TEXT(Table1[[#This Row],[Date]],"mmm")</f>
        <v>Oct</v>
      </c>
    </row>
    <row r="967" spans="1:10" ht="15" customHeight="1">
      <c r="A967" s="14" t="s">
        <v>140</v>
      </c>
      <c r="B967" s="15" t="s">
        <v>159</v>
      </c>
      <c r="C967" s="15" t="s">
        <v>51</v>
      </c>
      <c r="D967" s="15" t="s">
        <v>8</v>
      </c>
      <c r="E967" s="15" t="s">
        <v>19</v>
      </c>
      <c r="F967" s="14">
        <v>25</v>
      </c>
      <c r="G967" s="16">
        <v>44855</v>
      </c>
      <c r="H967" s="7">
        <f t="shared" si="15"/>
        <v>0.41666666666666669</v>
      </c>
      <c r="I96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967" s="24" t="str">
        <f>TEXT(Table1[[#This Row],[Date]],"mmm")</f>
        <v>Oct</v>
      </c>
    </row>
    <row r="968" spans="1:10" ht="15" customHeight="1">
      <c r="A968" s="14" t="s">
        <v>140</v>
      </c>
      <c r="B968" s="15" t="s">
        <v>159</v>
      </c>
      <c r="C968" s="15" t="s">
        <v>161</v>
      </c>
      <c r="D968" s="15" t="s">
        <v>11</v>
      </c>
      <c r="E968" s="15" t="s">
        <v>9</v>
      </c>
      <c r="F968" s="14">
        <v>25</v>
      </c>
      <c r="G968" s="16">
        <v>44855</v>
      </c>
      <c r="H968" s="7">
        <f t="shared" si="15"/>
        <v>0.41666666666666669</v>
      </c>
      <c r="I96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968" s="24" t="str">
        <f>TEXT(Table1[[#This Row],[Date]],"mmm")</f>
        <v>Oct</v>
      </c>
    </row>
    <row r="969" spans="1:10" ht="15" customHeight="1">
      <c r="A969" s="14" t="s">
        <v>140</v>
      </c>
      <c r="B969" s="15" t="s">
        <v>160</v>
      </c>
      <c r="C969" s="15" t="s">
        <v>17</v>
      </c>
      <c r="D969" s="15" t="s">
        <v>11</v>
      </c>
      <c r="E969" s="15" t="s">
        <v>9</v>
      </c>
      <c r="F969" s="14">
        <v>25</v>
      </c>
      <c r="G969" s="16">
        <v>44855</v>
      </c>
      <c r="H969" s="7">
        <f t="shared" si="15"/>
        <v>0.41666666666666669</v>
      </c>
      <c r="I96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969" s="24" t="str">
        <f>TEXT(Table1[[#This Row],[Date]],"mmm")</f>
        <v>Oct</v>
      </c>
    </row>
    <row r="970" spans="1:10" ht="15" customHeight="1">
      <c r="A970" s="14" t="s">
        <v>140</v>
      </c>
      <c r="B970" s="15" t="s">
        <v>159</v>
      </c>
      <c r="C970" s="15" t="s">
        <v>71</v>
      </c>
      <c r="D970" s="15" t="s">
        <v>11</v>
      </c>
      <c r="E970" s="15" t="s">
        <v>71</v>
      </c>
      <c r="F970" s="14">
        <v>30</v>
      </c>
      <c r="G970" s="16">
        <v>44855</v>
      </c>
      <c r="H970" s="7">
        <f t="shared" si="15"/>
        <v>0.5</v>
      </c>
      <c r="I97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970" s="24" t="str">
        <f>TEXT(Table1[[#This Row],[Date]],"mmm")</f>
        <v>Oct</v>
      </c>
    </row>
    <row r="971" spans="1:10" ht="15" customHeight="1">
      <c r="A971" s="14" t="s">
        <v>140</v>
      </c>
      <c r="B971" s="15" t="s">
        <v>160</v>
      </c>
      <c r="C971" s="15" t="s">
        <v>17</v>
      </c>
      <c r="D971" s="15" t="s">
        <v>11</v>
      </c>
      <c r="E971" s="15" t="s">
        <v>17</v>
      </c>
      <c r="F971" s="14">
        <v>35</v>
      </c>
      <c r="G971" s="16">
        <v>44855</v>
      </c>
      <c r="H971" s="7">
        <f t="shared" si="15"/>
        <v>0.58333333333333337</v>
      </c>
      <c r="I97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971" s="24" t="str">
        <f>TEXT(Table1[[#This Row],[Date]],"mmm")</f>
        <v>Oct</v>
      </c>
    </row>
    <row r="972" spans="1:10" ht="15" customHeight="1">
      <c r="A972" s="14" t="s">
        <v>140</v>
      </c>
      <c r="B972" s="15" t="s">
        <v>159</v>
      </c>
      <c r="C972" s="15" t="s">
        <v>174</v>
      </c>
      <c r="D972" s="15" t="s">
        <v>116</v>
      </c>
      <c r="E972" s="15" t="s">
        <v>174</v>
      </c>
      <c r="F972" s="14">
        <v>20</v>
      </c>
      <c r="G972" s="16">
        <v>44855</v>
      </c>
      <c r="H972" s="7">
        <f t="shared" si="15"/>
        <v>0.33333333333333331</v>
      </c>
      <c r="I97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972" s="24" t="str">
        <f>TEXT(Table1[[#This Row],[Date]],"mmm")</f>
        <v>Oct</v>
      </c>
    </row>
    <row r="973" spans="1:10" ht="15" customHeight="1">
      <c r="A973" s="14" t="s">
        <v>140</v>
      </c>
      <c r="B973" s="15" t="s">
        <v>20</v>
      </c>
      <c r="C973" s="15" t="s">
        <v>20</v>
      </c>
      <c r="D973" s="15" t="s">
        <v>11</v>
      </c>
      <c r="E973" s="15" t="s">
        <v>20</v>
      </c>
      <c r="F973" s="14">
        <v>40</v>
      </c>
      <c r="G973" s="16">
        <v>44855</v>
      </c>
      <c r="H973" s="7">
        <f t="shared" si="15"/>
        <v>0.66666666666666663</v>
      </c>
      <c r="I97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973" s="24" t="str">
        <f>TEXT(Table1[[#This Row],[Date]],"mmm")</f>
        <v>Oct</v>
      </c>
    </row>
    <row r="974" spans="1:10" ht="15" customHeight="1">
      <c r="A974" s="14" t="s">
        <v>140</v>
      </c>
      <c r="B974" s="15" t="s">
        <v>6</v>
      </c>
      <c r="C974" s="15" t="s">
        <v>47</v>
      </c>
      <c r="D974" s="15" t="s">
        <v>8</v>
      </c>
      <c r="E974" s="15" t="s">
        <v>9</v>
      </c>
      <c r="F974" s="14">
        <v>30</v>
      </c>
      <c r="G974" s="16">
        <v>44855</v>
      </c>
      <c r="H974" s="7">
        <f t="shared" si="15"/>
        <v>0.5</v>
      </c>
      <c r="I97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974" s="24" t="str">
        <f>TEXT(Table1[[#This Row],[Date]],"mmm")</f>
        <v>Oct</v>
      </c>
    </row>
    <row r="975" spans="1:10" ht="15" customHeight="1">
      <c r="A975" s="14" t="s">
        <v>140</v>
      </c>
      <c r="B975" s="15" t="s">
        <v>6</v>
      </c>
      <c r="C975" s="15" t="s">
        <v>103</v>
      </c>
      <c r="D975" s="15" t="s">
        <v>11</v>
      </c>
      <c r="E975" s="15" t="s">
        <v>103</v>
      </c>
      <c r="F975" s="14">
        <v>90</v>
      </c>
      <c r="G975" s="16">
        <v>44855</v>
      </c>
      <c r="H975" s="7">
        <f t="shared" si="15"/>
        <v>1.5</v>
      </c>
      <c r="I97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975" s="24" t="str">
        <f>TEXT(Table1[[#This Row],[Date]],"mmm")</f>
        <v>Oct</v>
      </c>
    </row>
    <row r="976" spans="1:10" ht="15" customHeight="1">
      <c r="A976" s="14" t="s">
        <v>140</v>
      </c>
      <c r="B976" s="15" t="s">
        <v>6</v>
      </c>
      <c r="C976" s="15" t="s">
        <v>52</v>
      </c>
      <c r="D976" s="15" t="s">
        <v>11</v>
      </c>
      <c r="E976" s="15" t="s">
        <v>9</v>
      </c>
      <c r="F976" s="14">
        <v>20</v>
      </c>
      <c r="G976" s="16">
        <v>44855</v>
      </c>
      <c r="H976" s="7">
        <f t="shared" si="15"/>
        <v>0.33333333333333331</v>
      </c>
      <c r="I97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976" s="24" t="str">
        <f>TEXT(Table1[[#This Row],[Date]],"mmm")</f>
        <v>Oct</v>
      </c>
    </row>
    <row r="977" spans="1:10" ht="15" customHeight="1">
      <c r="A977" s="14" t="s">
        <v>140</v>
      </c>
      <c r="B977" s="15" t="s">
        <v>159</v>
      </c>
      <c r="C977" s="15" t="s">
        <v>48</v>
      </c>
      <c r="D977" s="15" t="s">
        <v>11</v>
      </c>
      <c r="E977" s="15" t="s">
        <v>88</v>
      </c>
      <c r="F977" s="14">
        <v>20</v>
      </c>
      <c r="G977" s="16">
        <v>44886</v>
      </c>
      <c r="H977" s="7">
        <f t="shared" si="15"/>
        <v>0.33333333333333331</v>
      </c>
      <c r="I97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20-Nov-22 - to - 26-Nov-22</v>
      </c>
      <c r="J977" s="24" t="str">
        <f>TEXT(Table1[[#This Row],[Date]],"mmm")</f>
        <v>Nov</v>
      </c>
    </row>
    <row r="978" spans="1:10" ht="15" customHeight="1">
      <c r="A978" s="14" t="s">
        <v>140</v>
      </c>
      <c r="B978" s="15" t="s">
        <v>10</v>
      </c>
      <c r="C978" s="15" t="s">
        <v>10</v>
      </c>
      <c r="D978" s="15" t="s">
        <v>8</v>
      </c>
      <c r="E978" s="15" t="s">
        <v>10</v>
      </c>
      <c r="F978" s="14">
        <v>20</v>
      </c>
      <c r="G978" s="16">
        <v>44886</v>
      </c>
      <c r="H978" s="7">
        <f t="shared" si="15"/>
        <v>0.33333333333333331</v>
      </c>
      <c r="I97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20-Nov-22 - to - 26-Nov-22</v>
      </c>
      <c r="J978" s="24" t="str">
        <f>TEXT(Table1[[#This Row],[Date]],"mmm")</f>
        <v>Nov</v>
      </c>
    </row>
    <row r="979" spans="1:10" ht="15" customHeight="1">
      <c r="A979" s="14" t="s">
        <v>140</v>
      </c>
      <c r="B979" s="15" t="s">
        <v>154</v>
      </c>
      <c r="C979" s="15" t="s">
        <v>121</v>
      </c>
      <c r="D979" s="15" t="s">
        <v>11</v>
      </c>
      <c r="E979" s="15" t="s">
        <v>9</v>
      </c>
      <c r="F979" s="14">
        <v>25</v>
      </c>
      <c r="G979" s="16">
        <v>44886</v>
      </c>
      <c r="H979" s="7">
        <f t="shared" si="15"/>
        <v>0.41666666666666669</v>
      </c>
      <c r="I97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20-Nov-22 - to - 26-Nov-22</v>
      </c>
      <c r="J979" s="24" t="str">
        <f>TEXT(Table1[[#This Row],[Date]],"mmm")</f>
        <v>Nov</v>
      </c>
    </row>
    <row r="980" spans="1:10" ht="15" customHeight="1">
      <c r="A980" s="14" t="s">
        <v>140</v>
      </c>
      <c r="B980" s="15" t="s">
        <v>154</v>
      </c>
      <c r="C980" s="15" t="s">
        <v>122</v>
      </c>
      <c r="D980" s="15" t="s">
        <v>11</v>
      </c>
      <c r="E980" s="15" t="s">
        <v>9</v>
      </c>
      <c r="F980" s="14">
        <v>45</v>
      </c>
      <c r="G980" s="16">
        <v>44886</v>
      </c>
      <c r="H980" s="7">
        <f t="shared" si="15"/>
        <v>0.75</v>
      </c>
      <c r="I98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20-Nov-22 - to - 26-Nov-22</v>
      </c>
      <c r="J980" s="24" t="str">
        <f>TEXT(Table1[[#This Row],[Date]],"mmm")</f>
        <v>Nov</v>
      </c>
    </row>
    <row r="981" spans="1:10" ht="15" customHeight="1">
      <c r="A981" s="14" t="s">
        <v>140</v>
      </c>
      <c r="B981" s="15" t="s">
        <v>159</v>
      </c>
      <c r="C981" s="15" t="s">
        <v>52</v>
      </c>
      <c r="D981" s="15" t="s">
        <v>138</v>
      </c>
      <c r="E981" s="15" t="s">
        <v>9</v>
      </c>
      <c r="F981" s="14">
        <v>65</v>
      </c>
      <c r="G981" s="16">
        <v>44886</v>
      </c>
      <c r="H981" s="7">
        <f t="shared" si="15"/>
        <v>1.0833333333333333</v>
      </c>
      <c r="I98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20-Nov-22 - to - 26-Nov-22</v>
      </c>
      <c r="J981" s="24" t="str">
        <f>TEXT(Table1[[#This Row],[Date]],"mmm")</f>
        <v>Nov</v>
      </c>
    </row>
    <row r="982" spans="1:10" ht="15" customHeight="1">
      <c r="A982" s="14" t="s">
        <v>140</v>
      </c>
      <c r="B982" s="15" t="s">
        <v>152</v>
      </c>
      <c r="C982" s="15" t="s">
        <v>153</v>
      </c>
      <c r="D982" s="15" t="s">
        <v>8</v>
      </c>
      <c r="E982" s="15" t="s">
        <v>12</v>
      </c>
      <c r="F982" s="14">
        <v>25</v>
      </c>
      <c r="G982" s="16">
        <v>44886</v>
      </c>
      <c r="H982" s="7">
        <f t="shared" si="15"/>
        <v>0.41666666666666669</v>
      </c>
      <c r="I98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20-Nov-22 - to - 26-Nov-22</v>
      </c>
      <c r="J982" s="24" t="str">
        <f>TEXT(Table1[[#This Row],[Date]],"mmm")</f>
        <v>Nov</v>
      </c>
    </row>
    <row r="983" spans="1:10" ht="15" customHeight="1">
      <c r="A983" s="14" t="s">
        <v>140</v>
      </c>
      <c r="B983" s="15" t="s">
        <v>154</v>
      </c>
      <c r="C983" s="15" t="s">
        <v>123</v>
      </c>
      <c r="D983" s="15" t="s">
        <v>8</v>
      </c>
      <c r="E983" s="15" t="s">
        <v>124</v>
      </c>
      <c r="F983" s="14">
        <v>35</v>
      </c>
      <c r="G983" s="16">
        <v>44886</v>
      </c>
      <c r="H983" s="7">
        <f t="shared" si="15"/>
        <v>0.58333333333333337</v>
      </c>
      <c r="I98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20-Nov-22 - to - 26-Nov-22</v>
      </c>
      <c r="J983" s="24" t="str">
        <f>TEXT(Table1[[#This Row],[Date]],"mmm")</f>
        <v>Nov</v>
      </c>
    </row>
    <row r="984" spans="1:10" ht="15" customHeight="1">
      <c r="A984" s="14" t="s">
        <v>140</v>
      </c>
      <c r="B984" s="15" t="s">
        <v>159</v>
      </c>
      <c r="C984" s="15" t="s">
        <v>44</v>
      </c>
      <c r="D984" s="15" t="s">
        <v>8</v>
      </c>
      <c r="E984" s="15" t="s">
        <v>12</v>
      </c>
      <c r="F984" s="14">
        <v>110</v>
      </c>
      <c r="G984" s="16">
        <v>44886</v>
      </c>
      <c r="H984" s="7">
        <f t="shared" si="15"/>
        <v>1.8333333333333333</v>
      </c>
      <c r="I98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20-Nov-22 - to - 26-Nov-22</v>
      </c>
      <c r="J984" s="24" t="str">
        <f>TEXT(Table1[[#This Row],[Date]],"mmm")</f>
        <v>Nov</v>
      </c>
    </row>
    <row r="985" spans="1:10" ht="15" customHeight="1">
      <c r="A985" s="14" t="s">
        <v>140</v>
      </c>
      <c r="B985" s="15" t="s">
        <v>159</v>
      </c>
      <c r="C985" s="15" t="s">
        <v>108</v>
      </c>
      <c r="D985" s="15" t="s">
        <v>138</v>
      </c>
      <c r="E985" s="15" t="s">
        <v>9</v>
      </c>
      <c r="F985" s="14">
        <v>45</v>
      </c>
      <c r="G985" s="16">
        <v>44886</v>
      </c>
      <c r="H985" s="7">
        <f t="shared" si="15"/>
        <v>0.75</v>
      </c>
      <c r="I98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20-Nov-22 - to - 26-Nov-22</v>
      </c>
      <c r="J985" s="24" t="str">
        <f>TEXT(Table1[[#This Row],[Date]],"mmm")</f>
        <v>Nov</v>
      </c>
    </row>
    <row r="986" spans="1:10" ht="15" customHeight="1">
      <c r="A986" s="14" t="s">
        <v>140</v>
      </c>
      <c r="B986" s="15" t="s">
        <v>159</v>
      </c>
      <c r="C986" s="15" t="s">
        <v>113</v>
      </c>
      <c r="D986" s="15" t="s">
        <v>138</v>
      </c>
      <c r="E986" s="15" t="s">
        <v>114</v>
      </c>
      <c r="F986" s="14">
        <v>20</v>
      </c>
      <c r="G986" s="16">
        <v>44886</v>
      </c>
      <c r="H986" s="7">
        <f t="shared" si="15"/>
        <v>0.33333333333333331</v>
      </c>
      <c r="I98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20-Nov-22 - to - 26-Nov-22</v>
      </c>
      <c r="J986" s="24" t="str">
        <f>TEXT(Table1[[#This Row],[Date]],"mmm")</f>
        <v>Nov</v>
      </c>
    </row>
    <row r="987" spans="1:10" ht="15" customHeight="1">
      <c r="A987" s="14" t="s">
        <v>140</v>
      </c>
      <c r="B987" s="15" t="s">
        <v>159</v>
      </c>
      <c r="C987" s="15" t="s">
        <v>30</v>
      </c>
      <c r="D987" s="15" t="s">
        <v>11</v>
      </c>
      <c r="E987" s="15" t="s">
        <v>9</v>
      </c>
      <c r="F987" s="14">
        <v>25</v>
      </c>
      <c r="G987" s="16">
        <v>44886</v>
      </c>
      <c r="H987" s="7">
        <f t="shared" si="15"/>
        <v>0.41666666666666669</v>
      </c>
      <c r="I98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20-Nov-22 - to - 26-Nov-22</v>
      </c>
      <c r="J987" s="24" t="str">
        <f>TEXT(Table1[[#This Row],[Date]],"mmm")</f>
        <v>Nov</v>
      </c>
    </row>
    <row r="988" spans="1:10" ht="15" customHeight="1">
      <c r="A988" s="14" t="s">
        <v>140</v>
      </c>
      <c r="B988" s="15" t="s">
        <v>160</v>
      </c>
      <c r="C988" s="15" t="s">
        <v>58</v>
      </c>
      <c r="D988" s="15" t="s">
        <v>11</v>
      </c>
      <c r="E988" s="15" t="s">
        <v>125</v>
      </c>
      <c r="F988" s="14">
        <v>40</v>
      </c>
      <c r="G988" s="16">
        <v>44886</v>
      </c>
      <c r="H988" s="7">
        <f t="shared" si="15"/>
        <v>0.66666666666666663</v>
      </c>
      <c r="I98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20-Nov-22 - to - 26-Nov-22</v>
      </c>
      <c r="J988" s="24" t="str">
        <f>TEXT(Table1[[#This Row],[Date]],"mmm")</f>
        <v>Nov</v>
      </c>
    </row>
    <row r="989" spans="1:10" ht="15" customHeight="1">
      <c r="A989" s="14" t="s">
        <v>140</v>
      </c>
      <c r="B989" s="15" t="s">
        <v>6</v>
      </c>
      <c r="C989" s="15" t="s">
        <v>7</v>
      </c>
      <c r="D989" s="15" t="s">
        <v>8</v>
      </c>
      <c r="E989" s="15" t="s">
        <v>9</v>
      </c>
      <c r="F989" s="14">
        <v>20</v>
      </c>
      <c r="G989" s="16">
        <v>44886</v>
      </c>
      <c r="H989" s="7">
        <f t="shared" si="15"/>
        <v>0.33333333333333331</v>
      </c>
      <c r="I98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20-Nov-22 - to - 26-Nov-22</v>
      </c>
      <c r="J989" s="24" t="str">
        <f>TEXT(Table1[[#This Row],[Date]],"mmm")</f>
        <v>Nov</v>
      </c>
    </row>
    <row r="990" spans="1:10" ht="15" customHeight="1">
      <c r="A990" s="14" t="s">
        <v>141</v>
      </c>
      <c r="B990" s="15" t="s">
        <v>36</v>
      </c>
      <c r="C990" s="15" t="s">
        <v>37</v>
      </c>
      <c r="D990" s="15" t="s">
        <v>8</v>
      </c>
      <c r="E990" s="15" t="s">
        <v>36</v>
      </c>
      <c r="F990" s="14">
        <v>60</v>
      </c>
      <c r="G990" s="16">
        <v>44826</v>
      </c>
      <c r="H990" s="7">
        <f t="shared" si="15"/>
        <v>1</v>
      </c>
      <c r="I99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990" s="24" t="str">
        <f>TEXT(Table1[[#This Row],[Date]],"mmm")</f>
        <v>Sep</v>
      </c>
    </row>
    <row r="991" spans="1:10" ht="15" customHeight="1">
      <c r="A991" s="14" t="s">
        <v>141</v>
      </c>
      <c r="B991" s="15" t="s">
        <v>142</v>
      </c>
      <c r="C991" s="15" t="s">
        <v>137</v>
      </c>
      <c r="D991" s="15" t="s">
        <v>8</v>
      </c>
      <c r="E991" s="15" t="s">
        <v>35</v>
      </c>
      <c r="F991" s="14">
        <v>150</v>
      </c>
      <c r="G991" s="16">
        <v>44826</v>
      </c>
      <c r="H991" s="7">
        <f t="shared" si="15"/>
        <v>2.5</v>
      </c>
      <c r="I99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991" s="24" t="str">
        <f>TEXT(Table1[[#This Row],[Date]],"mmm")</f>
        <v>Sep</v>
      </c>
    </row>
    <row r="992" spans="1:10" ht="15" customHeight="1">
      <c r="A992" s="14" t="s">
        <v>141</v>
      </c>
      <c r="B992" s="15" t="s">
        <v>157</v>
      </c>
      <c r="C992" s="15" t="s">
        <v>16</v>
      </c>
      <c r="D992" s="15" t="s">
        <v>8</v>
      </c>
      <c r="E992" s="15" t="s">
        <v>9</v>
      </c>
      <c r="F992" s="14">
        <v>30</v>
      </c>
      <c r="G992" s="16">
        <v>44826</v>
      </c>
      <c r="H992" s="7">
        <f t="shared" si="15"/>
        <v>0.5</v>
      </c>
      <c r="I99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992" s="24" t="str">
        <f>TEXT(Table1[[#This Row],[Date]],"mmm")</f>
        <v>Sep</v>
      </c>
    </row>
    <row r="993" spans="1:10" ht="15" customHeight="1">
      <c r="A993" s="14" t="s">
        <v>141</v>
      </c>
      <c r="B993" s="15" t="s">
        <v>10</v>
      </c>
      <c r="C993" s="15" t="s">
        <v>10</v>
      </c>
      <c r="D993" s="15" t="s">
        <v>8</v>
      </c>
      <c r="E993" s="15" t="s">
        <v>10</v>
      </c>
      <c r="F993" s="14">
        <v>20</v>
      </c>
      <c r="G993" s="16">
        <v>44826</v>
      </c>
      <c r="H993" s="7">
        <f t="shared" si="15"/>
        <v>0.33333333333333331</v>
      </c>
      <c r="I99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993" s="24" t="str">
        <f>TEXT(Table1[[#This Row],[Date]],"mmm")</f>
        <v>Sep</v>
      </c>
    </row>
    <row r="994" spans="1:10" ht="15" customHeight="1">
      <c r="A994" s="14" t="s">
        <v>141</v>
      </c>
      <c r="B994" s="15" t="s">
        <v>157</v>
      </c>
      <c r="C994" s="15" t="s">
        <v>44</v>
      </c>
      <c r="D994" s="15" t="s">
        <v>8</v>
      </c>
      <c r="E994" s="15" t="s">
        <v>12</v>
      </c>
      <c r="F994" s="14">
        <v>60</v>
      </c>
      <c r="G994" s="16">
        <v>44826</v>
      </c>
      <c r="H994" s="7">
        <f t="shared" si="15"/>
        <v>1</v>
      </c>
      <c r="I99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994" s="24" t="str">
        <f>TEXT(Table1[[#This Row],[Date]],"mmm")</f>
        <v>Sep</v>
      </c>
    </row>
    <row r="995" spans="1:10" ht="15" customHeight="1">
      <c r="A995" s="14" t="s">
        <v>141</v>
      </c>
      <c r="B995" s="15" t="s">
        <v>20</v>
      </c>
      <c r="C995" s="15" t="s">
        <v>20</v>
      </c>
      <c r="D995" s="15" t="s">
        <v>138</v>
      </c>
      <c r="E995" s="15" t="s">
        <v>20</v>
      </c>
      <c r="F995" s="14">
        <v>20</v>
      </c>
      <c r="G995" s="16">
        <v>44826</v>
      </c>
      <c r="H995" s="7">
        <f t="shared" si="15"/>
        <v>0.33333333333333331</v>
      </c>
      <c r="I99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995" s="24" t="str">
        <f>TEXT(Table1[[#This Row],[Date]],"mmm")</f>
        <v>Sep</v>
      </c>
    </row>
    <row r="996" spans="1:10" ht="15" customHeight="1">
      <c r="A996" s="14" t="s">
        <v>141</v>
      </c>
      <c r="B996" s="15" t="s">
        <v>148</v>
      </c>
      <c r="C996" s="15" t="s">
        <v>148</v>
      </c>
      <c r="D996" s="15" t="s">
        <v>138</v>
      </c>
      <c r="E996" s="15" t="s">
        <v>148</v>
      </c>
      <c r="F996" s="14">
        <v>80</v>
      </c>
      <c r="G996" s="16">
        <v>44826</v>
      </c>
      <c r="H996" s="7">
        <f t="shared" si="15"/>
        <v>1.3333333333333333</v>
      </c>
      <c r="I99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996" s="24" t="str">
        <f>TEXT(Table1[[#This Row],[Date]],"mmm")</f>
        <v>Sep</v>
      </c>
    </row>
    <row r="997" spans="1:10" ht="15" customHeight="1">
      <c r="A997" s="14" t="s">
        <v>141</v>
      </c>
      <c r="B997" s="15" t="s">
        <v>157</v>
      </c>
      <c r="C997" s="15" t="s">
        <v>38</v>
      </c>
      <c r="D997" s="15" t="s">
        <v>11</v>
      </c>
      <c r="E997" s="15" t="s">
        <v>38</v>
      </c>
      <c r="F997" s="14">
        <v>45</v>
      </c>
      <c r="G997" s="16">
        <v>44826</v>
      </c>
      <c r="H997" s="7">
        <f t="shared" si="15"/>
        <v>0.75</v>
      </c>
      <c r="I99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997" s="24" t="str">
        <f>TEXT(Table1[[#This Row],[Date]],"mmm")</f>
        <v>Sep</v>
      </c>
    </row>
    <row r="998" spans="1:10" ht="15" customHeight="1">
      <c r="A998" s="14" t="s">
        <v>141</v>
      </c>
      <c r="B998" s="15" t="s">
        <v>142</v>
      </c>
      <c r="C998" s="15" t="s">
        <v>38</v>
      </c>
      <c r="D998" s="15" t="s">
        <v>11</v>
      </c>
      <c r="E998" s="15" t="s">
        <v>38</v>
      </c>
      <c r="F998" s="14">
        <v>45</v>
      </c>
      <c r="G998" s="16">
        <v>44826</v>
      </c>
      <c r="H998" s="7">
        <f t="shared" si="15"/>
        <v>0.75</v>
      </c>
      <c r="I99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998" s="24" t="str">
        <f>TEXT(Table1[[#This Row],[Date]],"mmm")</f>
        <v>Sep</v>
      </c>
    </row>
    <row r="999" spans="1:10" ht="15" customHeight="1">
      <c r="A999" s="14" t="s">
        <v>140</v>
      </c>
      <c r="B999" s="15" t="s">
        <v>159</v>
      </c>
      <c r="C999" s="15" t="s">
        <v>47</v>
      </c>
      <c r="D999" s="15" t="s">
        <v>11</v>
      </c>
      <c r="E999" s="15" t="s">
        <v>9</v>
      </c>
      <c r="F999" s="14">
        <v>35</v>
      </c>
      <c r="G999" s="16">
        <v>44826</v>
      </c>
      <c r="H999" s="7">
        <f t="shared" si="15"/>
        <v>0.58333333333333337</v>
      </c>
      <c r="I99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999" s="24" t="str">
        <f>TEXT(Table1[[#This Row],[Date]],"mmm")</f>
        <v>Sep</v>
      </c>
    </row>
    <row r="1000" spans="1:10" ht="15" customHeight="1">
      <c r="A1000" s="14" t="s">
        <v>140</v>
      </c>
      <c r="B1000" s="15" t="s">
        <v>159</v>
      </c>
      <c r="C1000" s="15" t="s">
        <v>17</v>
      </c>
      <c r="D1000" s="15" t="s">
        <v>8</v>
      </c>
      <c r="E1000" s="15" t="s">
        <v>17</v>
      </c>
      <c r="F1000" s="14">
        <v>45</v>
      </c>
      <c r="G1000" s="16">
        <v>44826</v>
      </c>
      <c r="H1000" s="7">
        <f t="shared" si="15"/>
        <v>0.75</v>
      </c>
      <c r="I100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1000" s="24" t="str">
        <f>TEXT(Table1[[#This Row],[Date]],"mmm")</f>
        <v>Sep</v>
      </c>
    </row>
    <row r="1001" spans="1:10" ht="15" customHeight="1">
      <c r="A1001" s="14" t="s">
        <v>140</v>
      </c>
      <c r="B1001" s="15" t="s">
        <v>159</v>
      </c>
      <c r="C1001" s="15" t="s">
        <v>17</v>
      </c>
      <c r="D1001" s="15" t="s">
        <v>8</v>
      </c>
      <c r="E1001" s="15" t="s">
        <v>9</v>
      </c>
      <c r="F1001" s="14">
        <v>45</v>
      </c>
      <c r="G1001" s="16">
        <v>44826</v>
      </c>
      <c r="H1001" s="7">
        <f t="shared" si="15"/>
        <v>0.75</v>
      </c>
      <c r="I100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1001" s="24" t="str">
        <f>TEXT(Table1[[#This Row],[Date]],"mmm")</f>
        <v>Sep</v>
      </c>
    </row>
    <row r="1002" spans="1:10" ht="15" customHeight="1">
      <c r="A1002" s="14" t="s">
        <v>140</v>
      </c>
      <c r="B1002" s="15" t="s">
        <v>159</v>
      </c>
      <c r="C1002" s="15" t="s">
        <v>119</v>
      </c>
      <c r="D1002" s="15" t="s">
        <v>138</v>
      </c>
      <c r="E1002" s="15" t="s">
        <v>9</v>
      </c>
      <c r="F1002" s="14">
        <v>35</v>
      </c>
      <c r="G1002" s="16">
        <v>44826</v>
      </c>
      <c r="H1002" s="7">
        <f t="shared" si="15"/>
        <v>0.58333333333333337</v>
      </c>
      <c r="I100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1002" s="24" t="str">
        <f>TEXT(Table1[[#This Row],[Date]],"mmm")</f>
        <v>Sep</v>
      </c>
    </row>
    <row r="1003" spans="1:10" ht="15" customHeight="1">
      <c r="A1003" s="14" t="s">
        <v>140</v>
      </c>
      <c r="B1003" s="15" t="s">
        <v>149</v>
      </c>
      <c r="C1003" s="15" t="s">
        <v>149</v>
      </c>
      <c r="D1003" s="15" t="s">
        <v>11</v>
      </c>
      <c r="E1003" s="15" t="s">
        <v>149</v>
      </c>
      <c r="F1003" s="14">
        <v>80</v>
      </c>
      <c r="G1003" s="16">
        <v>44826</v>
      </c>
      <c r="H1003" s="7">
        <f t="shared" si="15"/>
        <v>1.3333333333333333</v>
      </c>
      <c r="I100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1003" s="24" t="str">
        <f>TEXT(Table1[[#This Row],[Date]],"mmm")</f>
        <v>Sep</v>
      </c>
    </row>
    <row r="1004" spans="1:10" ht="15" customHeight="1">
      <c r="A1004" s="14" t="s">
        <v>140</v>
      </c>
      <c r="B1004" s="15" t="s">
        <v>144</v>
      </c>
      <c r="C1004" s="15" t="s">
        <v>17</v>
      </c>
      <c r="D1004" s="15" t="s">
        <v>11</v>
      </c>
      <c r="E1004" s="15" t="s">
        <v>9</v>
      </c>
      <c r="F1004" s="14">
        <v>35</v>
      </c>
      <c r="G1004" s="16">
        <v>44826</v>
      </c>
      <c r="H1004" s="7">
        <f t="shared" si="15"/>
        <v>0.58333333333333337</v>
      </c>
      <c r="I100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1004" s="24" t="str">
        <f>TEXT(Table1[[#This Row],[Date]],"mmm")</f>
        <v>Sep</v>
      </c>
    </row>
    <row r="1005" spans="1:10" ht="15" customHeight="1">
      <c r="A1005" s="14" t="s">
        <v>140</v>
      </c>
      <c r="B1005" s="15" t="s">
        <v>10</v>
      </c>
      <c r="C1005" s="15" t="s">
        <v>10</v>
      </c>
      <c r="D1005" s="15" t="s">
        <v>8</v>
      </c>
      <c r="E1005" s="15" t="s">
        <v>10</v>
      </c>
      <c r="F1005" s="14">
        <v>20</v>
      </c>
      <c r="G1005" s="16">
        <v>44826</v>
      </c>
      <c r="H1005" s="7">
        <f t="shared" si="15"/>
        <v>0.33333333333333331</v>
      </c>
      <c r="I100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1005" s="24" t="str">
        <f>TEXT(Table1[[#This Row],[Date]],"mmm")</f>
        <v>Sep</v>
      </c>
    </row>
    <row r="1006" spans="1:10" ht="15" customHeight="1">
      <c r="A1006" s="14" t="s">
        <v>140</v>
      </c>
      <c r="B1006" s="15" t="s">
        <v>154</v>
      </c>
      <c r="C1006" s="15" t="s">
        <v>15</v>
      </c>
      <c r="D1006" s="15" t="s">
        <v>11</v>
      </c>
      <c r="E1006" s="15" t="s">
        <v>9</v>
      </c>
      <c r="F1006" s="14">
        <v>55</v>
      </c>
      <c r="G1006" s="16">
        <v>44826</v>
      </c>
      <c r="H1006" s="7">
        <f t="shared" si="15"/>
        <v>0.91666666666666663</v>
      </c>
      <c r="I100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1006" s="24" t="str">
        <f>TEXT(Table1[[#This Row],[Date]],"mmm")</f>
        <v>Sep</v>
      </c>
    </row>
    <row r="1007" spans="1:10" ht="15" customHeight="1">
      <c r="A1007" s="14" t="s">
        <v>140</v>
      </c>
      <c r="B1007" s="15" t="s">
        <v>20</v>
      </c>
      <c r="C1007" s="15" t="s">
        <v>20</v>
      </c>
      <c r="D1007" s="15" t="s">
        <v>11</v>
      </c>
      <c r="E1007" s="15" t="s">
        <v>20</v>
      </c>
      <c r="F1007" s="14">
        <v>20</v>
      </c>
      <c r="G1007" s="16">
        <v>44826</v>
      </c>
      <c r="H1007" s="7">
        <f t="shared" si="15"/>
        <v>0.33333333333333331</v>
      </c>
      <c r="I100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1007" s="24" t="str">
        <f>TEXT(Table1[[#This Row],[Date]],"mmm")</f>
        <v>Sep</v>
      </c>
    </row>
    <row r="1008" spans="1:10" ht="15" customHeight="1">
      <c r="A1008" s="14" t="s">
        <v>140</v>
      </c>
      <c r="B1008" s="15" t="s">
        <v>159</v>
      </c>
      <c r="C1008" s="15" t="s">
        <v>38</v>
      </c>
      <c r="D1008" s="15" t="s">
        <v>11</v>
      </c>
      <c r="E1008" s="15" t="s">
        <v>38</v>
      </c>
      <c r="F1008" s="14">
        <v>30</v>
      </c>
      <c r="G1008" s="16">
        <v>44826</v>
      </c>
      <c r="H1008" s="7">
        <f t="shared" si="15"/>
        <v>0.5</v>
      </c>
      <c r="I100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1008" s="24" t="str">
        <f>TEXT(Table1[[#This Row],[Date]],"mmm")</f>
        <v>Sep</v>
      </c>
    </row>
    <row r="1009" spans="1:10" ht="15" customHeight="1">
      <c r="A1009" s="14" t="s">
        <v>140</v>
      </c>
      <c r="B1009" s="15" t="s">
        <v>159</v>
      </c>
      <c r="C1009" s="15" t="s">
        <v>44</v>
      </c>
      <c r="D1009" s="15" t="s">
        <v>8</v>
      </c>
      <c r="E1009" s="15" t="s">
        <v>12</v>
      </c>
      <c r="F1009" s="14">
        <v>120</v>
      </c>
      <c r="G1009" s="16">
        <v>44826</v>
      </c>
      <c r="H1009" s="7">
        <f t="shared" si="15"/>
        <v>2</v>
      </c>
      <c r="I100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1009" s="24" t="str">
        <f>TEXT(Table1[[#This Row],[Date]],"mmm")</f>
        <v>Sep</v>
      </c>
    </row>
    <row r="1010" spans="1:10" ht="15" customHeight="1">
      <c r="A1010" s="14" t="s">
        <v>141</v>
      </c>
      <c r="B1010" s="15" t="s">
        <v>10</v>
      </c>
      <c r="C1010" s="15" t="s">
        <v>10</v>
      </c>
      <c r="D1010" s="15" t="s">
        <v>8</v>
      </c>
      <c r="E1010" s="15" t="s">
        <v>10</v>
      </c>
      <c r="F1010" s="14">
        <v>20</v>
      </c>
      <c r="G1010" s="16">
        <v>44856</v>
      </c>
      <c r="H1010" s="7">
        <f t="shared" si="15"/>
        <v>0.33333333333333331</v>
      </c>
      <c r="I101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1010" s="24" t="str">
        <f>TEXT(Table1[[#This Row],[Date]],"mmm")</f>
        <v>Oct</v>
      </c>
    </row>
    <row r="1011" spans="1:10" ht="15" customHeight="1">
      <c r="A1011" s="14" t="s">
        <v>141</v>
      </c>
      <c r="B1011" s="15" t="s">
        <v>36</v>
      </c>
      <c r="C1011" s="15" t="s">
        <v>37</v>
      </c>
      <c r="D1011" s="15" t="s">
        <v>8</v>
      </c>
      <c r="E1011" s="15" t="s">
        <v>36</v>
      </c>
      <c r="F1011" s="14">
        <v>60</v>
      </c>
      <c r="G1011" s="16">
        <v>44856</v>
      </c>
      <c r="H1011" s="7">
        <f t="shared" si="15"/>
        <v>1</v>
      </c>
      <c r="I101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1011" s="24" t="str">
        <f>TEXT(Table1[[#This Row],[Date]],"mmm")</f>
        <v>Oct</v>
      </c>
    </row>
    <row r="1012" spans="1:10" ht="15" customHeight="1">
      <c r="A1012" s="14" t="s">
        <v>141</v>
      </c>
      <c r="B1012" s="15" t="s">
        <v>157</v>
      </c>
      <c r="C1012" s="15" t="s">
        <v>16</v>
      </c>
      <c r="D1012" s="15" t="s">
        <v>8</v>
      </c>
      <c r="E1012" s="15" t="s">
        <v>9</v>
      </c>
      <c r="F1012" s="14">
        <v>40</v>
      </c>
      <c r="G1012" s="16">
        <v>44856</v>
      </c>
      <c r="H1012" s="7">
        <f t="shared" si="15"/>
        <v>0.66666666666666663</v>
      </c>
      <c r="I101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1012" s="24" t="str">
        <f>TEXT(Table1[[#This Row],[Date]],"mmm")</f>
        <v>Oct</v>
      </c>
    </row>
    <row r="1013" spans="1:10" ht="15" customHeight="1">
      <c r="A1013" s="14" t="s">
        <v>141</v>
      </c>
      <c r="B1013" s="15" t="s">
        <v>142</v>
      </c>
      <c r="C1013" s="15" t="s">
        <v>89</v>
      </c>
      <c r="D1013" s="15" t="s">
        <v>69</v>
      </c>
      <c r="E1013" s="15" t="s">
        <v>75</v>
      </c>
      <c r="F1013" s="14">
        <v>150</v>
      </c>
      <c r="G1013" s="16">
        <v>44856</v>
      </c>
      <c r="H1013" s="7">
        <f t="shared" si="15"/>
        <v>2.5</v>
      </c>
      <c r="I101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1013" s="24" t="str">
        <f>TEXT(Table1[[#This Row],[Date]],"mmm")</f>
        <v>Oct</v>
      </c>
    </row>
    <row r="1014" spans="1:10" ht="15" customHeight="1">
      <c r="A1014" s="14" t="s">
        <v>141</v>
      </c>
      <c r="B1014" s="15" t="s">
        <v>142</v>
      </c>
      <c r="C1014" s="15" t="s">
        <v>137</v>
      </c>
      <c r="D1014" s="15" t="s">
        <v>8</v>
      </c>
      <c r="E1014" s="15" t="s">
        <v>35</v>
      </c>
      <c r="F1014" s="14">
        <v>120</v>
      </c>
      <c r="G1014" s="16">
        <v>44856</v>
      </c>
      <c r="H1014" s="7">
        <f t="shared" si="15"/>
        <v>2</v>
      </c>
      <c r="I101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1014" s="24" t="str">
        <f>TEXT(Table1[[#This Row],[Date]],"mmm")</f>
        <v>Oct</v>
      </c>
    </row>
    <row r="1015" spans="1:10" ht="15" customHeight="1">
      <c r="A1015" s="14" t="s">
        <v>141</v>
      </c>
      <c r="B1015" s="15" t="s">
        <v>157</v>
      </c>
      <c r="C1015" s="15" t="s">
        <v>44</v>
      </c>
      <c r="D1015" s="15" t="s">
        <v>8</v>
      </c>
      <c r="E1015" s="15" t="s">
        <v>12</v>
      </c>
      <c r="F1015" s="14">
        <v>90</v>
      </c>
      <c r="G1015" s="16">
        <v>44856</v>
      </c>
      <c r="H1015" s="7">
        <f t="shared" si="15"/>
        <v>1.5</v>
      </c>
      <c r="I101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1015" s="24" t="str">
        <f>TEXT(Table1[[#This Row],[Date]],"mmm")</f>
        <v>Oct</v>
      </c>
    </row>
    <row r="1016" spans="1:10" ht="15" customHeight="1">
      <c r="A1016" s="14" t="s">
        <v>140</v>
      </c>
      <c r="B1016" s="15" t="s">
        <v>10</v>
      </c>
      <c r="C1016" s="15" t="s">
        <v>10</v>
      </c>
      <c r="D1016" s="15" t="s">
        <v>8</v>
      </c>
      <c r="E1016" s="15" t="s">
        <v>10</v>
      </c>
      <c r="F1016" s="14">
        <v>20</v>
      </c>
      <c r="G1016" s="16">
        <v>44856</v>
      </c>
      <c r="H1016" s="7">
        <f t="shared" si="15"/>
        <v>0.33333333333333331</v>
      </c>
      <c r="I101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1016" s="24" t="str">
        <f>TEXT(Table1[[#This Row],[Date]],"mmm")</f>
        <v>Oct</v>
      </c>
    </row>
    <row r="1017" spans="1:10" ht="15" customHeight="1">
      <c r="A1017" s="14" t="s">
        <v>140</v>
      </c>
      <c r="B1017" s="15" t="s">
        <v>152</v>
      </c>
      <c r="C1017" s="15" t="s">
        <v>153</v>
      </c>
      <c r="D1017" s="15" t="s">
        <v>8</v>
      </c>
      <c r="E1017" s="15" t="s">
        <v>12</v>
      </c>
      <c r="F1017" s="14">
        <v>25</v>
      </c>
      <c r="G1017" s="16">
        <v>44856</v>
      </c>
      <c r="H1017" s="7">
        <f t="shared" si="15"/>
        <v>0.41666666666666669</v>
      </c>
      <c r="I101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1017" s="24" t="str">
        <f>TEXT(Table1[[#This Row],[Date]],"mmm")</f>
        <v>Oct</v>
      </c>
    </row>
    <row r="1018" spans="1:10" ht="15" customHeight="1">
      <c r="A1018" s="14" t="s">
        <v>140</v>
      </c>
      <c r="B1018" s="15" t="s">
        <v>159</v>
      </c>
      <c r="C1018" s="15" t="s">
        <v>17</v>
      </c>
      <c r="D1018" s="15" t="s">
        <v>11</v>
      </c>
      <c r="E1018" s="15" t="s">
        <v>17</v>
      </c>
      <c r="F1018" s="14">
        <v>40</v>
      </c>
      <c r="G1018" s="16">
        <v>44856</v>
      </c>
      <c r="H1018" s="7">
        <f t="shared" si="15"/>
        <v>0.66666666666666663</v>
      </c>
      <c r="I101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1018" s="24" t="str">
        <f>TEXT(Table1[[#This Row],[Date]],"mmm")</f>
        <v>Oct</v>
      </c>
    </row>
    <row r="1019" spans="1:10" ht="15" customHeight="1">
      <c r="A1019" s="14" t="s">
        <v>140</v>
      </c>
      <c r="B1019" s="15" t="s">
        <v>159</v>
      </c>
      <c r="C1019" s="15" t="s">
        <v>44</v>
      </c>
      <c r="D1019" s="15" t="s">
        <v>8</v>
      </c>
      <c r="E1019" s="15" t="s">
        <v>12</v>
      </c>
      <c r="F1019" s="14">
        <v>110</v>
      </c>
      <c r="G1019" s="16">
        <v>44856</v>
      </c>
      <c r="H1019" s="7">
        <f t="shared" si="15"/>
        <v>1.8333333333333333</v>
      </c>
      <c r="I101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1019" s="24" t="str">
        <f>TEXT(Table1[[#This Row],[Date]],"mmm")</f>
        <v>Oct</v>
      </c>
    </row>
    <row r="1020" spans="1:10" ht="15" customHeight="1">
      <c r="A1020" s="14" t="s">
        <v>140</v>
      </c>
      <c r="B1020" s="15" t="s">
        <v>159</v>
      </c>
      <c r="C1020" s="15" t="s">
        <v>48</v>
      </c>
      <c r="D1020" s="15" t="s">
        <v>11</v>
      </c>
      <c r="E1020" s="15" t="s">
        <v>88</v>
      </c>
      <c r="F1020" s="14">
        <v>30</v>
      </c>
      <c r="G1020" s="16">
        <v>44856</v>
      </c>
      <c r="H1020" s="7">
        <f t="shared" si="15"/>
        <v>0.5</v>
      </c>
      <c r="I102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1020" s="24" t="str">
        <f>TEXT(Table1[[#This Row],[Date]],"mmm")</f>
        <v>Oct</v>
      </c>
    </row>
    <row r="1021" spans="1:10" ht="15" customHeight="1">
      <c r="A1021" s="14" t="s">
        <v>140</v>
      </c>
      <c r="B1021" s="15" t="s">
        <v>159</v>
      </c>
      <c r="C1021" s="15" t="s">
        <v>51</v>
      </c>
      <c r="D1021" s="15" t="s">
        <v>8</v>
      </c>
      <c r="E1021" s="15" t="s">
        <v>19</v>
      </c>
      <c r="F1021" s="14">
        <v>25</v>
      </c>
      <c r="G1021" s="16">
        <v>44856</v>
      </c>
      <c r="H1021" s="7">
        <f t="shared" si="15"/>
        <v>0.41666666666666669</v>
      </c>
      <c r="I102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1021" s="24" t="str">
        <f>TEXT(Table1[[#This Row],[Date]],"mmm")</f>
        <v>Oct</v>
      </c>
    </row>
    <row r="1022" spans="1:10" ht="15" customHeight="1">
      <c r="A1022" s="14" t="s">
        <v>140</v>
      </c>
      <c r="B1022" s="15" t="s">
        <v>159</v>
      </c>
      <c r="C1022" s="15" t="s">
        <v>161</v>
      </c>
      <c r="D1022" s="15" t="s">
        <v>11</v>
      </c>
      <c r="E1022" s="15" t="s">
        <v>9</v>
      </c>
      <c r="F1022" s="14">
        <v>25</v>
      </c>
      <c r="G1022" s="16">
        <v>44856</v>
      </c>
      <c r="H1022" s="7">
        <f t="shared" si="15"/>
        <v>0.41666666666666669</v>
      </c>
      <c r="I102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1022" s="24" t="str">
        <f>TEXT(Table1[[#This Row],[Date]],"mmm")</f>
        <v>Oct</v>
      </c>
    </row>
    <row r="1023" spans="1:10" ht="15" customHeight="1">
      <c r="A1023" s="14" t="s">
        <v>140</v>
      </c>
      <c r="B1023" s="15" t="s">
        <v>159</v>
      </c>
      <c r="C1023" s="15" t="s">
        <v>103</v>
      </c>
      <c r="D1023" s="15" t="s">
        <v>11</v>
      </c>
      <c r="E1023" s="15" t="s">
        <v>103</v>
      </c>
      <c r="F1023" s="14">
        <v>60</v>
      </c>
      <c r="G1023" s="16">
        <v>44856</v>
      </c>
      <c r="H1023" s="7">
        <f t="shared" si="15"/>
        <v>1</v>
      </c>
      <c r="I102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1023" s="24" t="str">
        <f>TEXT(Table1[[#This Row],[Date]],"mmm")</f>
        <v>Oct</v>
      </c>
    </row>
    <row r="1024" spans="1:10" ht="15" customHeight="1">
      <c r="A1024" s="14" t="s">
        <v>140</v>
      </c>
      <c r="B1024" s="15" t="s">
        <v>159</v>
      </c>
      <c r="C1024" s="15" t="s">
        <v>161</v>
      </c>
      <c r="D1024" s="15" t="s">
        <v>8</v>
      </c>
      <c r="E1024" s="15" t="s">
        <v>9</v>
      </c>
      <c r="F1024" s="14">
        <v>40</v>
      </c>
      <c r="G1024" s="16">
        <v>44856</v>
      </c>
      <c r="H1024" s="7">
        <f t="shared" si="15"/>
        <v>0.66666666666666663</v>
      </c>
      <c r="I102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1024" s="24" t="str">
        <f>TEXT(Table1[[#This Row],[Date]],"mmm")</f>
        <v>Oct</v>
      </c>
    </row>
    <row r="1025" spans="1:10" ht="15" customHeight="1">
      <c r="A1025" s="14" t="s">
        <v>140</v>
      </c>
      <c r="B1025" s="15" t="s">
        <v>6</v>
      </c>
      <c r="C1025" s="15" t="s">
        <v>47</v>
      </c>
      <c r="D1025" s="15" t="s">
        <v>8</v>
      </c>
      <c r="E1025" s="15" t="s">
        <v>9</v>
      </c>
      <c r="F1025" s="14">
        <v>30</v>
      </c>
      <c r="G1025" s="16">
        <v>44856</v>
      </c>
      <c r="H1025" s="7">
        <f t="shared" si="15"/>
        <v>0.5</v>
      </c>
      <c r="I102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1025" s="24" t="str">
        <f>TEXT(Table1[[#This Row],[Date]],"mmm")</f>
        <v>Oct</v>
      </c>
    </row>
    <row r="1026" spans="1:10" ht="15" customHeight="1">
      <c r="A1026" s="14" t="s">
        <v>140</v>
      </c>
      <c r="B1026" s="15" t="s">
        <v>6</v>
      </c>
      <c r="C1026" s="15" t="s">
        <v>52</v>
      </c>
      <c r="D1026" s="15" t="s">
        <v>11</v>
      </c>
      <c r="E1026" s="15" t="s">
        <v>9</v>
      </c>
      <c r="F1026" s="14">
        <v>35</v>
      </c>
      <c r="G1026" s="16">
        <v>44856</v>
      </c>
      <c r="H1026" s="7">
        <f t="shared" ref="H1026:H1089" si="16">IFERROR(IF(ISBLANK(F1026)=TRUE(),"",F1026/60),"")</f>
        <v>0.58333333333333337</v>
      </c>
      <c r="I102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1026" s="24" t="str">
        <f>TEXT(Table1[[#This Row],[Date]],"mmm")</f>
        <v>Oct</v>
      </c>
    </row>
    <row r="1027" spans="1:10" ht="15" customHeight="1">
      <c r="A1027" s="14" t="s">
        <v>140</v>
      </c>
      <c r="B1027" s="15" t="s">
        <v>6</v>
      </c>
      <c r="C1027" s="15" t="s">
        <v>17</v>
      </c>
      <c r="D1027" s="15" t="s">
        <v>11</v>
      </c>
      <c r="E1027" s="15" t="s">
        <v>17</v>
      </c>
      <c r="F1027" s="14">
        <v>45</v>
      </c>
      <c r="G1027" s="16">
        <v>44856</v>
      </c>
      <c r="H1027" s="7">
        <f t="shared" si="16"/>
        <v>0.75</v>
      </c>
      <c r="I102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16-Oct-22 - to - 22-Oct-22</v>
      </c>
      <c r="J1027" s="24" t="str">
        <f>TEXT(Table1[[#This Row],[Date]],"mmm")</f>
        <v>Oct</v>
      </c>
    </row>
    <row r="1028" spans="1:10" ht="15" customHeight="1">
      <c r="A1028" s="14" t="s">
        <v>140</v>
      </c>
      <c r="B1028" s="15" t="s">
        <v>159</v>
      </c>
      <c r="C1028" s="15" t="s">
        <v>48</v>
      </c>
      <c r="D1028" s="15" t="s">
        <v>11</v>
      </c>
      <c r="E1028" s="15" t="s">
        <v>88</v>
      </c>
      <c r="F1028" s="14">
        <v>20</v>
      </c>
      <c r="G1028" s="16">
        <v>44887</v>
      </c>
      <c r="H1028" s="7">
        <f t="shared" si="16"/>
        <v>0.33333333333333331</v>
      </c>
      <c r="I102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20-Nov-22 - to - 26-Nov-22</v>
      </c>
      <c r="J1028" s="24" t="str">
        <f>TEXT(Table1[[#This Row],[Date]],"mmm")</f>
        <v>Nov</v>
      </c>
    </row>
    <row r="1029" spans="1:10" ht="15" customHeight="1">
      <c r="A1029" s="14" t="s">
        <v>140</v>
      </c>
      <c r="B1029" s="15" t="s">
        <v>10</v>
      </c>
      <c r="C1029" s="15" t="s">
        <v>10</v>
      </c>
      <c r="D1029" s="15" t="s">
        <v>8</v>
      </c>
      <c r="E1029" s="15" t="s">
        <v>10</v>
      </c>
      <c r="F1029" s="14">
        <v>20</v>
      </c>
      <c r="G1029" s="16">
        <v>44887</v>
      </c>
      <c r="H1029" s="7">
        <f t="shared" si="16"/>
        <v>0.33333333333333331</v>
      </c>
      <c r="I102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20-Nov-22 - to - 26-Nov-22</v>
      </c>
      <c r="J1029" s="24" t="str">
        <f>TEXT(Table1[[#This Row],[Date]],"mmm")</f>
        <v>Nov</v>
      </c>
    </row>
    <row r="1030" spans="1:10" ht="15" customHeight="1">
      <c r="A1030" s="14" t="s">
        <v>140</v>
      </c>
      <c r="B1030" s="15" t="s">
        <v>154</v>
      </c>
      <c r="C1030" s="15" t="s">
        <v>121</v>
      </c>
      <c r="D1030" s="15" t="s">
        <v>11</v>
      </c>
      <c r="E1030" s="15" t="s">
        <v>9</v>
      </c>
      <c r="F1030" s="14">
        <v>25</v>
      </c>
      <c r="G1030" s="16">
        <v>44887</v>
      </c>
      <c r="H1030" s="7">
        <f t="shared" si="16"/>
        <v>0.41666666666666669</v>
      </c>
      <c r="I103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20-Nov-22 - to - 26-Nov-22</v>
      </c>
      <c r="J1030" s="24" t="str">
        <f>TEXT(Table1[[#This Row],[Date]],"mmm")</f>
        <v>Nov</v>
      </c>
    </row>
    <row r="1031" spans="1:10" ht="15" customHeight="1">
      <c r="A1031" s="14" t="s">
        <v>140</v>
      </c>
      <c r="B1031" s="15" t="s">
        <v>154</v>
      </c>
      <c r="C1031" s="15" t="s">
        <v>122</v>
      </c>
      <c r="D1031" s="15" t="s">
        <v>11</v>
      </c>
      <c r="E1031" s="15" t="s">
        <v>9</v>
      </c>
      <c r="F1031" s="14">
        <v>45</v>
      </c>
      <c r="G1031" s="16">
        <v>44887</v>
      </c>
      <c r="H1031" s="7">
        <f t="shared" si="16"/>
        <v>0.75</v>
      </c>
      <c r="I103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20-Nov-22 - to - 26-Nov-22</v>
      </c>
      <c r="J1031" s="24" t="str">
        <f>TEXT(Table1[[#This Row],[Date]],"mmm")</f>
        <v>Nov</v>
      </c>
    </row>
    <row r="1032" spans="1:10" ht="15" customHeight="1">
      <c r="A1032" s="14" t="s">
        <v>140</v>
      </c>
      <c r="B1032" s="15" t="s">
        <v>159</v>
      </c>
      <c r="C1032" s="15" t="s">
        <v>52</v>
      </c>
      <c r="D1032" s="15" t="s">
        <v>138</v>
      </c>
      <c r="E1032" s="15" t="s">
        <v>9</v>
      </c>
      <c r="F1032" s="14">
        <v>65</v>
      </c>
      <c r="G1032" s="16">
        <v>44887</v>
      </c>
      <c r="H1032" s="7">
        <f t="shared" si="16"/>
        <v>1.0833333333333333</v>
      </c>
      <c r="I103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20-Nov-22 - to - 26-Nov-22</v>
      </c>
      <c r="J1032" s="24" t="str">
        <f>TEXT(Table1[[#This Row],[Date]],"mmm")</f>
        <v>Nov</v>
      </c>
    </row>
    <row r="1033" spans="1:10" ht="15" customHeight="1">
      <c r="A1033" s="14" t="s">
        <v>140</v>
      </c>
      <c r="B1033" s="15" t="s">
        <v>152</v>
      </c>
      <c r="C1033" s="15" t="s">
        <v>153</v>
      </c>
      <c r="D1033" s="15" t="s">
        <v>8</v>
      </c>
      <c r="E1033" s="15" t="s">
        <v>12</v>
      </c>
      <c r="F1033" s="14">
        <v>25</v>
      </c>
      <c r="G1033" s="16">
        <v>44887</v>
      </c>
      <c r="H1033" s="7">
        <f t="shared" si="16"/>
        <v>0.41666666666666669</v>
      </c>
      <c r="I103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20-Nov-22 - to - 26-Nov-22</v>
      </c>
      <c r="J1033" s="24" t="str">
        <f>TEXT(Table1[[#This Row],[Date]],"mmm")</f>
        <v>Nov</v>
      </c>
    </row>
    <row r="1034" spans="1:10" ht="15" customHeight="1">
      <c r="A1034" s="14" t="s">
        <v>140</v>
      </c>
      <c r="B1034" s="15" t="s">
        <v>154</v>
      </c>
      <c r="C1034" s="15" t="s">
        <v>123</v>
      </c>
      <c r="D1034" s="15" t="s">
        <v>8</v>
      </c>
      <c r="E1034" s="15" t="s">
        <v>124</v>
      </c>
      <c r="F1034" s="14">
        <v>35</v>
      </c>
      <c r="G1034" s="16">
        <v>44887</v>
      </c>
      <c r="H1034" s="7">
        <f t="shared" si="16"/>
        <v>0.58333333333333337</v>
      </c>
      <c r="I103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20-Nov-22 - to - 26-Nov-22</v>
      </c>
      <c r="J1034" s="24" t="str">
        <f>TEXT(Table1[[#This Row],[Date]],"mmm")</f>
        <v>Nov</v>
      </c>
    </row>
    <row r="1035" spans="1:10" ht="15" customHeight="1">
      <c r="A1035" s="14" t="s">
        <v>140</v>
      </c>
      <c r="B1035" s="15" t="s">
        <v>159</v>
      </c>
      <c r="C1035" s="15" t="s">
        <v>44</v>
      </c>
      <c r="D1035" s="15" t="s">
        <v>8</v>
      </c>
      <c r="E1035" s="15" t="s">
        <v>12</v>
      </c>
      <c r="F1035" s="14">
        <v>110</v>
      </c>
      <c r="G1035" s="16">
        <v>44887</v>
      </c>
      <c r="H1035" s="7">
        <f t="shared" si="16"/>
        <v>1.8333333333333333</v>
      </c>
      <c r="I103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20-Nov-22 - to - 26-Nov-22</v>
      </c>
      <c r="J1035" s="24" t="str">
        <f>TEXT(Table1[[#This Row],[Date]],"mmm")</f>
        <v>Nov</v>
      </c>
    </row>
    <row r="1036" spans="1:10" ht="15" customHeight="1">
      <c r="A1036" s="14" t="s">
        <v>140</v>
      </c>
      <c r="B1036" s="15" t="s">
        <v>159</v>
      </c>
      <c r="C1036" s="15" t="s">
        <v>108</v>
      </c>
      <c r="D1036" s="15" t="s">
        <v>138</v>
      </c>
      <c r="E1036" s="15" t="s">
        <v>9</v>
      </c>
      <c r="F1036" s="14">
        <v>45</v>
      </c>
      <c r="G1036" s="16">
        <v>44887</v>
      </c>
      <c r="H1036" s="7">
        <f t="shared" si="16"/>
        <v>0.75</v>
      </c>
      <c r="I103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20-Nov-22 - to - 26-Nov-22</v>
      </c>
      <c r="J1036" s="24" t="str">
        <f>TEXT(Table1[[#This Row],[Date]],"mmm")</f>
        <v>Nov</v>
      </c>
    </row>
    <row r="1037" spans="1:10" ht="15" customHeight="1">
      <c r="A1037" s="14" t="s">
        <v>140</v>
      </c>
      <c r="B1037" s="15" t="s">
        <v>159</v>
      </c>
      <c r="C1037" s="15" t="s">
        <v>113</v>
      </c>
      <c r="D1037" s="15" t="s">
        <v>138</v>
      </c>
      <c r="E1037" s="15" t="s">
        <v>114</v>
      </c>
      <c r="F1037" s="14">
        <v>20</v>
      </c>
      <c r="G1037" s="16">
        <v>44887</v>
      </c>
      <c r="H1037" s="7">
        <f t="shared" si="16"/>
        <v>0.33333333333333331</v>
      </c>
      <c r="I103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20-Nov-22 - to - 26-Nov-22</v>
      </c>
      <c r="J1037" s="24" t="str">
        <f>TEXT(Table1[[#This Row],[Date]],"mmm")</f>
        <v>Nov</v>
      </c>
    </row>
    <row r="1038" spans="1:10" ht="15" customHeight="1">
      <c r="A1038" s="14" t="s">
        <v>140</v>
      </c>
      <c r="B1038" s="15" t="s">
        <v>159</v>
      </c>
      <c r="C1038" s="15" t="s">
        <v>30</v>
      </c>
      <c r="D1038" s="15" t="s">
        <v>11</v>
      </c>
      <c r="E1038" s="15" t="s">
        <v>9</v>
      </c>
      <c r="F1038" s="14">
        <v>25</v>
      </c>
      <c r="G1038" s="16">
        <v>44887</v>
      </c>
      <c r="H1038" s="7">
        <f t="shared" si="16"/>
        <v>0.41666666666666669</v>
      </c>
      <c r="I103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20-Nov-22 - to - 26-Nov-22</v>
      </c>
      <c r="J1038" s="24" t="str">
        <f>TEXT(Table1[[#This Row],[Date]],"mmm")</f>
        <v>Nov</v>
      </c>
    </row>
    <row r="1039" spans="1:10" ht="15" customHeight="1">
      <c r="A1039" s="14" t="s">
        <v>140</v>
      </c>
      <c r="B1039" s="15" t="s">
        <v>160</v>
      </c>
      <c r="C1039" s="15" t="s">
        <v>58</v>
      </c>
      <c r="D1039" s="15" t="s">
        <v>11</v>
      </c>
      <c r="E1039" s="15" t="s">
        <v>125</v>
      </c>
      <c r="F1039" s="14">
        <v>40</v>
      </c>
      <c r="G1039" s="16">
        <v>44887</v>
      </c>
      <c r="H1039" s="7">
        <f t="shared" si="16"/>
        <v>0.66666666666666663</v>
      </c>
      <c r="I103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20-Nov-22 - to - 26-Nov-22</v>
      </c>
      <c r="J1039" s="24" t="str">
        <f>TEXT(Table1[[#This Row],[Date]],"mmm")</f>
        <v>Nov</v>
      </c>
    </row>
    <row r="1040" spans="1:10" ht="15" customHeight="1">
      <c r="A1040" s="14" t="s">
        <v>140</v>
      </c>
      <c r="B1040" s="15" t="s">
        <v>6</v>
      </c>
      <c r="C1040" s="15" t="s">
        <v>7</v>
      </c>
      <c r="D1040" s="15" t="s">
        <v>8</v>
      </c>
      <c r="E1040" s="15" t="s">
        <v>9</v>
      </c>
      <c r="F1040" s="14">
        <v>20</v>
      </c>
      <c r="G1040" s="16">
        <v>44887</v>
      </c>
      <c r="H1040" s="7">
        <f t="shared" si="16"/>
        <v>0.33333333333333331</v>
      </c>
      <c r="I104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20-Nov-22 - to - 26-Nov-22</v>
      </c>
      <c r="J1040" s="24" t="str">
        <f>TEXT(Table1[[#This Row],[Date]],"mmm")</f>
        <v>Nov</v>
      </c>
    </row>
    <row r="1041" spans="1:10" ht="15" customHeight="1">
      <c r="A1041" s="14" t="s">
        <v>140</v>
      </c>
      <c r="B1041" s="15" t="s">
        <v>159</v>
      </c>
      <c r="C1041" s="15" t="s">
        <v>47</v>
      </c>
      <c r="D1041" s="15" t="s">
        <v>11</v>
      </c>
      <c r="E1041" s="15" t="s">
        <v>9</v>
      </c>
      <c r="F1041" s="14">
        <v>35</v>
      </c>
      <c r="G1041" s="16">
        <v>44827</v>
      </c>
      <c r="H1041" s="7">
        <f t="shared" si="16"/>
        <v>0.58333333333333337</v>
      </c>
      <c r="I104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1041" s="24" t="str">
        <f>TEXT(Table1[[#This Row],[Date]],"mmm")</f>
        <v>Sep</v>
      </c>
    </row>
    <row r="1042" spans="1:10" ht="15" customHeight="1">
      <c r="A1042" s="14" t="s">
        <v>140</v>
      </c>
      <c r="B1042" s="15" t="s">
        <v>159</v>
      </c>
      <c r="C1042" s="15" t="s">
        <v>17</v>
      </c>
      <c r="D1042" s="15" t="s">
        <v>8</v>
      </c>
      <c r="E1042" s="15" t="s">
        <v>17</v>
      </c>
      <c r="F1042" s="14">
        <v>45</v>
      </c>
      <c r="G1042" s="16">
        <v>44827</v>
      </c>
      <c r="H1042" s="7">
        <f t="shared" si="16"/>
        <v>0.75</v>
      </c>
      <c r="I104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1042" s="24" t="str">
        <f>TEXT(Table1[[#This Row],[Date]],"mmm")</f>
        <v>Sep</v>
      </c>
    </row>
    <row r="1043" spans="1:10" ht="15" customHeight="1">
      <c r="A1043" s="14" t="s">
        <v>140</v>
      </c>
      <c r="B1043" s="15" t="s">
        <v>154</v>
      </c>
      <c r="C1043" s="15" t="s">
        <v>17</v>
      </c>
      <c r="D1043" s="15" t="s">
        <v>8</v>
      </c>
      <c r="E1043" s="15" t="s">
        <v>17</v>
      </c>
      <c r="F1043" s="14">
        <v>45</v>
      </c>
      <c r="G1043" s="16">
        <v>44827</v>
      </c>
      <c r="H1043" s="7">
        <f t="shared" si="16"/>
        <v>0.75</v>
      </c>
      <c r="I104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1043" s="24" t="str">
        <f>TEXT(Table1[[#This Row],[Date]],"mmm")</f>
        <v>Sep</v>
      </c>
    </row>
    <row r="1044" spans="1:10" ht="15" customHeight="1">
      <c r="A1044" s="14" t="s">
        <v>140</v>
      </c>
      <c r="B1044" s="15" t="s">
        <v>160</v>
      </c>
      <c r="C1044" s="15" t="s">
        <v>58</v>
      </c>
      <c r="D1044" s="15" t="s">
        <v>11</v>
      </c>
      <c r="E1044" s="15" t="s">
        <v>125</v>
      </c>
      <c r="F1044" s="14">
        <v>95</v>
      </c>
      <c r="G1044" s="16">
        <v>44827</v>
      </c>
      <c r="H1044" s="7">
        <f t="shared" si="16"/>
        <v>1.5833333333333333</v>
      </c>
      <c r="I104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1044" s="24" t="str">
        <f>TEXT(Table1[[#This Row],[Date]],"mmm")</f>
        <v>Sep</v>
      </c>
    </row>
    <row r="1045" spans="1:10" ht="15" customHeight="1">
      <c r="A1045" s="14" t="s">
        <v>140</v>
      </c>
      <c r="B1045" s="15" t="s">
        <v>10</v>
      </c>
      <c r="C1045" s="15" t="s">
        <v>10</v>
      </c>
      <c r="D1045" s="15" t="s">
        <v>8</v>
      </c>
      <c r="E1045" s="15" t="s">
        <v>10</v>
      </c>
      <c r="F1045" s="14">
        <v>20</v>
      </c>
      <c r="G1045" s="16">
        <v>44827</v>
      </c>
      <c r="H1045" s="7">
        <f t="shared" si="16"/>
        <v>0.33333333333333331</v>
      </c>
      <c r="I104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1045" s="24" t="str">
        <f>TEXT(Table1[[#This Row],[Date]],"mmm")</f>
        <v>Sep</v>
      </c>
    </row>
    <row r="1046" spans="1:10" ht="15" customHeight="1">
      <c r="A1046" s="14" t="s">
        <v>140</v>
      </c>
      <c r="B1046" s="15" t="s">
        <v>159</v>
      </c>
      <c r="C1046" s="15" t="s">
        <v>15</v>
      </c>
      <c r="D1046" s="15" t="s">
        <v>11</v>
      </c>
      <c r="E1046" s="15" t="s">
        <v>9</v>
      </c>
      <c r="F1046" s="14">
        <v>35</v>
      </c>
      <c r="G1046" s="16">
        <v>44827</v>
      </c>
      <c r="H1046" s="7">
        <f t="shared" si="16"/>
        <v>0.58333333333333337</v>
      </c>
      <c r="I104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1046" s="24" t="str">
        <f>TEXT(Table1[[#This Row],[Date]],"mmm")</f>
        <v>Sep</v>
      </c>
    </row>
    <row r="1047" spans="1:10" ht="15" customHeight="1">
      <c r="A1047" s="14" t="s">
        <v>140</v>
      </c>
      <c r="B1047" s="15" t="s">
        <v>20</v>
      </c>
      <c r="C1047" s="15" t="s">
        <v>20</v>
      </c>
      <c r="D1047" s="15" t="s">
        <v>11</v>
      </c>
      <c r="E1047" s="15" t="s">
        <v>20</v>
      </c>
      <c r="F1047" s="14">
        <v>80</v>
      </c>
      <c r="G1047" s="16">
        <v>44827</v>
      </c>
      <c r="H1047" s="7">
        <f t="shared" si="16"/>
        <v>1.3333333333333333</v>
      </c>
      <c r="I104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1047" s="24" t="str">
        <f>TEXT(Table1[[#This Row],[Date]],"mmm")</f>
        <v>Sep</v>
      </c>
    </row>
    <row r="1048" spans="1:10" ht="15" customHeight="1">
      <c r="A1048" s="14" t="s">
        <v>140</v>
      </c>
      <c r="B1048" s="15" t="s">
        <v>160</v>
      </c>
      <c r="C1048" s="15" t="s">
        <v>15</v>
      </c>
      <c r="D1048" s="15" t="s">
        <v>11</v>
      </c>
      <c r="E1048" s="15" t="s">
        <v>9</v>
      </c>
      <c r="F1048" s="14">
        <v>35</v>
      </c>
      <c r="G1048" s="16">
        <v>44827</v>
      </c>
      <c r="H1048" s="7">
        <f t="shared" si="16"/>
        <v>0.58333333333333337</v>
      </c>
      <c r="I104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1048" s="24" t="str">
        <f>TEXT(Table1[[#This Row],[Date]],"mmm")</f>
        <v>Sep</v>
      </c>
    </row>
    <row r="1049" spans="1:10" ht="15" customHeight="1">
      <c r="A1049" s="14" t="s">
        <v>140</v>
      </c>
      <c r="B1049" s="15" t="s">
        <v>159</v>
      </c>
      <c r="C1049" s="15" t="s">
        <v>44</v>
      </c>
      <c r="D1049" s="15" t="s">
        <v>8</v>
      </c>
      <c r="E1049" s="15" t="s">
        <v>12</v>
      </c>
      <c r="F1049" s="14">
        <v>120</v>
      </c>
      <c r="G1049" s="16">
        <v>44827</v>
      </c>
      <c r="H1049" s="7">
        <f t="shared" si="16"/>
        <v>2</v>
      </c>
      <c r="I104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1049" s="24" t="str">
        <f>TEXT(Table1[[#This Row],[Date]],"mmm")</f>
        <v>Sep</v>
      </c>
    </row>
    <row r="1050" spans="1:10" ht="15" customHeight="1">
      <c r="A1050" s="14" t="s">
        <v>141</v>
      </c>
      <c r="B1050" s="15" t="s">
        <v>36</v>
      </c>
      <c r="C1050" s="15" t="s">
        <v>37</v>
      </c>
      <c r="D1050" s="15" t="s">
        <v>8</v>
      </c>
      <c r="E1050" s="15" t="s">
        <v>36</v>
      </c>
      <c r="F1050" s="14">
        <v>60</v>
      </c>
      <c r="G1050" s="16">
        <v>44827</v>
      </c>
      <c r="H1050" s="7">
        <f t="shared" si="16"/>
        <v>1</v>
      </c>
      <c r="I105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1050" s="24" t="str">
        <f>TEXT(Table1[[#This Row],[Date]],"mmm")</f>
        <v>Sep</v>
      </c>
    </row>
    <row r="1051" spans="1:10" ht="15" customHeight="1">
      <c r="A1051" s="14" t="s">
        <v>141</v>
      </c>
      <c r="B1051" s="15" t="s">
        <v>142</v>
      </c>
      <c r="C1051" s="15" t="s">
        <v>137</v>
      </c>
      <c r="D1051" s="15" t="s">
        <v>8</v>
      </c>
      <c r="E1051" s="15" t="s">
        <v>35</v>
      </c>
      <c r="F1051" s="14">
        <v>120</v>
      </c>
      <c r="G1051" s="16">
        <v>44827</v>
      </c>
      <c r="H1051" s="7">
        <f t="shared" si="16"/>
        <v>2</v>
      </c>
      <c r="I105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1051" s="24" t="str">
        <f>TEXT(Table1[[#This Row],[Date]],"mmm")</f>
        <v>Sep</v>
      </c>
    </row>
    <row r="1052" spans="1:10" ht="15" customHeight="1">
      <c r="A1052" s="14" t="s">
        <v>141</v>
      </c>
      <c r="B1052" s="15" t="s">
        <v>157</v>
      </c>
      <c r="C1052" s="15" t="s">
        <v>16</v>
      </c>
      <c r="D1052" s="15" t="s">
        <v>8</v>
      </c>
      <c r="E1052" s="15" t="s">
        <v>9</v>
      </c>
      <c r="F1052" s="14">
        <v>45</v>
      </c>
      <c r="G1052" s="16">
        <v>44827</v>
      </c>
      <c r="H1052" s="7">
        <f t="shared" si="16"/>
        <v>0.75</v>
      </c>
      <c r="I105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1052" s="24" t="str">
        <f>TEXT(Table1[[#This Row],[Date]],"mmm")</f>
        <v>Sep</v>
      </c>
    </row>
    <row r="1053" spans="1:10" ht="15" customHeight="1">
      <c r="A1053" s="14" t="s">
        <v>141</v>
      </c>
      <c r="B1053" s="15" t="s">
        <v>10</v>
      </c>
      <c r="C1053" s="15" t="s">
        <v>10</v>
      </c>
      <c r="D1053" s="15" t="s">
        <v>8</v>
      </c>
      <c r="E1053" s="15" t="s">
        <v>10</v>
      </c>
      <c r="F1053" s="14">
        <v>20</v>
      </c>
      <c r="G1053" s="16">
        <v>44827</v>
      </c>
      <c r="H1053" s="7">
        <f t="shared" si="16"/>
        <v>0.33333333333333331</v>
      </c>
      <c r="I105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1053" s="24" t="str">
        <f>TEXT(Table1[[#This Row],[Date]],"mmm")</f>
        <v>Sep</v>
      </c>
    </row>
    <row r="1054" spans="1:10" ht="15" customHeight="1">
      <c r="A1054" s="14" t="s">
        <v>141</v>
      </c>
      <c r="B1054" s="15" t="s">
        <v>20</v>
      </c>
      <c r="C1054" s="15" t="s">
        <v>20</v>
      </c>
      <c r="D1054" s="15" t="s">
        <v>138</v>
      </c>
      <c r="E1054" s="15" t="s">
        <v>20</v>
      </c>
      <c r="F1054" s="14">
        <v>80</v>
      </c>
      <c r="G1054" s="16">
        <v>44827</v>
      </c>
      <c r="H1054" s="7">
        <f t="shared" si="16"/>
        <v>1.3333333333333333</v>
      </c>
      <c r="I105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1054" s="24" t="str">
        <f>TEXT(Table1[[#This Row],[Date]],"mmm")</f>
        <v>Sep</v>
      </c>
    </row>
    <row r="1055" spans="1:10" ht="15" customHeight="1">
      <c r="A1055" s="14" t="s">
        <v>141</v>
      </c>
      <c r="B1055" s="15" t="s">
        <v>142</v>
      </c>
      <c r="C1055" s="15" t="s">
        <v>15</v>
      </c>
      <c r="D1055" s="15" t="s">
        <v>11</v>
      </c>
      <c r="E1055" s="15" t="s">
        <v>9</v>
      </c>
      <c r="F1055" s="14">
        <v>175</v>
      </c>
      <c r="G1055" s="16">
        <v>44827</v>
      </c>
      <c r="H1055" s="7">
        <f t="shared" si="16"/>
        <v>2.9166666666666665</v>
      </c>
      <c r="I105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1055" s="24" t="str">
        <f>TEXT(Table1[[#This Row],[Date]],"mmm")</f>
        <v>Sep</v>
      </c>
    </row>
    <row r="1056" spans="1:10" ht="15" customHeight="1">
      <c r="A1056" s="14" t="s">
        <v>141</v>
      </c>
      <c r="B1056" s="15" t="s">
        <v>36</v>
      </c>
      <c r="C1056" s="15" t="s">
        <v>37</v>
      </c>
      <c r="D1056" s="15" t="s">
        <v>8</v>
      </c>
      <c r="E1056" s="15" t="s">
        <v>36</v>
      </c>
      <c r="F1056" s="14">
        <v>60</v>
      </c>
      <c r="G1056" s="16">
        <v>44828</v>
      </c>
      <c r="H1056" s="7">
        <f t="shared" si="16"/>
        <v>1</v>
      </c>
      <c r="I105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1056" s="24" t="str">
        <f>TEXT(Table1[[#This Row],[Date]],"mmm")</f>
        <v>Sep</v>
      </c>
    </row>
    <row r="1057" spans="1:10" ht="15" customHeight="1">
      <c r="A1057" s="14" t="s">
        <v>141</v>
      </c>
      <c r="B1057" s="15" t="s">
        <v>142</v>
      </c>
      <c r="C1057" s="15" t="s">
        <v>137</v>
      </c>
      <c r="D1057" s="15" t="s">
        <v>8</v>
      </c>
      <c r="E1057" s="15" t="s">
        <v>35</v>
      </c>
      <c r="F1057" s="14">
        <v>120</v>
      </c>
      <c r="G1057" s="16">
        <v>44828</v>
      </c>
      <c r="H1057" s="7">
        <f t="shared" si="16"/>
        <v>2</v>
      </c>
      <c r="I105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1057" s="24" t="str">
        <f>TEXT(Table1[[#This Row],[Date]],"mmm")</f>
        <v>Sep</v>
      </c>
    </row>
    <row r="1058" spans="1:10" ht="15" customHeight="1">
      <c r="A1058" s="14" t="s">
        <v>141</v>
      </c>
      <c r="B1058" s="15" t="s">
        <v>157</v>
      </c>
      <c r="C1058" s="15" t="s">
        <v>16</v>
      </c>
      <c r="D1058" s="15" t="s">
        <v>8</v>
      </c>
      <c r="E1058" s="15" t="s">
        <v>9</v>
      </c>
      <c r="F1058" s="14">
        <v>30</v>
      </c>
      <c r="G1058" s="16">
        <v>44828</v>
      </c>
      <c r="H1058" s="7">
        <f t="shared" si="16"/>
        <v>0.5</v>
      </c>
      <c r="I105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1058" s="24" t="str">
        <f>TEXT(Table1[[#This Row],[Date]],"mmm")</f>
        <v>Sep</v>
      </c>
    </row>
    <row r="1059" spans="1:10" ht="15" customHeight="1">
      <c r="A1059" s="14" t="s">
        <v>141</v>
      </c>
      <c r="B1059" s="15" t="s">
        <v>96</v>
      </c>
      <c r="C1059" s="15" t="s">
        <v>10</v>
      </c>
      <c r="D1059" s="15" t="s">
        <v>8</v>
      </c>
      <c r="E1059" s="15" t="s">
        <v>10</v>
      </c>
      <c r="F1059" s="14">
        <v>20</v>
      </c>
      <c r="G1059" s="16">
        <v>44828</v>
      </c>
      <c r="H1059" s="7">
        <f t="shared" si="16"/>
        <v>0.33333333333333331</v>
      </c>
      <c r="I105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1059" s="24" t="str">
        <f>TEXT(Table1[[#This Row],[Date]],"mmm")</f>
        <v>Sep</v>
      </c>
    </row>
    <row r="1060" spans="1:10" ht="15" customHeight="1">
      <c r="A1060" s="14" t="s">
        <v>141</v>
      </c>
      <c r="B1060" s="15" t="s">
        <v>157</v>
      </c>
      <c r="C1060" s="15" t="s">
        <v>44</v>
      </c>
      <c r="D1060" s="15" t="s">
        <v>8</v>
      </c>
      <c r="E1060" s="15" t="s">
        <v>12</v>
      </c>
      <c r="F1060" s="14">
        <v>60</v>
      </c>
      <c r="G1060" s="16">
        <v>44828</v>
      </c>
      <c r="H1060" s="7">
        <f t="shared" si="16"/>
        <v>1</v>
      </c>
      <c r="I106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1060" s="24" t="str">
        <f>TEXT(Table1[[#This Row],[Date]],"mmm")</f>
        <v>Sep</v>
      </c>
    </row>
    <row r="1061" spans="1:10" ht="15" customHeight="1">
      <c r="A1061" s="14" t="s">
        <v>141</v>
      </c>
      <c r="B1061" s="15" t="s">
        <v>20</v>
      </c>
      <c r="C1061" s="15" t="s">
        <v>20</v>
      </c>
      <c r="D1061" s="15" t="s">
        <v>138</v>
      </c>
      <c r="E1061" s="15" t="s">
        <v>20</v>
      </c>
      <c r="F1061" s="14">
        <v>38</v>
      </c>
      <c r="G1061" s="16">
        <v>44828</v>
      </c>
      <c r="H1061" s="7">
        <f t="shared" si="16"/>
        <v>0.6333333333333333</v>
      </c>
      <c r="I106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1061" s="24" t="str">
        <f>TEXT(Table1[[#This Row],[Date]],"mmm")</f>
        <v>Sep</v>
      </c>
    </row>
    <row r="1062" spans="1:10" ht="15" customHeight="1">
      <c r="A1062" s="14" t="s">
        <v>141</v>
      </c>
      <c r="B1062" s="15" t="s">
        <v>157</v>
      </c>
      <c r="C1062" s="15" t="s">
        <v>17</v>
      </c>
      <c r="D1062" s="15" t="s">
        <v>11</v>
      </c>
      <c r="E1062" s="15" t="s">
        <v>17</v>
      </c>
      <c r="F1062" s="14">
        <v>20</v>
      </c>
      <c r="G1062" s="16">
        <v>44828</v>
      </c>
      <c r="H1062" s="7">
        <f t="shared" si="16"/>
        <v>0.33333333333333331</v>
      </c>
      <c r="I106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1062" s="24" t="str">
        <f>TEXT(Table1[[#This Row],[Date]],"mmm")</f>
        <v>Sep</v>
      </c>
    </row>
    <row r="1063" spans="1:10" ht="15" customHeight="1">
      <c r="A1063" s="14" t="s">
        <v>141</v>
      </c>
      <c r="B1063" s="15" t="s">
        <v>142</v>
      </c>
      <c r="C1063" s="15" t="s">
        <v>38</v>
      </c>
      <c r="D1063" s="15" t="s">
        <v>11</v>
      </c>
      <c r="E1063" s="15" t="s">
        <v>38</v>
      </c>
      <c r="F1063" s="14">
        <v>90</v>
      </c>
      <c r="G1063" s="16">
        <v>44828</v>
      </c>
      <c r="H1063" s="7">
        <f t="shared" si="16"/>
        <v>1.5</v>
      </c>
      <c r="I106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1063" s="24" t="str">
        <f>TEXT(Table1[[#This Row],[Date]],"mmm")</f>
        <v>Sep</v>
      </c>
    </row>
    <row r="1064" spans="1:10" ht="15" customHeight="1">
      <c r="A1064" s="14" t="s">
        <v>141</v>
      </c>
      <c r="B1064" s="15" t="s">
        <v>157</v>
      </c>
      <c r="C1064" s="15" t="s">
        <v>6</v>
      </c>
      <c r="D1064" s="15" t="s">
        <v>11</v>
      </c>
      <c r="E1064" s="15" t="s">
        <v>6</v>
      </c>
      <c r="F1064" s="14">
        <v>70</v>
      </c>
      <c r="G1064" s="16">
        <v>44828</v>
      </c>
      <c r="H1064" s="7">
        <f t="shared" si="16"/>
        <v>1.1666666666666667</v>
      </c>
      <c r="I106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1064" s="24" t="str">
        <f>TEXT(Table1[[#This Row],[Date]],"mmm")</f>
        <v>Sep</v>
      </c>
    </row>
    <row r="1065" spans="1:10" ht="15" customHeight="1">
      <c r="A1065" s="14" t="s">
        <v>140</v>
      </c>
      <c r="B1065" s="15" t="s">
        <v>159</v>
      </c>
      <c r="C1065" s="15" t="s">
        <v>47</v>
      </c>
      <c r="D1065" s="15" t="s">
        <v>11</v>
      </c>
      <c r="E1065" s="15" t="s">
        <v>9</v>
      </c>
      <c r="F1065" s="14">
        <v>35</v>
      </c>
      <c r="G1065" s="16">
        <v>44828</v>
      </c>
      <c r="H1065" s="7">
        <f t="shared" si="16"/>
        <v>0.58333333333333337</v>
      </c>
      <c r="I106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1065" s="24" t="str">
        <f>TEXT(Table1[[#This Row],[Date]],"mmm")</f>
        <v>Sep</v>
      </c>
    </row>
    <row r="1066" spans="1:10" ht="15" customHeight="1">
      <c r="A1066" s="14" t="s">
        <v>140</v>
      </c>
      <c r="B1066" s="15" t="s">
        <v>159</v>
      </c>
      <c r="C1066" s="15" t="s">
        <v>17</v>
      </c>
      <c r="D1066" s="15" t="s">
        <v>11</v>
      </c>
      <c r="E1066" s="15" t="s">
        <v>17</v>
      </c>
      <c r="F1066" s="14">
        <v>45</v>
      </c>
      <c r="G1066" s="16">
        <v>44828</v>
      </c>
      <c r="H1066" s="7">
        <f t="shared" si="16"/>
        <v>0.75</v>
      </c>
      <c r="I106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1066" s="24" t="str">
        <f>TEXT(Table1[[#This Row],[Date]],"mmm")</f>
        <v>Sep</v>
      </c>
    </row>
    <row r="1067" spans="1:10" ht="15" customHeight="1">
      <c r="A1067" s="14" t="s">
        <v>140</v>
      </c>
      <c r="B1067" s="15" t="s">
        <v>160</v>
      </c>
      <c r="C1067" s="15" t="s">
        <v>58</v>
      </c>
      <c r="D1067" s="15" t="s">
        <v>11</v>
      </c>
      <c r="E1067" s="15" t="s">
        <v>125</v>
      </c>
      <c r="F1067" s="14">
        <v>160</v>
      </c>
      <c r="G1067" s="16">
        <v>44828</v>
      </c>
      <c r="H1067" s="7">
        <f t="shared" si="16"/>
        <v>2.6666666666666665</v>
      </c>
      <c r="I106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1067" s="24" t="str">
        <f>TEXT(Table1[[#This Row],[Date]],"mmm")</f>
        <v>Sep</v>
      </c>
    </row>
    <row r="1068" spans="1:10" ht="15" customHeight="1">
      <c r="A1068" s="14" t="s">
        <v>140</v>
      </c>
      <c r="B1068" s="15" t="s">
        <v>10</v>
      </c>
      <c r="C1068" s="15" t="s">
        <v>10</v>
      </c>
      <c r="D1068" s="15" t="s">
        <v>8</v>
      </c>
      <c r="E1068" s="15" t="s">
        <v>10</v>
      </c>
      <c r="F1068" s="14">
        <v>20</v>
      </c>
      <c r="G1068" s="16">
        <v>44828</v>
      </c>
      <c r="H1068" s="7">
        <f t="shared" si="16"/>
        <v>0.33333333333333331</v>
      </c>
      <c r="I106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1068" s="24" t="str">
        <f>TEXT(Table1[[#This Row],[Date]],"mmm")</f>
        <v>Sep</v>
      </c>
    </row>
    <row r="1069" spans="1:10" ht="15" customHeight="1">
      <c r="A1069" s="14" t="s">
        <v>140</v>
      </c>
      <c r="B1069" s="15" t="s">
        <v>160</v>
      </c>
      <c r="C1069" s="15" t="s">
        <v>38</v>
      </c>
      <c r="D1069" s="15" t="s">
        <v>11</v>
      </c>
      <c r="E1069" s="15" t="s">
        <v>9</v>
      </c>
      <c r="F1069" s="14">
        <v>35</v>
      </c>
      <c r="G1069" s="16">
        <v>44828</v>
      </c>
      <c r="H1069" s="7">
        <f t="shared" si="16"/>
        <v>0.58333333333333337</v>
      </c>
      <c r="I106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1069" s="24" t="str">
        <f>TEXT(Table1[[#This Row],[Date]],"mmm")</f>
        <v>Sep</v>
      </c>
    </row>
    <row r="1070" spans="1:10" ht="15" customHeight="1">
      <c r="A1070" s="14" t="s">
        <v>140</v>
      </c>
      <c r="B1070" s="15" t="s">
        <v>20</v>
      </c>
      <c r="C1070" s="15" t="s">
        <v>20</v>
      </c>
      <c r="D1070" s="15" t="s">
        <v>11</v>
      </c>
      <c r="E1070" s="15" t="s">
        <v>20</v>
      </c>
      <c r="F1070" s="14">
        <v>38</v>
      </c>
      <c r="G1070" s="16">
        <v>44828</v>
      </c>
      <c r="H1070" s="7">
        <f t="shared" si="16"/>
        <v>0.6333333333333333</v>
      </c>
      <c r="I107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1070" s="24" t="str">
        <f>TEXT(Table1[[#This Row],[Date]],"mmm")</f>
        <v>Sep</v>
      </c>
    </row>
    <row r="1071" spans="1:10" ht="15" customHeight="1">
      <c r="A1071" s="14" t="s">
        <v>140</v>
      </c>
      <c r="B1071" s="15" t="s">
        <v>159</v>
      </c>
      <c r="C1071" s="15" t="s">
        <v>44</v>
      </c>
      <c r="D1071" s="15" t="s">
        <v>8</v>
      </c>
      <c r="E1071" s="15" t="s">
        <v>12</v>
      </c>
      <c r="F1071" s="14">
        <v>35</v>
      </c>
      <c r="G1071" s="16">
        <v>44828</v>
      </c>
      <c r="H1071" s="7">
        <f t="shared" si="16"/>
        <v>0.58333333333333337</v>
      </c>
      <c r="I107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1071" s="24" t="str">
        <f>TEXT(Table1[[#This Row],[Date]],"mmm")</f>
        <v>Sep</v>
      </c>
    </row>
    <row r="1072" spans="1:10" ht="15" customHeight="1">
      <c r="A1072" s="14" t="s">
        <v>140</v>
      </c>
      <c r="B1072" s="15" t="s">
        <v>160</v>
      </c>
      <c r="C1072" s="15" t="s">
        <v>58</v>
      </c>
      <c r="D1072" s="15" t="s">
        <v>11</v>
      </c>
      <c r="E1072" s="15" t="s">
        <v>125</v>
      </c>
      <c r="F1072" s="14">
        <v>60</v>
      </c>
      <c r="G1072" s="16">
        <v>44828</v>
      </c>
      <c r="H1072" s="7">
        <f t="shared" si="16"/>
        <v>1</v>
      </c>
      <c r="I107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1072" s="24" t="str">
        <f>TEXT(Table1[[#This Row],[Date]],"mmm")</f>
        <v>Sep</v>
      </c>
    </row>
    <row r="1073" spans="1:10" ht="15" customHeight="1">
      <c r="A1073" s="14" t="s">
        <v>140</v>
      </c>
      <c r="B1073" s="15" t="s">
        <v>160</v>
      </c>
      <c r="C1073" s="15" t="s">
        <v>17</v>
      </c>
      <c r="D1073" s="15" t="s">
        <v>11</v>
      </c>
      <c r="E1073" s="15" t="s">
        <v>9</v>
      </c>
      <c r="F1073" s="14">
        <v>35</v>
      </c>
      <c r="G1073" s="16">
        <v>44828</v>
      </c>
      <c r="H1073" s="7">
        <f t="shared" si="16"/>
        <v>0.58333333333333337</v>
      </c>
      <c r="I107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1073" s="24" t="str">
        <f>TEXT(Table1[[#This Row],[Date]],"mmm")</f>
        <v>Sep</v>
      </c>
    </row>
    <row r="1074" spans="1:10" ht="15" customHeight="1">
      <c r="A1074" s="14" t="s">
        <v>140</v>
      </c>
      <c r="B1074" s="15" t="s">
        <v>159</v>
      </c>
      <c r="C1074" s="15" t="s">
        <v>15</v>
      </c>
      <c r="D1074" s="15" t="s">
        <v>11</v>
      </c>
      <c r="E1074" s="15" t="s">
        <v>9</v>
      </c>
      <c r="F1074" s="14">
        <v>45</v>
      </c>
      <c r="G1074" s="16">
        <v>44828</v>
      </c>
      <c r="H1074" s="7">
        <f t="shared" si="16"/>
        <v>0.75</v>
      </c>
      <c r="I107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18-Sep-22 - to - 24-Sep-22</v>
      </c>
      <c r="J1074" s="24" t="str">
        <f>TEXT(Table1[[#This Row],[Date]],"mmm")</f>
        <v>Sep</v>
      </c>
    </row>
    <row r="1075" spans="1:10" ht="15" customHeight="1">
      <c r="A1075" s="14" t="s">
        <v>141</v>
      </c>
      <c r="B1075" s="15" t="s">
        <v>10</v>
      </c>
      <c r="C1075" s="15" t="s">
        <v>10</v>
      </c>
      <c r="D1075" s="15" t="s">
        <v>8</v>
      </c>
      <c r="E1075" s="15" t="s">
        <v>10</v>
      </c>
      <c r="F1075" s="14">
        <v>20</v>
      </c>
      <c r="G1075" s="16">
        <v>44859</v>
      </c>
      <c r="H1075" s="7">
        <f t="shared" si="16"/>
        <v>0.33333333333333331</v>
      </c>
      <c r="I107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075" s="24" t="str">
        <f>TEXT(Table1[[#This Row],[Date]],"mmm")</f>
        <v>Oct</v>
      </c>
    </row>
    <row r="1076" spans="1:10" ht="15" customHeight="1">
      <c r="A1076" s="14" t="s">
        <v>141</v>
      </c>
      <c r="B1076" s="15" t="s">
        <v>36</v>
      </c>
      <c r="C1076" s="15" t="s">
        <v>37</v>
      </c>
      <c r="D1076" s="15" t="s">
        <v>8</v>
      </c>
      <c r="E1076" s="15" t="s">
        <v>36</v>
      </c>
      <c r="F1076" s="14">
        <v>60</v>
      </c>
      <c r="G1076" s="16">
        <v>44859</v>
      </c>
      <c r="H1076" s="7">
        <f t="shared" si="16"/>
        <v>1</v>
      </c>
      <c r="I107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076" s="24" t="str">
        <f>TEXT(Table1[[#This Row],[Date]],"mmm")</f>
        <v>Oct</v>
      </c>
    </row>
    <row r="1077" spans="1:10" ht="15" customHeight="1">
      <c r="A1077" s="14" t="s">
        <v>141</v>
      </c>
      <c r="B1077" s="15" t="s">
        <v>157</v>
      </c>
      <c r="C1077" s="15" t="s">
        <v>16</v>
      </c>
      <c r="D1077" s="15" t="s">
        <v>8</v>
      </c>
      <c r="E1077" s="15" t="s">
        <v>9</v>
      </c>
      <c r="F1077" s="14">
        <v>40</v>
      </c>
      <c r="G1077" s="16">
        <v>44859</v>
      </c>
      <c r="H1077" s="7">
        <f t="shared" si="16"/>
        <v>0.66666666666666663</v>
      </c>
      <c r="I107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077" s="24" t="str">
        <f>TEXT(Table1[[#This Row],[Date]],"mmm")</f>
        <v>Oct</v>
      </c>
    </row>
    <row r="1078" spans="1:10" ht="15" customHeight="1">
      <c r="A1078" s="14" t="s">
        <v>141</v>
      </c>
      <c r="B1078" s="15" t="s">
        <v>142</v>
      </c>
      <c r="C1078" s="15" t="s">
        <v>60</v>
      </c>
      <c r="D1078" s="15" t="s">
        <v>13</v>
      </c>
      <c r="E1078" s="15" t="s">
        <v>9</v>
      </c>
      <c r="F1078" s="14">
        <v>60</v>
      </c>
      <c r="G1078" s="16">
        <v>44859</v>
      </c>
      <c r="H1078" s="7">
        <f t="shared" si="16"/>
        <v>1</v>
      </c>
      <c r="I107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078" s="24" t="str">
        <f>TEXT(Table1[[#This Row],[Date]],"mmm")</f>
        <v>Oct</v>
      </c>
    </row>
    <row r="1079" spans="1:10" ht="15" customHeight="1">
      <c r="A1079" s="14" t="s">
        <v>141</v>
      </c>
      <c r="B1079" s="15" t="s">
        <v>142</v>
      </c>
      <c r="C1079" s="15" t="s">
        <v>137</v>
      </c>
      <c r="D1079" s="15" t="s">
        <v>8</v>
      </c>
      <c r="E1079" s="15" t="s">
        <v>35</v>
      </c>
      <c r="F1079" s="14">
        <v>210</v>
      </c>
      <c r="G1079" s="16">
        <v>44859</v>
      </c>
      <c r="H1079" s="7">
        <f t="shared" si="16"/>
        <v>3.5</v>
      </c>
      <c r="I107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079" s="24" t="str">
        <f>TEXT(Table1[[#This Row],[Date]],"mmm")</f>
        <v>Oct</v>
      </c>
    </row>
    <row r="1080" spans="1:10" ht="15" customHeight="1">
      <c r="A1080" s="14" t="s">
        <v>141</v>
      </c>
      <c r="B1080" s="15" t="s">
        <v>157</v>
      </c>
      <c r="C1080" s="15" t="s">
        <v>44</v>
      </c>
      <c r="D1080" s="15" t="s">
        <v>8</v>
      </c>
      <c r="E1080" s="15" t="s">
        <v>12</v>
      </c>
      <c r="F1080" s="14">
        <v>90</v>
      </c>
      <c r="G1080" s="16">
        <v>44859</v>
      </c>
      <c r="H1080" s="7">
        <f t="shared" si="16"/>
        <v>1.5</v>
      </c>
      <c r="I108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080" s="24" t="str">
        <f>TEXT(Table1[[#This Row],[Date]],"mmm")</f>
        <v>Oct</v>
      </c>
    </row>
    <row r="1081" spans="1:10" ht="15" customHeight="1">
      <c r="A1081" s="14" t="s">
        <v>140</v>
      </c>
      <c r="B1081" s="15" t="s">
        <v>10</v>
      </c>
      <c r="C1081" s="15" t="s">
        <v>10</v>
      </c>
      <c r="D1081" s="15" t="s">
        <v>8</v>
      </c>
      <c r="E1081" s="15" t="s">
        <v>10</v>
      </c>
      <c r="F1081" s="14">
        <v>20</v>
      </c>
      <c r="G1081" s="16">
        <v>44859</v>
      </c>
      <c r="H1081" s="7">
        <f t="shared" si="16"/>
        <v>0.33333333333333331</v>
      </c>
      <c r="I108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081" s="24" t="str">
        <f>TEXT(Table1[[#This Row],[Date]],"mmm")</f>
        <v>Oct</v>
      </c>
    </row>
    <row r="1082" spans="1:10" ht="15" customHeight="1">
      <c r="A1082" s="14" t="s">
        <v>140</v>
      </c>
      <c r="B1082" s="15" t="s">
        <v>152</v>
      </c>
      <c r="C1082" s="15" t="s">
        <v>153</v>
      </c>
      <c r="D1082" s="15" t="s">
        <v>8</v>
      </c>
      <c r="E1082" s="15" t="s">
        <v>12</v>
      </c>
      <c r="F1082" s="14">
        <v>25</v>
      </c>
      <c r="G1082" s="16">
        <v>44859</v>
      </c>
      <c r="H1082" s="7">
        <f t="shared" si="16"/>
        <v>0.41666666666666669</v>
      </c>
      <c r="I108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082" s="24" t="str">
        <f>TEXT(Table1[[#This Row],[Date]],"mmm")</f>
        <v>Oct</v>
      </c>
    </row>
    <row r="1083" spans="1:10" ht="15" customHeight="1">
      <c r="A1083" s="14" t="s">
        <v>140</v>
      </c>
      <c r="B1083" s="15" t="s">
        <v>159</v>
      </c>
      <c r="C1083" s="15" t="s">
        <v>17</v>
      </c>
      <c r="D1083" s="15" t="s">
        <v>11</v>
      </c>
      <c r="E1083" s="15" t="s">
        <v>17</v>
      </c>
      <c r="F1083" s="14">
        <v>55</v>
      </c>
      <c r="G1083" s="16">
        <v>44859</v>
      </c>
      <c r="H1083" s="7">
        <f t="shared" si="16"/>
        <v>0.91666666666666663</v>
      </c>
      <c r="I108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083" s="24" t="str">
        <f>TEXT(Table1[[#This Row],[Date]],"mmm")</f>
        <v>Oct</v>
      </c>
    </row>
    <row r="1084" spans="1:10" ht="15" customHeight="1">
      <c r="A1084" s="14" t="s">
        <v>140</v>
      </c>
      <c r="B1084" s="15" t="s">
        <v>159</v>
      </c>
      <c r="C1084" s="15" t="s">
        <v>44</v>
      </c>
      <c r="D1084" s="15" t="s">
        <v>8</v>
      </c>
      <c r="E1084" s="15" t="s">
        <v>12</v>
      </c>
      <c r="F1084" s="14">
        <v>110</v>
      </c>
      <c r="G1084" s="16">
        <v>44859</v>
      </c>
      <c r="H1084" s="7">
        <f t="shared" si="16"/>
        <v>1.8333333333333333</v>
      </c>
      <c r="I108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084" s="24" t="str">
        <f>TEXT(Table1[[#This Row],[Date]],"mmm")</f>
        <v>Oct</v>
      </c>
    </row>
    <row r="1085" spans="1:10" ht="15" customHeight="1">
      <c r="A1085" s="14" t="s">
        <v>140</v>
      </c>
      <c r="B1085" s="15" t="s">
        <v>159</v>
      </c>
      <c r="C1085" s="15" t="s">
        <v>48</v>
      </c>
      <c r="D1085" s="15" t="s">
        <v>11</v>
      </c>
      <c r="E1085" s="15" t="s">
        <v>88</v>
      </c>
      <c r="F1085" s="14">
        <v>30</v>
      </c>
      <c r="G1085" s="16">
        <v>44859</v>
      </c>
      <c r="H1085" s="7">
        <f t="shared" si="16"/>
        <v>0.5</v>
      </c>
      <c r="I108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085" s="24" t="str">
        <f>TEXT(Table1[[#This Row],[Date]],"mmm")</f>
        <v>Oct</v>
      </c>
    </row>
    <row r="1086" spans="1:10" ht="15" customHeight="1">
      <c r="A1086" s="14" t="s">
        <v>140</v>
      </c>
      <c r="B1086" s="15" t="s">
        <v>159</v>
      </c>
      <c r="C1086" s="15" t="s">
        <v>51</v>
      </c>
      <c r="D1086" s="15" t="s">
        <v>8</v>
      </c>
      <c r="E1086" s="15" t="s">
        <v>19</v>
      </c>
      <c r="F1086" s="14">
        <v>25</v>
      </c>
      <c r="G1086" s="16">
        <v>44859</v>
      </c>
      <c r="H1086" s="7">
        <f t="shared" si="16"/>
        <v>0.41666666666666669</v>
      </c>
      <c r="I108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086" s="24" t="str">
        <f>TEXT(Table1[[#This Row],[Date]],"mmm")</f>
        <v>Oct</v>
      </c>
    </row>
    <row r="1087" spans="1:10" ht="15" customHeight="1">
      <c r="A1087" s="14" t="s">
        <v>140</v>
      </c>
      <c r="B1087" s="15" t="s">
        <v>159</v>
      </c>
      <c r="C1087" s="15" t="s">
        <v>161</v>
      </c>
      <c r="D1087" s="15" t="s">
        <v>11</v>
      </c>
      <c r="E1087" s="15" t="s">
        <v>9</v>
      </c>
      <c r="F1087" s="14">
        <v>65</v>
      </c>
      <c r="G1087" s="16">
        <v>44859</v>
      </c>
      <c r="H1087" s="7">
        <f t="shared" si="16"/>
        <v>1.0833333333333333</v>
      </c>
      <c r="I108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087" s="24" t="str">
        <f>TEXT(Table1[[#This Row],[Date]],"mmm")</f>
        <v>Oct</v>
      </c>
    </row>
    <row r="1088" spans="1:10" ht="15" customHeight="1">
      <c r="A1088" s="14" t="s">
        <v>140</v>
      </c>
      <c r="B1088" s="15" t="s">
        <v>159</v>
      </c>
      <c r="C1088" s="15" t="s">
        <v>126</v>
      </c>
      <c r="D1088" s="15" t="s">
        <v>13</v>
      </c>
      <c r="E1088" s="15" t="s">
        <v>9</v>
      </c>
      <c r="F1088" s="14">
        <v>45</v>
      </c>
      <c r="G1088" s="16">
        <v>44859</v>
      </c>
      <c r="H1088" s="7">
        <f t="shared" si="16"/>
        <v>0.75</v>
      </c>
      <c r="I108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088" s="24" t="str">
        <f>TEXT(Table1[[#This Row],[Date]],"mmm")</f>
        <v>Oct</v>
      </c>
    </row>
    <row r="1089" spans="1:10" ht="15" customHeight="1">
      <c r="A1089" s="14" t="s">
        <v>140</v>
      </c>
      <c r="B1089" s="15" t="s">
        <v>159</v>
      </c>
      <c r="C1089" s="15" t="s">
        <v>93</v>
      </c>
      <c r="D1089" s="15" t="s">
        <v>13</v>
      </c>
      <c r="E1089" s="15" t="s">
        <v>6</v>
      </c>
      <c r="F1089" s="14">
        <v>40</v>
      </c>
      <c r="G1089" s="16">
        <v>44859</v>
      </c>
      <c r="H1089" s="7">
        <f t="shared" si="16"/>
        <v>0.66666666666666663</v>
      </c>
      <c r="I108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089" s="24" t="str">
        <f>TEXT(Table1[[#This Row],[Date]],"mmm")</f>
        <v>Oct</v>
      </c>
    </row>
    <row r="1090" spans="1:10" ht="15" customHeight="1">
      <c r="A1090" s="14" t="s">
        <v>140</v>
      </c>
      <c r="B1090" s="15" t="s">
        <v>144</v>
      </c>
      <c r="C1090" s="15" t="s">
        <v>50</v>
      </c>
      <c r="D1090" s="15" t="s">
        <v>11</v>
      </c>
      <c r="E1090" s="15" t="s">
        <v>9</v>
      </c>
      <c r="F1090" s="14">
        <v>30</v>
      </c>
      <c r="G1090" s="16">
        <v>44859</v>
      </c>
      <c r="H1090" s="7">
        <f t="shared" ref="H1090:H1153" si="17">IFERROR(IF(ISBLANK(F1090)=TRUE(),"",F1090/60),"")</f>
        <v>0.5</v>
      </c>
      <c r="I109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090" s="24" t="str">
        <f>TEXT(Table1[[#This Row],[Date]],"mmm")</f>
        <v>Oct</v>
      </c>
    </row>
    <row r="1091" spans="1:10" ht="15" customHeight="1">
      <c r="A1091" s="14" t="s">
        <v>140</v>
      </c>
      <c r="B1091" s="15" t="s">
        <v>6</v>
      </c>
      <c r="C1091" s="15" t="s">
        <v>47</v>
      </c>
      <c r="D1091" s="15" t="s">
        <v>8</v>
      </c>
      <c r="E1091" s="15" t="s">
        <v>9</v>
      </c>
      <c r="F1091" s="14">
        <v>30</v>
      </c>
      <c r="G1091" s="16">
        <v>44859</v>
      </c>
      <c r="H1091" s="7">
        <f t="shared" si="17"/>
        <v>0.5</v>
      </c>
      <c r="I109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091" s="24" t="str">
        <f>TEXT(Table1[[#This Row],[Date]],"mmm")</f>
        <v>Oct</v>
      </c>
    </row>
    <row r="1092" spans="1:10" ht="15" customHeight="1">
      <c r="A1092" s="14" t="s">
        <v>140</v>
      </c>
      <c r="B1092" s="15" t="s">
        <v>6</v>
      </c>
      <c r="C1092" s="15" t="s">
        <v>52</v>
      </c>
      <c r="D1092" s="15" t="s">
        <v>11</v>
      </c>
      <c r="E1092" s="15" t="s">
        <v>52</v>
      </c>
      <c r="F1092" s="14">
        <v>35</v>
      </c>
      <c r="G1092" s="16">
        <v>44859</v>
      </c>
      <c r="H1092" s="7">
        <f t="shared" si="17"/>
        <v>0.58333333333333337</v>
      </c>
      <c r="I109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092" s="24" t="str">
        <f>TEXT(Table1[[#This Row],[Date]],"mmm")</f>
        <v>Oct</v>
      </c>
    </row>
    <row r="1093" spans="1:10" ht="15" customHeight="1">
      <c r="A1093" s="14" t="s">
        <v>140</v>
      </c>
      <c r="B1093" s="15" t="s">
        <v>159</v>
      </c>
      <c r="C1093" s="15" t="s">
        <v>47</v>
      </c>
      <c r="D1093" s="15" t="s">
        <v>11</v>
      </c>
      <c r="E1093" s="15" t="s">
        <v>9</v>
      </c>
      <c r="F1093" s="14">
        <v>35</v>
      </c>
      <c r="G1093" s="16">
        <v>44830</v>
      </c>
      <c r="H1093" s="7">
        <f t="shared" si="17"/>
        <v>0.58333333333333337</v>
      </c>
      <c r="I109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093" s="24" t="str">
        <f>TEXT(Table1[[#This Row],[Date]],"mmm")</f>
        <v>Sep</v>
      </c>
    </row>
    <row r="1094" spans="1:10" ht="15" customHeight="1">
      <c r="A1094" s="14" t="s">
        <v>140</v>
      </c>
      <c r="B1094" s="15" t="s">
        <v>160</v>
      </c>
      <c r="C1094" s="15" t="s">
        <v>58</v>
      </c>
      <c r="D1094" s="15" t="s">
        <v>11</v>
      </c>
      <c r="E1094" s="15" t="s">
        <v>125</v>
      </c>
      <c r="F1094" s="14">
        <v>120</v>
      </c>
      <c r="G1094" s="16">
        <v>44830</v>
      </c>
      <c r="H1094" s="7">
        <f t="shared" si="17"/>
        <v>2</v>
      </c>
      <c r="I109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094" s="24" t="str">
        <f>TEXT(Table1[[#This Row],[Date]],"mmm")</f>
        <v>Sep</v>
      </c>
    </row>
    <row r="1095" spans="1:10" ht="15" customHeight="1">
      <c r="A1095" s="14" t="s">
        <v>140</v>
      </c>
      <c r="B1095" s="15" t="s">
        <v>10</v>
      </c>
      <c r="C1095" s="15" t="s">
        <v>10</v>
      </c>
      <c r="D1095" s="15" t="s">
        <v>8</v>
      </c>
      <c r="E1095" s="15" t="s">
        <v>10</v>
      </c>
      <c r="F1095" s="14">
        <v>45</v>
      </c>
      <c r="G1095" s="16">
        <v>44830</v>
      </c>
      <c r="H1095" s="7">
        <f t="shared" si="17"/>
        <v>0.75</v>
      </c>
      <c r="I109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095" s="24" t="str">
        <f>TEXT(Table1[[#This Row],[Date]],"mmm")</f>
        <v>Sep</v>
      </c>
    </row>
    <row r="1096" spans="1:10" ht="15" customHeight="1">
      <c r="A1096" s="14" t="s">
        <v>140</v>
      </c>
      <c r="B1096" s="15" t="s">
        <v>160</v>
      </c>
      <c r="C1096" s="15" t="s">
        <v>38</v>
      </c>
      <c r="D1096" s="15" t="s">
        <v>11</v>
      </c>
      <c r="E1096" s="15" t="s">
        <v>9</v>
      </c>
      <c r="F1096" s="14">
        <v>45</v>
      </c>
      <c r="G1096" s="16">
        <v>44830</v>
      </c>
      <c r="H1096" s="7">
        <f t="shared" si="17"/>
        <v>0.75</v>
      </c>
      <c r="I109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096" s="24" t="str">
        <f>TEXT(Table1[[#This Row],[Date]],"mmm")</f>
        <v>Sep</v>
      </c>
    </row>
    <row r="1097" spans="1:10" ht="15" customHeight="1">
      <c r="A1097" s="14" t="s">
        <v>140</v>
      </c>
      <c r="B1097" s="15" t="s">
        <v>159</v>
      </c>
      <c r="C1097" s="15" t="s">
        <v>66</v>
      </c>
      <c r="D1097" s="15" t="s">
        <v>11</v>
      </c>
      <c r="E1097" s="15" t="s">
        <v>66</v>
      </c>
      <c r="F1097" s="14">
        <v>25</v>
      </c>
      <c r="G1097" s="16">
        <v>44830</v>
      </c>
      <c r="H1097" s="7">
        <f t="shared" si="17"/>
        <v>0.41666666666666669</v>
      </c>
      <c r="I109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097" s="24" t="str">
        <f>TEXT(Table1[[#This Row],[Date]],"mmm")</f>
        <v>Sep</v>
      </c>
    </row>
    <row r="1098" spans="1:10" ht="15" customHeight="1">
      <c r="A1098" s="14" t="s">
        <v>140</v>
      </c>
      <c r="B1098" s="15" t="s">
        <v>159</v>
      </c>
      <c r="C1098" s="15" t="s">
        <v>44</v>
      </c>
      <c r="D1098" s="15" t="s">
        <v>8</v>
      </c>
      <c r="E1098" s="15" t="s">
        <v>12</v>
      </c>
      <c r="F1098" s="14">
        <v>110</v>
      </c>
      <c r="G1098" s="16">
        <v>44830</v>
      </c>
      <c r="H1098" s="7">
        <f t="shared" si="17"/>
        <v>1.8333333333333333</v>
      </c>
      <c r="I109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098" s="24" t="str">
        <f>TEXT(Table1[[#This Row],[Date]],"mmm")</f>
        <v>Sep</v>
      </c>
    </row>
    <row r="1099" spans="1:10" ht="15" customHeight="1">
      <c r="A1099" s="14" t="s">
        <v>140</v>
      </c>
      <c r="B1099" s="15" t="s">
        <v>144</v>
      </c>
      <c r="C1099" s="15" t="s">
        <v>17</v>
      </c>
      <c r="D1099" s="15" t="s">
        <v>138</v>
      </c>
      <c r="E1099" s="15" t="s">
        <v>17</v>
      </c>
      <c r="F1099" s="14">
        <v>20</v>
      </c>
      <c r="G1099" s="16">
        <v>44830</v>
      </c>
      <c r="H1099" s="7">
        <f t="shared" si="17"/>
        <v>0.33333333333333331</v>
      </c>
      <c r="I109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099" s="24" t="str">
        <f>TEXT(Table1[[#This Row],[Date]],"mmm")</f>
        <v>Sep</v>
      </c>
    </row>
    <row r="1100" spans="1:10" ht="15" customHeight="1">
      <c r="A1100" s="14" t="s">
        <v>140</v>
      </c>
      <c r="B1100" s="15" t="s">
        <v>160</v>
      </c>
      <c r="C1100" s="15" t="s">
        <v>17</v>
      </c>
      <c r="D1100" s="15" t="s">
        <v>11</v>
      </c>
      <c r="E1100" s="15" t="s">
        <v>17</v>
      </c>
      <c r="F1100" s="14">
        <v>65</v>
      </c>
      <c r="G1100" s="16">
        <v>44830</v>
      </c>
      <c r="H1100" s="7">
        <f t="shared" si="17"/>
        <v>1.0833333333333333</v>
      </c>
      <c r="I110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100" s="24" t="str">
        <f>TEXT(Table1[[#This Row],[Date]],"mmm")</f>
        <v>Sep</v>
      </c>
    </row>
    <row r="1101" spans="1:10" ht="15" customHeight="1">
      <c r="A1101" s="14" t="s">
        <v>140</v>
      </c>
      <c r="B1101" s="15" t="s">
        <v>159</v>
      </c>
      <c r="C1101" s="15" t="s">
        <v>15</v>
      </c>
      <c r="D1101" s="15" t="s">
        <v>11</v>
      </c>
      <c r="E1101" s="15" t="s">
        <v>9</v>
      </c>
      <c r="F1101" s="14">
        <v>45</v>
      </c>
      <c r="G1101" s="16">
        <v>44830</v>
      </c>
      <c r="H1101" s="7">
        <f t="shared" si="17"/>
        <v>0.75</v>
      </c>
      <c r="I110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101" s="24" t="str">
        <f>TEXT(Table1[[#This Row],[Date]],"mmm")</f>
        <v>Sep</v>
      </c>
    </row>
    <row r="1102" spans="1:10" ht="15" customHeight="1">
      <c r="A1102" s="14" t="s">
        <v>141</v>
      </c>
      <c r="B1102" s="15" t="s">
        <v>36</v>
      </c>
      <c r="C1102" s="15" t="s">
        <v>37</v>
      </c>
      <c r="D1102" s="15" t="s">
        <v>8</v>
      </c>
      <c r="E1102" s="15" t="s">
        <v>36</v>
      </c>
      <c r="F1102" s="14">
        <v>60</v>
      </c>
      <c r="G1102" s="16">
        <v>44830</v>
      </c>
      <c r="H1102" s="7">
        <f t="shared" si="17"/>
        <v>1</v>
      </c>
      <c r="I110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102" s="24" t="str">
        <f>TEXT(Table1[[#This Row],[Date]],"mmm")</f>
        <v>Sep</v>
      </c>
    </row>
    <row r="1103" spans="1:10" ht="15" customHeight="1">
      <c r="A1103" s="14" t="s">
        <v>141</v>
      </c>
      <c r="B1103" s="15" t="s">
        <v>157</v>
      </c>
      <c r="C1103" s="15" t="s">
        <v>16</v>
      </c>
      <c r="D1103" s="15" t="s">
        <v>8</v>
      </c>
      <c r="E1103" s="15" t="s">
        <v>9</v>
      </c>
      <c r="F1103" s="14">
        <v>30</v>
      </c>
      <c r="G1103" s="16">
        <v>44830</v>
      </c>
      <c r="H1103" s="7">
        <f t="shared" si="17"/>
        <v>0.5</v>
      </c>
      <c r="I110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103" s="24" t="str">
        <f>TEXT(Table1[[#This Row],[Date]],"mmm")</f>
        <v>Sep</v>
      </c>
    </row>
    <row r="1104" spans="1:10" ht="15" customHeight="1">
      <c r="A1104" s="14" t="s">
        <v>141</v>
      </c>
      <c r="B1104" s="15" t="s">
        <v>96</v>
      </c>
      <c r="C1104" s="15" t="s">
        <v>10</v>
      </c>
      <c r="D1104" s="15" t="s">
        <v>8</v>
      </c>
      <c r="E1104" s="15" t="s">
        <v>10</v>
      </c>
      <c r="F1104" s="14">
        <v>20</v>
      </c>
      <c r="G1104" s="16">
        <v>44830</v>
      </c>
      <c r="H1104" s="7">
        <f t="shared" si="17"/>
        <v>0.33333333333333331</v>
      </c>
      <c r="I110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104" s="24" t="str">
        <f>TEXT(Table1[[#This Row],[Date]],"mmm")</f>
        <v>Sep</v>
      </c>
    </row>
    <row r="1105" spans="1:10" ht="15" customHeight="1">
      <c r="A1105" s="14" t="s">
        <v>141</v>
      </c>
      <c r="B1105" s="15" t="s">
        <v>157</v>
      </c>
      <c r="C1105" s="15" t="s">
        <v>44</v>
      </c>
      <c r="D1105" s="15" t="s">
        <v>8</v>
      </c>
      <c r="E1105" s="15" t="s">
        <v>12</v>
      </c>
      <c r="F1105" s="14">
        <v>90</v>
      </c>
      <c r="G1105" s="16">
        <v>44830</v>
      </c>
      <c r="H1105" s="7">
        <f t="shared" si="17"/>
        <v>1.5</v>
      </c>
      <c r="I110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105" s="24" t="str">
        <f>TEXT(Table1[[#This Row],[Date]],"mmm")</f>
        <v>Sep</v>
      </c>
    </row>
    <row r="1106" spans="1:10" ht="15" customHeight="1">
      <c r="A1106" s="14" t="s">
        <v>141</v>
      </c>
      <c r="B1106" s="15" t="s">
        <v>142</v>
      </c>
      <c r="C1106" s="15" t="s">
        <v>17</v>
      </c>
      <c r="D1106" s="15" t="s">
        <v>11</v>
      </c>
      <c r="E1106" s="15" t="s">
        <v>17</v>
      </c>
      <c r="F1106" s="14">
        <v>45</v>
      </c>
      <c r="G1106" s="16">
        <v>44830</v>
      </c>
      <c r="H1106" s="7">
        <f t="shared" si="17"/>
        <v>0.75</v>
      </c>
      <c r="I110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106" s="24" t="str">
        <f>TEXT(Table1[[#This Row],[Date]],"mmm")</f>
        <v>Sep</v>
      </c>
    </row>
    <row r="1107" spans="1:10" ht="15" customHeight="1">
      <c r="A1107" s="14" t="s">
        <v>141</v>
      </c>
      <c r="B1107" s="15" t="s">
        <v>142</v>
      </c>
      <c r="C1107" s="15" t="s">
        <v>38</v>
      </c>
      <c r="D1107" s="15" t="s">
        <v>11</v>
      </c>
      <c r="E1107" s="15" t="s">
        <v>6</v>
      </c>
      <c r="F1107" s="14">
        <v>40</v>
      </c>
      <c r="G1107" s="16">
        <v>44830</v>
      </c>
      <c r="H1107" s="7">
        <f t="shared" si="17"/>
        <v>0.66666666666666663</v>
      </c>
      <c r="I110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107" s="24" t="str">
        <f>TEXT(Table1[[#This Row],[Date]],"mmm")</f>
        <v>Sep</v>
      </c>
    </row>
    <row r="1108" spans="1:10" ht="15" customHeight="1">
      <c r="A1108" s="14" t="s">
        <v>141</v>
      </c>
      <c r="B1108" s="15" t="s">
        <v>142</v>
      </c>
      <c r="C1108" s="15" t="s">
        <v>6</v>
      </c>
      <c r="D1108" s="15" t="s">
        <v>11</v>
      </c>
      <c r="E1108" s="15" t="s">
        <v>6</v>
      </c>
      <c r="F1108" s="14">
        <v>200</v>
      </c>
      <c r="G1108" s="16">
        <v>44830</v>
      </c>
      <c r="H1108" s="7">
        <f t="shared" si="17"/>
        <v>3.3333333333333335</v>
      </c>
      <c r="I110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108" s="24" t="str">
        <f>TEXT(Table1[[#This Row],[Date]],"mmm")</f>
        <v>Sep</v>
      </c>
    </row>
    <row r="1109" spans="1:10" ht="15" customHeight="1">
      <c r="A1109" s="14" t="s">
        <v>141</v>
      </c>
      <c r="B1109" s="15" t="s">
        <v>10</v>
      </c>
      <c r="C1109" s="15" t="s">
        <v>10</v>
      </c>
      <c r="D1109" s="15" t="s">
        <v>8</v>
      </c>
      <c r="E1109" s="15" t="s">
        <v>10</v>
      </c>
      <c r="F1109" s="14">
        <v>20</v>
      </c>
      <c r="G1109" s="16">
        <v>44860</v>
      </c>
      <c r="H1109" s="7">
        <f t="shared" si="17"/>
        <v>0.33333333333333331</v>
      </c>
      <c r="I110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109" s="24" t="str">
        <f>TEXT(Table1[[#This Row],[Date]],"mmm")</f>
        <v>Oct</v>
      </c>
    </row>
    <row r="1110" spans="1:10" ht="15" customHeight="1">
      <c r="A1110" s="14" t="s">
        <v>141</v>
      </c>
      <c r="B1110" s="15" t="s">
        <v>36</v>
      </c>
      <c r="C1110" s="15" t="s">
        <v>37</v>
      </c>
      <c r="D1110" s="15" t="s">
        <v>8</v>
      </c>
      <c r="E1110" s="15" t="s">
        <v>36</v>
      </c>
      <c r="F1110" s="14">
        <v>60</v>
      </c>
      <c r="G1110" s="16">
        <v>44860</v>
      </c>
      <c r="H1110" s="7">
        <f t="shared" si="17"/>
        <v>1</v>
      </c>
      <c r="I111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110" s="24" t="str">
        <f>TEXT(Table1[[#This Row],[Date]],"mmm")</f>
        <v>Oct</v>
      </c>
    </row>
    <row r="1111" spans="1:10" ht="15" customHeight="1">
      <c r="A1111" s="14" t="s">
        <v>141</v>
      </c>
      <c r="B1111" s="15" t="s">
        <v>157</v>
      </c>
      <c r="C1111" s="15" t="s">
        <v>16</v>
      </c>
      <c r="D1111" s="15" t="s">
        <v>8</v>
      </c>
      <c r="E1111" s="15" t="s">
        <v>9</v>
      </c>
      <c r="F1111" s="14">
        <v>40</v>
      </c>
      <c r="G1111" s="16">
        <v>44860</v>
      </c>
      <c r="H1111" s="7">
        <f t="shared" si="17"/>
        <v>0.66666666666666663</v>
      </c>
      <c r="I111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111" s="24" t="str">
        <f>TEXT(Table1[[#This Row],[Date]],"mmm")</f>
        <v>Oct</v>
      </c>
    </row>
    <row r="1112" spans="1:10" ht="15" customHeight="1">
      <c r="A1112" s="14" t="s">
        <v>141</v>
      </c>
      <c r="B1112" s="15" t="s">
        <v>158</v>
      </c>
      <c r="C1112" s="15" t="s">
        <v>127</v>
      </c>
      <c r="D1112" s="15" t="s">
        <v>11</v>
      </c>
      <c r="E1112" s="15" t="s">
        <v>6</v>
      </c>
      <c r="F1112" s="14">
        <v>60</v>
      </c>
      <c r="G1112" s="16">
        <v>44860</v>
      </c>
      <c r="H1112" s="7">
        <f t="shared" si="17"/>
        <v>1</v>
      </c>
      <c r="I111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112" s="24" t="str">
        <f>TEXT(Table1[[#This Row],[Date]],"mmm")</f>
        <v>Oct</v>
      </c>
    </row>
    <row r="1113" spans="1:10" ht="15" customHeight="1">
      <c r="A1113" s="14" t="s">
        <v>141</v>
      </c>
      <c r="B1113" s="15" t="s">
        <v>142</v>
      </c>
      <c r="C1113" s="15" t="s">
        <v>137</v>
      </c>
      <c r="D1113" s="15" t="s">
        <v>8</v>
      </c>
      <c r="E1113" s="15" t="s">
        <v>35</v>
      </c>
      <c r="F1113" s="14">
        <v>300</v>
      </c>
      <c r="G1113" s="16">
        <v>44860</v>
      </c>
      <c r="H1113" s="7">
        <f t="shared" si="17"/>
        <v>5</v>
      </c>
      <c r="I111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113" s="24" t="str">
        <f>TEXT(Table1[[#This Row],[Date]],"mmm")</f>
        <v>Oct</v>
      </c>
    </row>
    <row r="1114" spans="1:10" ht="15" customHeight="1">
      <c r="A1114" s="14" t="s">
        <v>140</v>
      </c>
      <c r="B1114" s="15" t="s">
        <v>10</v>
      </c>
      <c r="C1114" s="15" t="s">
        <v>10</v>
      </c>
      <c r="D1114" s="15" t="s">
        <v>8</v>
      </c>
      <c r="E1114" s="15" t="s">
        <v>10</v>
      </c>
      <c r="F1114" s="14">
        <v>20</v>
      </c>
      <c r="G1114" s="16">
        <v>44860</v>
      </c>
      <c r="H1114" s="7">
        <f t="shared" si="17"/>
        <v>0.33333333333333331</v>
      </c>
      <c r="I111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114" s="24" t="str">
        <f>TEXT(Table1[[#This Row],[Date]],"mmm")</f>
        <v>Oct</v>
      </c>
    </row>
    <row r="1115" spans="1:10" ht="15" customHeight="1">
      <c r="A1115" s="14" t="s">
        <v>140</v>
      </c>
      <c r="B1115" s="15" t="s">
        <v>152</v>
      </c>
      <c r="C1115" s="15" t="s">
        <v>153</v>
      </c>
      <c r="D1115" s="15" t="s">
        <v>8</v>
      </c>
      <c r="E1115" s="15" t="s">
        <v>12</v>
      </c>
      <c r="F1115" s="14">
        <v>25</v>
      </c>
      <c r="G1115" s="16">
        <v>44860</v>
      </c>
      <c r="H1115" s="7">
        <f t="shared" si="17"/>
        <v>0.41666666666666669</v>
      </c>
      <c r="I111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115" s="24" t="str">
        <f>TEXT(Table1[[#This Row],[Date]],"mmm")</f>
        <v>Oct</v>
      </c>
    </row>
    <row r="1116" spans="1:10" ht="15" customHeight="1">
      <c r="A1116" s="14" t="s">
        <v>140</v>
      </c>
      <c r="B1116" s="15" t="s">
        <v>159</v>
      </c>
      <c r="C1116" s="15" t="s">
        <v>44</v>
      </c>
      <c r="D1116" s="15" t="s">
        <v>8</v>
      </c>
      <c r="E1116" s="15" t="s">
        <v>12</v>
      </c>
      <c r="F1116" s="14">
        <v>110</v>
      </c>
      <c r="G1116" s="16">
        <v>44860</v>
      </c>
      <c r="H1116" s="7">
        <f t="shared" si="17"/>
        <v>1.8333333333333333</v>
      </c>
      <c r="I111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116" s="24" t="str">
        <f>TEXT(Table1[[#This Row],[Date]],"mmm")</f>
        <v>Oct</v>
      </c>
    </row>
    <row r="1117" spans="1:10" ht="15" customHeight="1">
      <c r="A1117" s="14" t="s">
        <v>140</v>
      </c>
      <c r="B1117" s="15" t="s">
        <v>159</v>
      </c>
      <c r="C1117" s="15" t="s">
        <v>48</v>
      </c>
      <c r="D1117" s="15" t="s">
        <v>11</v>
      </c>
      <c r="E1117" s="15" t="s">
        <v>88</v>
      </c>
      <c r="F1117" s="14">
        <v>30</v>
      </c>
      <c r="G1117" s="16">
        <v>44860</v>
      </c>
      <c r="H1117" s="7">
        <f t="shared" si="17"/>
        <v>0.5</v>
      </c>
      <c r="I111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117" s="24" t="str">
        <f>TEXT(Table1[[#This Row],[Date]],"mmm")</f>
        <v>Oct</v>
      </c>
    </row>
    <row r="1118" spans="1:10" ht="15" customHeight="1">
      <c r="A1118" s="14" t="s">
        <v>140</v>
      </c>
      <c r="B1118" s="15" t="s">
        <v>159</v>
      </c>
      <c r="C1118" s="15" t="s">
        <v>51</v>
      </c>
      <c r="D1118" s="15" t="s">
        <v>8</v>
      </c>
      <c r="E1118" s="15" t="s">
        <v>19</v>
      </c>
      <c r="F1118" s="14">
        <v>25</v>
      </c>
      <c r="G1118" s="16">
        <v>44860</v>
      </c>
      <c r="H1118" s="7">
        <f t="shared" si="17"/>
        <v>0.41666666666666669</v>
      </c>
      <c r="I111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118" s="24" t="str">
        <f>TEXT(Table1[[#This Row],[Date]],"mmm")</f>
        <v>Oct</v>
      </c>
    </row>
    <row r="1119" spans="1:10" ht="15" customHeight="1">
      <c r="A1119" s="14" t="s">
        <v>140</v>
      </c>
      <c r="B1119" s="15" t="s">
        <v>159</v>
      </c>
      <c r="C1119" s="15" t="s">
        <v>52</v>
      </c>
      <c r="D1119" s="15" t="s">
        <v>11</v>
      </c>
      <c r="E1119" s="15" t="s">
        <v>52</v>
      </c>
      <c r="F1119" s="14">
        <v>40</v>
      </c>
      <c r="G1119" s="16">
        <v>44860</v>
      </c>
      <c r="H1119" s="7">
        <f t="shared" si="17"/>
        <v>0.66666666666666663</v>
      </c>
      <c r="I111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119" s="24" t="str">
        <f>TEXT(Table1[[#This Row],[Date]],"mmm")</f>
        <v>Oct</v>
      </c>
    </row>
    <row r="1120" spans="1:10" ht="15" customHeight="1">
      <c r="A1120" s="14" t="s">
        <v>140</v>
      </c>
      <c r="B1120" s="15" t="s">
        <v>159</v>
      </c>
      <c r="C1120" s="15" t="s">
        <v>128</v>
      </c>
      <c r="D1120" s="15" t="s">
        <v>138</v>
      </c>
      <c r="E1120" s="15" t="s">
        <v>128</v>
      </c>
      <c r="F1120" s="14">
        <v>40</v>
      </c>
      <c r="G1120" s="16">
        <v>44860</v>
      </c>
      <c r="H1120" s="7">
        <f t="shared" si="17"/>
        <v>0.66666666666666663</v>
      </c>
      <c r="I112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120" s="24" t="str">
        <f>TEXT(Table1[[#This Row],[Date]],"mmm")</f>
        <v>Oct</v>
      </c>
    </row>
    <row r="1121" spans="1:10" ht="15" customHeight="1">
      <c r="A1121" s="14" t="s">
        <v>140</v>
      </c>
      <c r="B1121" s="15" t="s">
        <v>144</v>
      </c>
      <c r="C1121" s="15" t="s">
        <v>50</v>
      </c>
      <c r="D1121" s="15" t="s">
        <v>11</v>
      </c>
      <c r="E1121" s="15" t="s">
        <v>9</v>
      </c>
      <c r="F1121" s="14">
        <v>30</v>
      </c>
      <c r="G1121" s="16">
        <v>44860</v>
      </c>
      <c r="H1121" s="7">
        <f t="shared" si="17"/>
        <v>0.5</v>
      </c>
      <c r="I112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121" s="24" t="str">
        <f>TEXT(Table1[[#This Row],[Date]],"mmm")</f>
        <v>Oct</v>
      </c>
    </row>
    <row r="1122" spans="1:10" ht="15" customHeight="1">
      <c r="A1122" s="14" t="s">
        <v>140</v>
      </c>
      <c r="B1122" s="15" t="s">
        <v>160</v>
      </c>
      <c r="C1122" s="15" t="s">
        <v>17</v>
      </c>
      <c r="D1122" s="15" t="s">
        <v>11</v>
      </c>
      <c r="E1122" s="15" t="s">
        <v>17</v>
      </c>
      <c r="F1122" s="14">
        <v>35</v>
      </c>
      <c r="G1122" s="16">
        <v>44860</v>
      </c>
      <c r="H1122" s="7">
        <f t="shared" si="17"/>
        <v>0.58333333333333337</v>
      </c>
      <c r="I112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122" s="24" t="str">
        <f>TEXT(Table1[[#This Row],[Date]],"mmm")</f>
        <v>Oct</v>
      </c>
    </row>
    <row r="1123" spans="1:10" ht="15" customHeight="1">
      <c r="A1123" s="14" t="s">
        <v>140</v>
      </c>
      <c r="B1123" s="15" t="s">
        <v>159</v>
      </c>
      <c r="C1123" s="15" t="s">
        <v>30</v>
      </c>
      <c r="D1123" s="15" t="s">
        <v>11</v>
      </c>
      <c r="E1123" s="15" t="s">
        <v>9</v>
      </c>
      <c r="F1123" s="14">
        <v>30</v>
      </c>
      <c r="G1123" s="16">
        <v>44860</v>
      </c>
      <c r="H1123" s="7">
        <f t="shared" si="17"/>
        <v>0.5</v>
      </c>
      <c r="I112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123" s="24" t="str">
        <f>TEXT(Table1[[#This Row],[Date]],"mmm")</f>
        <v>Oct</v>
      </c>
    </row>
    <row r="1124" spans="1:10" ht="15" customHeight="1">
      <c r="A1124" s="14" t="s">
        <v>140</v>
      </c>
      <c r="B1124" s="15" t="s">
        <v>6</v>
      </c>
      <c r="C1124" s="15" t="s">
        <v>47</v>
      </c>
      <c r="D1124" s="15" t="s">
        <v>8</v>
      </c>
      <c r="E1124" s="15" t="s">
        <v>9</v>
      </c>
      <c r="F1124" s="14">
        <v>30</v>
      </c>
      <c r="G1124" s="16">
        <v>44860</v>
      </c>
      <c r="H1124" s="7">
        <f t="shared" si="17"/>
        <v>0.5</v>
      </c>
      <c r="I112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124" s="24" t="str">
        <f>TEXT(Table1[[#This Row],[Date]],"mmm")</f>
        <v>Oct</v>
      </c>
    </row>
    <row r="1125" spans="1:10" ht="15" customHeight="1">
      <c r="A1125" s="14" t="s">
        <v>140</v>
      </c>
      <c r="B1125" s="15" t="s">
        <v>6</v>
      </c>
      <c r="C1125" s="15" t="s">
        <v>52</v>
      </c>
      <c r="D1125" s="15" t="s">
        <v>11</v>
      </c>
      <c r="E1125" s="15" t="s">
        <v>9</v>
      </c>
      <c r="F1125" s="14">
        <v>75</v>
      </c>
      <c r="G1125" s="16">
        <v>44860</v>
      </c>
      <c r="H1125" s="7">
        <f t="shared" si="17"/>
        <v>1.25</v>
      </c>
      <c r="I112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125" s="24" t="str">
        <f>TEXT(Table1[[#This Row],[Date]],"mmm")</f>
        <v>Oct</v>
      </c>
    </row>
    <row r="1126" spans="1:10" ht="15" customHeight="1">
      <c r="A1126" s="14" t="s">
        <v>140</v>
      </c>
      <c r="B1126" s="15" t="s">
        <v>6</v>
      </c>
      <c r="C1126" s="15" t="s">
        <v>129</v>
      </c>
      <c r="D1126" s="15" t="s">
        <v>11</v>
      </c>
      <c r="E1126" s="15" t="s">
        <v>129</v>
      </c>
      <c r="F1126" s="14">
        <v>25</v>
      </c>
      <c r="G1126" s="16">
        <v>44860</v>
      </c>
      <c r="H1126" s="7">
        <f t="shared" si="17"/>
        <v>0.41666666666666669</v>
      </c>
      <c r="I112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126" s="24" t="str">
        <f>TEXT(Table1[[#This Row],[Date]],"mmm")</f>
        <v>Oct</v>
      </c>
    </row>
    <row r="1127" spans="1:10" ht="15" customHeight="1">
      <c r="A1127" s="14" t="s">
        <v>141</v>
      </c>
      <c r="B1127" s="15" t="s">
        <v>36</v>
      </c>
      <c r="C1127" s="15" t="s">
        <v>37</v>
      </c>
      <c r="D1127" s="15" t="s">
        <v>8</v>
      </c>
      <c r="E1127" s="15" t="s">
        <v>36</v>
      </c>
      <c r="F1127" s="14">
        <v>60</v>
      </c>
      <c r="G1127" s="16">
        <v>44831</v>
      </c>
      <c r="H1127" s="7">
        <f t="shared" si="17"/>
        <v>1</v>
      </c>
      <c r="I112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127" s="24" t="str">
        <f>TEXT(Table1[[#This Row],[Date]],"mmm")</f>
        <v>Sep</v>
      </c>
    </row>
    <row r="1128" spans="1:10" ht="15" customHeight="1">
      <c r="A1128" s="14" t="s">
        <v>141</v>
      </c>
      <c r="B1128" s="15" t="s">
        <v>157</v>
      </c>
      <c r="C1128" s="15" t="s">
        <v>16</v>
      </c>
      <c r="D1128" s="15" t="s">
        <v>8</v>
      </c>
      <c r="E1128" s="15" t="s">
        <v>9</v>
      </c>
      <c r="F1128" s="14">
        <v>30</v>
      </c>
      <c r="G1128" s="16">
        <v>44831</v>
      </c>
      <c r="H1128" s="7">
        <f t="shared" si="17"/>
        <v>0.5</v>
      </c>
      <c r="I112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128" s="24" t="str">
        <f>TEXT(Table1[[#This Row],[Date]],"mmm")</f>
        <v>Sep</v>
      </c>
    </row>
    <row r="1129" spans="1:10" ht="15" customHeight="1">
      <c r="A1129" s="14" t="s">
        <v>141</v>
      </c>
      <c r="B1129" s="15" t="s">
        <v>96</v>
      </c>
      <c r="C1129" s="15" t="s">
        <v>10</v>
      </c>
      <c r="D1129" s="15" t="s">
        <v>8</v>
      </c>
      <c r="E1129" s="15" t="s">
        <v>10</v>
      </c>
      <c r="F1129" s="14">
        <v>20</v>
      </c>
      <c r="G1129" s="16">
        <v>44831</v>
      </c>
      <c r="H1129" s="7">
        <f t="shared" si="17"/>
        <v>0.33333333333333331</v>
      </c>
      <c r="I112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129" s="24" t="str">
        <f>TEXT(Table1[[#This Row],[Date]],"mmm")</f>
        <v>Sep</v>
      </c>
    </row>
    <row r="1130" spans="1:10" ht="15" customHeight="1">
      <c r="A1130" s="14" t="s">
        <v>141</v>
      </c>
      <c r="B1130" s="15" t="s">
        <v>157</v>
      </c>
      <c r="C1130" s="15" t="s">
        <v>44</v>
      </c>
      <c r="D1130" s="15" t="s">
        <v>8</v>
      </c>
      <c r="E1130" s="15" t="s">
        <v>12</v>
      </c>
      <c r="F1130" s="14">
        <v>90</v>
      </c>
      <c r="G1130" s="16">
        <v>44831</v>
      </c>
      <c r="H1130" s="7">
        <f t="shared" si="17"/>
        <v>1.5</v>
      </c>
      <c r="I113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130" s="24" t="str">
        <f>TEXT(Table1[[#This Row],[Date]],"mmm")</f>
        <v>Sep</v>
      </c>
    </row>
    <row r="1131" spans="1:10" ht="15" customHeight="1">
      <c r="A1131" s="14" t="s">
        <v>141</v>
      </c>
      <c r="B1131" s="15" t="s">
        <v>142</v>
      </c>
      <c r="C1131" s="15" t="s">
        <v>9</v>
      </c>
      <c r="D1131" s="15" t="s">
        <v>11</v>
      </c>
      <c r="E1131" s="15" t="s">
        <v>9</v>
      </c>
      <c r="F1131" s="14">
        <v>45</v>
      </c>
      <c r="G1131" s="16">
        <v>44831</v>
      </c>
      <c r="H1131" s="7">
        <f t="shared" si="17"/>
        <v>0.75</v>
      </c>
      <c r="I113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131" s="24" t="str">
        <f>TEXT(Table1[[#This Row],[Date]],"mmm")</f>
        <v>Sep</v>
      </c>
    </row>
    <row r="1132" spans="1:10" ht="15" customHeight="1">
      <c r="A1132" s="14" t="s">
        <v>141</v>
      </c>
      <c r="B1132" s="15" t="s">
        <v>142</v>
      </c>
      <c r="C1132" s="15" t="s">
        <v>6</v>
      </c>
      <c r="D1132" s="15" t="s">
        <v>11</v>
      </c>
      <c r="E1132" s="15" t="s">
        <v>6</v>
      </c>
      <c r="F1132" s="14">
        <v>20</v>
      </c>
      <c r="G1132" s="16">
        <v>44831</v>
      </c>
      <c r="H1132" s="7">
        <f t="shared" si="17"/>
        <v>0.33333333333333331</v>
      </c>
      <c r="I113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132" s="24" t="str">
        <f>TEXT(Table1[[#This Row],[Date]],"mmm")</f>
        <v>Sep</v>
      </c>
    </row>
    <row r="1133" spans="1:10" ht="15" customHeight="1">
      <c r="A1133" s="14" t="s">
        <v>141</v>
      </c>
      <c r="B1133" s="15" t="s">
        <v>157</v>
      </c>
      <c r="C1133" s="15" t="s">
        <v>6</v>
      </c>
      <c r="D1133" s="15" t="s">
        <v>11</v>
      </c>
      <c r="E1133" s="15" t="s">
        <v>6</v>
      </c>
      <c r="F1133" s="14">
        <v>90</v>
      </c>
      <c r="G1133" s="16">
        <v>44831</v>
      </c>
      <c r="H1133" s="7">
        <f t="shared" si="17"/>
        <v>1.5</v>
      </c>
      <c r="I113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133" s="24" t="str">
        <f>TEXT(Table1[[#This Row],[Date]],"mmm")</f>
        <v>Sep</v>
      </c>
    </row>
    <row r="1134" spans="1:10" ht="15" customHeight="1">
      <c r="A1134" s="14" t="s">
        <v>141</v>
      </c>
      <c r="B1134" s="15" t="s">
        <v>142</v>
      </c>
      <c r="C1134" s="15" t="s">
        <v>137</v>
      </c>
      <c r="D1134" s="15" t="s">
        <v>8</v>
      </c>
      <c r="E1134" s="15" t="s">
        <v>35</v>
      </c>
      <c r="F1134" s="14">
        <v>150</v>
      </c>
      <c r="G1134" s="16">
        <v>44831</v>
      </c>
      <c r="H1134" s="7">
        <f t="shared" si="17"/>
        <v>2.5</v>
      </c>
      <c r="I113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134" s="24" t="str">
        <f>TEXT(Table1[[#This Row],[Date]],"mmm")</f>
        <v>Sep</v>
      </c>
    </row>
    <row r="1135" spans="1:10" ht="15" customHeight="1">
      <c r="A1135" s="14" t="s">
        <v>140</v>
      </c>
      <c r="B1135" s="15" t="s">
        <v>159</v>
      </c>
      <c r="C1135" s="15" t="s">
        <v>47</v>
      </c>
      <c r="D1135" s="15" t="s">
        <v>11</v>
      </c>
      <c r="E1135" s="15" t="s">
        <v>9</v>
      </c>
      <c r="F1135" s="14">
        <v>35</v>
      </c>
      <c r="G1135" s="16">
        <v>44831</v>
      </c>
      <c r="H1135" s="7">
        <f t="shared" si="17"/>
        <v>0.58333333333333337</v>
      </c>
      <c r="I113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135" s="24" t="str">
        <f>TEXT(Table1[[#This Row],[Date]],"mmm")</f>
        <v>Sep</v>
      </c>
    </row>
    <row r="1136" spans="1:10" ht="15" customHeight="1">
      <c r="A1136" s="14" t="s">
        <v>140</v>
      </c>
      <c r="B1136" s="15" t="s">
        <v>10</v>
      </c>
      <c r="C1136" s="15" t="s">
        <v>10</v>
      </c>
      <c r="D1136" s="15" t="s">
        <v>8</v>
      </c>
      <c r="E1136" s="15" t="s">
        <v>10</v>
      </c>
      <c r="F1136" s="14">
        <v>25</v>
      </c>
      <c r="G1136" s="16">
        <v>44831</v>
      </c>
      <c r="H1136" s="7">
        <f t="shared" si="17"/>
        <v>0.41666666666666669</v>
      </c>
      <c r="I113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136" s="24" t="str">
        <f>TEXT(Table1[[#This Row],[Date]],"mmm")</f>
        <v>Sep</v>
      </c>
    </row>
    <row r="1137" spans="1:10" ht="15" customHeight="1">
      <c r="A1137" s="14" t="s">
        <v>140</v>
      </c>
      <c r="B1137" s="15" t="s">
        <v>160</v>
      </c>
      <c r="C1137" s="15" t="s">
        <v>58</v>
      </c>
      <c r="D1137" s="15" t="s">
        <v>11</v>
      </c>
      <c r="E1137" s="15" t="s">
        <v>125</v>
      </c>
      <c r="F1137" s="14">
        <v>110</v>
      </c>
      <c r="G1137" s="16">
        <v>44831</v>
      </c>
      <c r="H1137" s="7">
        <f t="shared" si="17"/>
        <v>1.8333333333333333</v>
      </c>
      <c r="I113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137" s="24" t="str">
        <f>TEXT(Table1[[#This Row],[Date]],"mmm")</f>
        <v>Sep</v>
      </c>
    </row>
    <row r="1138" spans="1:10" ht="15" customHeight="1">
      <c r="A1138" s="14" t="s">
        <v>140</v>
      </c>
      <c r="B1138" s="15" t="s">
        <v>20</v>
      </c>
      <c r="C1138" s="15" t="s">
        <v>20</v>
      </c>
      <c r="D1138" s="15" t="s">
        <v>11</v>
      </c>
      <c r="E1138" s="15" t="s">
        <v>20</v>
      </c>
      <c r="F1138" s="14">
        <v>25</v>
      </c>
      <c r="G1138" s="16">
        <v>44831</v>
      </c>
      <c r="H1138" s="7">
        <f t="shared" si="17"/>
        <v>0.41666666666666669</v>
      </c>
      <c r="I113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138" s="24" t="str">
        <f>TEXT(Table1[[#This Row],[Date]],"mmm")</f>
        <v>Sep</v>
      </c>
    </row>
    <row r="1139" spans="1:10" ht="15" customHeight="1">
      <c r="A1139" s="14" t="s">
        <v>140</v>
      </c>
      <c r="B1139" s="15" t="s">
        <v>160</v>
      </c>
      <c r="C1139" s="15" t="s">
        <v>38</v>
      </c>
      <c r="D1139" s="15" t="s">
        <v>11</v>
      </c>
      <c r="E1139" s="15" t="s">
        <v>9</v>
      </c>
      <c r="F1139" s="14">
        <v>35</v>
      </c>
      <c r="G1139" s="16">
        <v>44831</v>
      </c>
      <c r="H1139" s="7">
        <f t="shared" si="17"/>
        <v>0.58333333333333337</v>
      </c>
      <c r="I113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139" s="24" t="str">
        <f>TEXT(Table1[[#This Row],[Date]],"mmm")</f>
        <v>Sep</v>
      </c>
    </row>
    <row r="1140" spans="1:10" ht="15" customHeight="1">
      <c r="A1140" s="14" t="s">
        <v>140</v>
      </c>
      <c r="B1140" s="15" t="s">
        <v>159</v>
      </c>
      <c r="C1140" s="15" t="s">
        <v>120</v>
      </c>
      <c r="D1140" s="15" t="s">
        <v>11</v>
      </c>
      <c r="E1140" s="15" t="s">
        <v>66</v>
      </c>
      <c r="F1140" s="14">
        <v>25</v>
      </c>
      <c r="G1140" s="16">
        <v>44831</v>
      </c>
      <c r="H1140" s="7">
        <f t="shared" si="17"/>
        <v>0.41666666666666669</v>
      </c>
      <c r="I114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140" s="24" t="str">
        <f>TEXT(Table1[[#This Row],[Date]],"mmm")</f>
        <v>Sep</v>
      </c>
    </row>
    <row r="1141" spans="1:10" ht="15" customHeight="1">
      <c r="A1141" s="14" t="s">
        <v>140</v>
      </c>
      <c r="B1141" s="15" t="s">
        <v>159</v>
      </c>
      <c r="C1141" s="15" t="s">
        <v>44</v>
      </c>
      <c r="D1141" s="15" t="s">
        <v>8</v>
      </c>
      <c r="E1141" s="15" t="s">
        <v>12</v>
      </c>
      <c r="F1141" s="14">
        <v>110</v>
      </c>
      <c r="G1141" s="16">
        <v>44831</v>
      </c>
      <c r="H1141" s="7">
        <f t="shared" si="17"/>
        <v>1.8333333333333333</v>
      </c>
      <c r="I114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141" s="24" t="str">
        <f>TEXT(Table1[[#This Row],[Date]],"mmm")</f>
        <v>Sep</v>
      </c>
    </row>
    <row r="1142" spans="1:10" ht="15" customHeight="1">
      <c r="A1142" s="14" t="s">
        <v>140</v>
      </c>
      <c r="B1142" s="15" t="s">
        <v>160</v>
      </c>
      <c r="C1142" s="15" t="s">
        <v>58</v>
      </c>
      <c r="D1142" s="15" t="s">
        <v>11</v>
      </c>
      <c r="E1142" s="15" t="s">
        <v>125</v>
      </c>
      <c r="F1142" s="14">
        <v>20</v>
      </c>
      <c r="G1142" s="16">
        <v>44831</v>
      </c>
      <c r="H1142" s="7">
        <f t="shared" si="17"/>
        <v>0.33333333333333331</v>
      </c>
      <c r="I114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142" s="24" t="str">
        <f>TEXT(Table1[[#This Row],[Date]],"mmm")</f>
        <v>Sep</v>
      </c>
    </row>
    <row r="1143" spans="1:10" ht="15" customHeight="1">
      <c r="A1143" s="14" t="s">
        <v>140</v>
      </c>
      <c r="B1143" s="15" t="s">
        <v>160</v>
      </c>
      <c r="C1143" s="15" t="s">
        <v>130</v>
      </c>
      <c r="D1143" s="15" t="s">
        <v>138</v>
      </c>
      <c r="E1143" s="15" t="s">
        <v>9</v>
      </c>
      <c r="F1143" s="14">
        <v>45</v>
      </c>
      <c r="G1143" s="16">
        <v>44831</v>
      </c>
      <c r="H1143" s="7">
        <f t="shared" si="17"/>
        <v>0.75</v>
      </c>
      <c r="I114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143" s="24" t="str">
        <f>TEXT(Table1[[#This Row],[Date]],"mmm")</f>
        <v>Sep</v>
      </c>
    </row>
    <row r="1144" spans="1:10" ht="15" customHeight="1">
      <c r="A1144" s="14" t="s">
        <v>140</v>
      </c>
      <c r="B1144" s="15" t="s">
        <v>159</v>
      </c>
      <c r="C1144" s="15" t="s">
        <v>15</v>
      </c>
      <c r="D1144" s="15" t="s">
        <v>11</v>
      </c>
      <c r="E1144" s="15" t="s">
        <v>9</v>
      </c>
      <c r="F1144" s="14">
        <v>35</v>
      </c>
      <c r="G1144" s="16">
        <v>44831</v>
      </c>
      <c r="H1144" s="7">
        <f t="shared" si="17"/>
        <v>0.58333333333333337</v>
      </c>
      <c r="I114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144" s="24" t="str">
        <f>TEXT(Table1[[#This Row],[Date]],"mmm")</f>
        <v>Sep</v>
      </c>
    </row>
    <row r="1145" spans="1:10" ht="15" customHeight="1">
      <c r="A1145" s="14" t="s">
        <v>140</v>
      </c>
      <c r="B1145" s="15" t="s">
        <v>144</v>
      </c>
      <c r="C1145" s="15" t="s">
        <v>50</v>
      </c>
      <c r="D1145" s="15" t="s">
        <v>11</v>
      </c>
      <c r="E1145" s="15" t="s">
        <v>9</v>
      </c>
      <c r="F1145" s="14">
        <v>30</v>
      </c>
      <c r="G1145" s="16">
        <v>44831</v>
      </c>
      <c r="H1145" s="7">
        <f t="shared" si="17"/>
        <v>0.5</v>
      </c>
      <c r="I114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145" s="24" t="str">
        <f>TEXT(Table1[[#This Row],[Date]],"mmm")</f>
        <v>Sep</v>
      </c>
    </row>
    <row r="1146" spans="1:10" ht="15" customHeight="1">
      <c r="A1146" s="14" t="s">
        <v>140</v>
      </c>
      <c r="B1146" s="15" t="s">
        <v>152</v>
      </c>
      <c r="C1146" s="15" t="s">
        <v>91</v>
      </c>
      <c r="D1146" s="15" t="s">
        <v>11</v>
      </c>
      <c r="E1146" s="15" t="s">
        <v>12</v>
      </c>
      <c r="F1146" s="14">
        <v>20</v>
      </c>
      <c r="G1146" s="16">
        <v>44831</v>
      </c>
      <c r="H1146" s="7">
        <f t="shared" si="17"/>
        <v>0.33333333333333331</v>
      </c>
      <c r="I114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146" s="24" t="str">
        <f>TEXT(Table1[[#This Row],[Date]],"mmm")</f>
        <v>Sep</v>
      </c>
    </row>
    <row r="1147" spans="1:10" ht="15" customHeight="1">
      <c r="A1147" s="14" t="s">
        <v>141</v>
      </c>
      <c r="B1147" s="15" t="s">
        <v>10</v>
      </c>
      <c r="C1147" s="15" t="s">
        <v>10</v>
      </c>
      <c r="D1147" s="15" t="s">
        <v>8</v>
      </c>
      <c r="E1147" s="15" t="s">
        <v>10</v>
      </c>
      <c r="F1147" s="14">
        <v>20</v>
      </c>
      <c r="G1147" s="16">
        <v>44861</v>
      </c>
      <c r="H1147" s="7">
        <f t="shared" si="17"/>
        <v>0.33333333333333331</v>
      </c>
      <c r="I114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147" s="24" t="str">
        <f>TEXT(Table1[[#This Row],[Date]],"mmm")</f>
        <v>Oct</v>
      </c>
    </row>
    <row r="1148" spans="1:10" ht="15" customHeight="1">
      <c r="A1148" s="14" t="s">
        <v>141</v>
      </c>
      <c r="B1148" s="15" t="s">
        <v>36</v>
      </c>
      <c r="C1148" s="15" t="s">
        <v>37</v>
      </c>
      <c r="D1148" s="15" t="s">
        <v>8</v>
      </c>
      <c r="E1148" s="15" t="s">
        <v>36</v>
      </c>
      <c r="F1148" s="14">
        <v>60</v>
      </c>
      <c r="G1148" s="16">
        <v>44861</v>
      </c>
      <c r="H1148" s="7">
        <f t="shared" si="17"/>
        <v>1</v>
      </c>
      <c r="I114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148" s="24" t="str">
        <f>TEXT(Table1[[#This Row],[Date]],"mmm")</f>
        <v>Oct</v>
      </c>
    </row>
    <row r="1149" spans="1:10" ht="15" customHeight="1">
      <c r="A1149" s="14" t="s">
        <v>141</v>
      </c>
      <c r="B1149" s="15" t="s">
        <v>157</v>
      </c>
      <c r="C1149" s="15" t="s">
        <v>16</v>
      </c>
      <c r="D1149" s="15" t="s">
        <v>8</v>
      </c>
      <c r="E1149" s="15" t="s">
        <v>9</v>
      </c>
      <c r="F1149" s="14">
        <v>40</v>
      </c>
      <c r="G1149" s="16">
        <v>44861</v>
      </c>
      <c r="H1149" s="7">
        <f t="shared" si="17"/>
        <v>0.66666666666666663</v>
      </c>
      <c r="I114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149" s="24" t="str">
        <f>TEXT(Table1[[#This Row],[Date]],"mmm")</f>
        <v>Oct</v>
      </c>
    </row>
    <row r="1150" spans="1:10" ht="15" customHeight="1">
      <c r="A1150" s="14" t="s">
        <v>141</v>
      </c>
      <c r="B1150" s="15" t="s">
        <v>158</v>
      </c>
      <c r="C1150" s="15" t="s">
        <v>127</v>
      </c>
      <c r="D1150" s="15" t="s">
        <v>11</v>
      </c>
      <c r="E1150" s="15" t="s">
        <v>6</v>
      </c>
      <c r="F1150" s="14">
        <v>60</v>
      </c>
      <c r="G1150" s="16">
        <v>44861</v>
      </c>
      <c r="H1150" s="7">
        <f t="shared" si="17"/>
        <v>1</v>
      </c>
      <c r="I115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150" s="24" t="str">
        <f>TEXT(Table1[[#This Row],[Date]],"mmm")</f>
        <v>Oct</v>
      </c>
    </row>
    <row r="1151" spans="1:10" ht="15" customHeight="1">
      <c r="A1151" s="14" t="s">
        <v>141</v>
      </c>
      <c r="B1151" s="15" t="s">
        <v>142</v>
      </c>
      <c r="C1151" s="15" t="s">
        <v>137</v>
      </c>
      <c r="D1151" s="15" t="s">
        <v>8</v>
      </c>
      <c r="E1151" s="15" t="s">
        <v>35</v>
      </c>
      <c r="F1151" s="14">
        <v>200</v>
      </c>
      <c r="G1151" s="16">
        <v>44861</v>
      </c>
      <c r="H1151" s="7">
        <f t="shared" si="17"/>
        <v>3.3333333333333335</v>
      </c>
      <c r="I115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151" s="24" t="str">
        <f>TEXT(Table1[[#This Row],[Date]],"mmm")</f>
        <v>Oct</v>
      </c>
    </row>
    <row r="1152" spans="1:10" ht="15" customHeight="1">
      <c r="A1152" s="14" t="s">
        <v>141</v>
      </c>
      <c r="B1152" s="15" t="s">
        <v>157</v>
      </c>
      <c r="C1152" s="15" t="s">
        <v>162</v>
      </c>
      <c r="D1152" s="15" t="s">
        <v>13</v>
      </c>
      <c r="E1152" s="15" t="s">
        <v>9</v>
      </c>
      <c r="F1152" s="14">
        <v>100</v>
      </c>
      <c r="G1152" s="16">
        <v>44861</v>
      </c>
      <c r="H1152" s="7">
        <f t="shared" si="17"/>
        <v>1.6666666666666667</v>
      </c>
      <c r="I115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152" s="24" t="str">
        <f>TEXT(Table1[[#This Row],[Date]],"mmm")</f>
        <v>Oct</v>
      </c>
    </row>
    <row r="1153" spans="1:10" ht="15" customHeight="1">
      <c r="A1153" s="14" t="s">
        <v>140</v>
      </c>
      <c r="B1153" s="15" t="s">
        <v>10</v>
      </c>
      <c r="C1153" s="15" t="s">
        <v>10</v>
      </c>
      <c r="D1153" s="15" t="s">
        <v>8</v>
      </c>
      <c r="E1153" s="15" t="s">
        <v>10</v>
      </c>
      <c r="F1153" s="14">
        <v>20</v>
      </c>
      <c r="G1153" s="16">
        <v>44861</v>
      </c>
      <c r="H1153" s="7">
        <f t="shared" si="17"/>
        <v>0.33333333333333331</v>
      </c>
      <c r="I115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153" s="24" t="str">
        <f>TEXT(Table1[[#This Row],[Date]],"mmm")</f>
        <v>Oct</v>
      </c>
    </row>
    <row r="1154" spans="1:10" ht="15" customHeight="1">
      <c r="A1154" s="14" t="s">
        <v>140</v>
      </c>
      <c r="B1154" s="15" t="s">
        <v>152</v>
      </c>
      <c r="C1154" s="15" t="s">
        <v>153</v>
      </c>
      <c r="D1154" s="15" t="s">
        <v>8</v>
      </c>
      <c r="E1154" s="15" t="s">
        <v>12</v>
      </c>
      <c r="F1154" s="14">
        <v>25</v>
      </c>
      <c r="G1154" s="16">
        <v>44861</v>
      </c>
      <c r="H1154" s="7">
        <f t="shared" ref="H1154:H1217" si="18">IFERROR(IF(ISBLANK(F1154)=TRUE(),"",F1154/60),"")</f>
        <v>0.41666666666666669</v>
      </c>
      <c r="I115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154" s="24" t="str">
        <f>TEXT(Table1[[#This Row],[Date]],"mmm")</f>
        <v>Oct</v>
      </c>
    </row>
    <row r="1155" spans="1:10" ht="15" customHeight="1">
      <c r="A1155" s="14" t="s">
        <v>140</v>
      </c>
      <c r="B1155" s="15" t="s">
        <v>159</v>
      </c>
      <c r="C1155" s="15" t="s">
        <v>44</v>
      </c>
      <c r="D1155" s="15" t="s">
        <v>8</v>
      </c>
      <c r="E1155" s="15" t="s">
        <v>12</v>
      </c>
      <c r="F1155" s="14">
        <v>110</v>
      </c>
      <c r="G1155" s="16">
        <v>44861</v>
      </c>
      <c r="H1155" s="7">
        <f t="shared" si="18"/>
        <v>1.8333333333333333</v>
      </c>
      <c r="I115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155" s="24" t="str">
        <f>TEXT(Table1[[#This Row],[Date]],"mmm")</f>
        <v>Oct</v>
      </c>
    </row>
    <row r="1156" spans="1:10" ht="15" customHeight="1">
      <c r="A1156" s="14" t="s">
        <v>140</v>
      </c>
      <c r="B1156" s="15" t="s">
        <v>159</v>
      </c>
      <c r="C1156" s="15" t="s">
        <v>48</v>
      </c>
      <c r="D1156" s="15" t="s">
        <v>11</v>
      </c>
      <c r="E1156" s="15" t="s">
        <v>88</v>
      </c>
      <c r="F1156" s="14">
        <v>30</v>
      </c>
      <c r="G1156" s="16">
        <v>44861</v>
      </c>
      <c r="H1156" s="7">
        <f t="shared" si="18"/>
        <v>0.5</v>
      </c>
      <c r="I115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156" s="24" t="str">
        <f>TEXT(Table1[[#This Row],[Date]],"mmm")</f>
        <v>Oct</v>
      </c>
    </row>
    <row r="1157" spans="1:10" ht="15" customHeight="1">
      <c r="A1157" s="14" t="s">
        <v>140</v>
      </c>
      <c r="B1157" s="15" t="s">
        <v>159</v>
      </c>
      <c r="C1157" s="15" t="s">
        <v>51</v>
      </c>
      <c r="D1157" s="15" t="s">
        <v>8</v>
      </c>
      <c r="E1157" s="15" t="s">
        <v>19</v>
      </c>
      <c r="F1157" s="14">
        <v>25</v>
      </c>
      <c r="G1157" s="16">
        <v>44861</v>
      </c>
      <c r="H1157" s="7">
        <f t="shared" si="18"/>
        <v>0.41666666666666669</v>
      </c>
      <c r="I115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157" s="24" t="str">
        <f>TEXT(Table1[[#This Row],[Date]],"mmm")</f>
        <v>Oct</v>
      </c>
    </row>
    <row r="1158" spans="1:10" ht="15" customHeight="1">
      <c r="A1158" s="14" t="s">
        <v>140</v>
      </c>
      <c r="B1158" s="15" t="s">
        <v>159</v>
      </c>
      <c r="C1158" s="15" t="s">
        <v>52</v>
      </c>
      <c r="D1158" s="15" t="s">
        <v>11</v>
      </c>
      <c r="E1158" s="15" t="s">
        <v>52</v>
      </c>
      <c r="F1158" s="14">
        <v>40</v>
      </c>
      <c r="G1158" s="16">
        <v>44861</v>
      </c>
      <c r="H1158" s="7">
        <f t="shared" si="18"/>
        <v>0.66666666666666663</v>
      </c>
      <c r="I115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158" s="24" t="str">
        <f>TEXT(Table1[[#This Row],[Date]],"mmm")</f>
        <v>Oct</v>
      </c>
    </row>
    <row r="1159" spans="1:10" ht="15" customHeight="1">
      <c r="A1159" s="14" t="s">
        <v>140</v>
      </c>
      <c r="B1159" s="15" t="s">
        <v>159</v>
      </c>
      <c r="C1159" s="15" t="s">
        <v>161</v>
      </c>
      <c r="D1159" s="15" t="s">
        <v>138</v>
      </c>
      <c r="E1159" s="15" t="s">
        <v>9</v>
      </c>
      <c r="F1159" s="14">
        <v>40</v>
      </c>
      <c r="G1159" s="16">
        <v>44861</v>
      </c>
      <c r="H1159" s="7">
        <f t="shared" si="18"/>
        <v>0.66666666666666663</v>
      </c>
      <c r="I115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159" s="24" t="str">
        <f>TEXT(Table1[[#This Row],[Date]],"mmm")</f>
        <v>Oct</v>
      </c>
    </row>
    <row r="1160" spans="1:10" ht="15" customHeight="1">
      <c r="A1160" s="14" t="s">
        <v>140</v>
      </c>
      <c r="B1160" s="15" t="s">
        <v>20</v>
      </c>
      <c r="C1160" s="15" t="s">
        <v>20</v>
      </c>
      <c r="D1160" s="15" t="s">
        <v>11</v>
      </c>
      <c r="E1160" s="15" t="s">
        <v>20</v>
      </c>
      <c r="F1160" s="14">
        <v>40</v>
      </c>
      <c r="G1160" s="16">
        <v>44861</v>
      </c>
      <c r="H1160" s="7">
        <f t="shared" si="18"/>
        <v>0.66666666666666663</v>
      </c>
      <c r="I116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160" s="24" t="str">
        <f>TEXT(Table1[[#This Row],[Date]],"mmm")</f>
        <v>Oct</v>
      </c>
    </row>
    <row r="1161" spans="1:10" ht="15" customHeight="1">
      <c r="A1161" s="14" t="s">
        <v>140</v>
      </c>
      <c r="B1161" s="15" t="s">
        <v>144</v>
      </c>
      <c r="C1161" s="15" t="s">
        <v>50</v>
      </c>
      <c r="D1161" s="15" t="s">
        <v>11</v>
      </c>
      <c r="E1161" s="15" t="s">
        <v>9</v>
      </c>
      <c r="F1161" s="14">
        <v>30</v>
      </c>
      <c r="G1161" s="16">
        <v>44861</v>
      </c>
      <c r="H1161" s="7">
        <f t="shared" si="18"/>
        <v>0.5</v>
      </c>
      <c r="I116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161" s="24" t="str">
        <f>TEXT(Table1[[#This Row],[Date]],"mmm")</f>
        <v>Oct</v>
      </c>
    </row>
    <row r="1162" spans="1:10" ht="15" customHeight="1">
      <c r="A1162" s="14" t="s">
        <v>140</v>
      </c>
      <c r="B1162" s="15" t="s">
        <v>160</v>
      </c>
      <c r="C1162" s="15" t="s">
        <v>17</v>
      </c>
      <c r="D1162" s="15" t="s">
        <v>11</v>
      </c>
      <c r="E1162" s="15" t="s">
        <v>17</v>
      </c>
      <c r="F1162" s="14">
        <v>25</v>
      </c>
      <c r="G1162" s="16">
        <v>44861</v>
      </c>
      <c r="H1162" s="7">
        <f t="shared" si="18"/>
        <v>0.41666666666666669</v>
      </c>
      <c r="I116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162" s="24" t="str">
        <f>TEXT(Table1[[#This Row],[Date]],"mmm")</f>
        <v>Oct</v>
      </c>
    </row>
    <row r="1163" spans="1:10" ht="15" customHeight="1">
      <c r="A1163" s="14" t="s">
        <v>140</v>
      </c>
      <c r="B1163" s="15" t="s">
        <v>159</v>
      </c>
      <c r="C1163" s="15" t="s">
        <v>30</v>
      </c>
      <c r="D1163" s="15" t="s">
        <v>11</v>
      </c>
      <c r="E1163" s="15" t="s">
        <v>9</v>
      </c>
      <c r="F1163" s="14">
        <v>20</v>
      </c>
      <c r="G1163" s="16">
        <v>44861</v>
      </c>
      <c r="H1163" s="7">
        <f t="shared" si="18"/>
        <v>0.33333333333333331</v>
      </c>
      <c r="I116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163" s="24" t="str">
        <f>TEXT(Table1[[#This Row],[Date]],"mmm")</f>
        <v>Oct</v>
      </c>
    </row>
    <row r="1164" spans="1:10" ht="15" customHeight="1">
      <c r="A1164" s="14" t="s">
        <v>140</v>
      </c>
      <c r="B1164" s="15" t="s">
        <v>6</v>
      </c>
      <c r="C1164" s="15" t="s">
        <v>47</v>
      </c>
      <c r="D1164" s="15" t="s">
        <v>8</v>
      </c>
      <c r="E1164" s="15" t="s">
        <v>9</v>
      </c>
      <c r="F1164" s="14">
        <v>30</v>
      </c>
      <c r="G1164" s="16">
        <v>44861</v>
      </c>
      <c r="H1164" s="7">
        <f t="shared" si="18"/>
        <v>0.5</v>
      </c>
      <c r="I116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164" s="24" t="str">
        <f>TEXT(Table1[[#This Row],[Date]],"mmm")</f>
        <v>Oct</v>
      </c>
    </row>
    <row r="1165" spans="1:10" ht="15" customHeight="1">
      <c r="A1165" s="14" t="s">
        <v>140</v>
      </c>
      <c r="B1165" s="15" t="s">
        <v>6</v>
      </c>
      <c r="C1165" s="15" t="s">
        <v>52</v>
      </c>
      <c r="D1165" s="15" t="s">
        <v>11</v>
      </c>
      <c r="E1165" s="15" t="s">
        <v>9</v>
      </c>
      <c r="F1165" s="14">
        <v>75</v>
      </c>
      <c r="G1165" s="16">
        <v>44861</v>
      </c>
      <c r="H1165" s="7">
        <f t="shared" si="18"/>
        <v>1.25</v>
      </c>
      <c r="I116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165" s="24" t="str">
        <f>TEXT(Table1[[#This Row],[Date]],"mmm")</f>
        <v>Oct</v>
      </c>
    </row>
    <row r="1166" spans="1:10" ht="15" customHeight="1">
      <c r="A1166" s="14" t="s">
        <v>141</v>
      </c>
      <c r="B1166" s="15" t="s">
        <v>36</v>
      </c>
      <c r="C1166" s="15" t="s">
        <v>37</v>
      </c>
      <c r="D1166" s="15" t="s">
        <v>8</v>
      </c>
      <c r="E1166" s="15" t="s">
        <v>36</v>
      </c>
      <c r="F1166" s="14">
        <v>60</v>
      </c>
      <c r="G1166" s="16">
        <v>44832</v>
      </c>
      <c r="H1166" s="7">
        <f t="shared" si="18"/>
        <v>1</v>
      </c>
      <c r="I116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166" s="24" t="str">
        <f>TEXT(Table1[[#This Row],[Date]],"mmm")</f>
        <v>Sep</v>
      </c>
    </row>
    <row r="1167" spans="1:10" ht="15" customHeight="1">
      <c r="A1167" s="14" t="s">
        <v>141</v>
      </c>
      <c r="B1167" s="15" t="s">
        <v>157</v>
      </c>
      <c r="C1167" s="15" t="s">
        <v>16</v>
      </c>
      <c r="D1167" s="15" t="s">
        <v>8</v>
      </c>
      <c r="E1167" s="15" t="s">
        <v>9</v>
      </c>
      <c r="F1167" s="14">
        <v>40</v>
      </c>
      <c r="G1167" s="16">
        <v>44832</v>
      </c>
      <c r="H1167" s="7">
        <f t="shared" si="18"/>
        <v>0.66666666666666663</v>
      </c>
      <c r="I116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167" s="24" t="str">
        <f>TEXT(Table1[[#This Row],[Date]],"mmm")</f>
        <v>Sep</v>
      </c>
    </row>
    <row r="1168" spans="1:10" ht="15" customHeight="1">
      <c r="A1168" s="14" t="s">
        <v>141</v>
      </c>
      <c r="B1168" s="15" t="s">
        <v>96</v>
      </c>
      <c r="C1168" s="15" t="s">
        <v>10</v>
      </c>
      <c r="D1168" s="15" t="s">
        <v>8</v>
      </c>
      <c r="E1168" s="15" t="s">
        <v>10</v>
      </c>
      <c r="F1168" s="14">
        <v>20</v>
      </c>
      <c r="G1168" s="16">
        <v>44832</v>
      </c>
      <c r="H1168" s="7">
        <f t="shared" si="18"/>
        <v>0.33333333333333331</v>
      </c>
      <c r="I116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168" s="24" t="str">
        <f>TEXT(Table1[[#This Row],[Date]],"mmm")</f>
        <v>Sep</v>
      </c>
    </row>
    <row r="1169" spans="1:10" ht="15" customHeight="1">
      <c r="A1169" s="14" t="s">
        <v>141</v>
      </c>
      <c r="B1169" s="15" t="s">
        <v>157</v>
      </c>
      <c r="C1169" s="15" t="s">
        <v>44</v>
      </c>
      <c r="D1169" s="15" t="s">
        <v>8</v>
      </c>
      <c r="E1169" s="15" t="s">
        <v>12</v>
      </c>
      <c r="F1169" s="14">
        <v>90</v>
      </c>
      <c r="G1169" s="16">
        <v>44832</v>
      </c>
      <c r="H1169" s="7">
        <f t="shared" si="18"/>
        <v>1.5</v>
      </c>
      <c r="I116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169" s="24" t="str">
        <f>TEXT(Table1[[#This Row],[Date]],"mmm")</f>
        <v>Sep</v>
      </c>
    </row>
    <row r="1170" spans="1:10" ht="15" customHeight="1">
      <c r="A1170" s="14" t="s">
        <v>141</v>
      </c>
      <c r="B1170" s="15" t="s">
        <v>142</v>
      </c>
      <c r="C1170" s="15" t="s">
        <v>9</v>
      </c>
      <c r="D1170" s="15" t="s">
        <v>11</v>
      </c>
      <c r="E1170" s="15" t="s">
        <v>9</v>
      </c>
      <c r="F1170" s="14">
        <v>60</v>
      </c>
      <c r="G1170" s="16">
        <v>44832</v>
      </c>
      <c r="H1170" s="7">
        <f t="shared" si="18"/>
        <v>1</v>
      </c>
      <c r="I117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170" s="24" t="str">
        <f>TEXT(Table1[[#This Row],[Date]],"mmm")</f>
        <v>Sep</v>
      </c>
    </row>
    <row r="1171" spans="1:10" ht="15" customHeight="1">
      <c r="A1171" s="14" t="s">
        <v>141</v>
      </c>
      <c r="B1171" s="15" t="s">
        <v>157</v>
      </c>
      <c r="C1171" s="15" t="s">
        <v>17</v>
      </c>
      <c r="D1171" s="15" t="s">
        <v>11</v>
      </c>
      <c r="E1171" s="15" t="s">
        <v>17</v>
      </c>
      <c r="F1171" s="14">
        <v>10</v>
      </c>
      <c r="G1171" s="16">
        <v>44832</v>
      </c>
      <c r="H1171" s="7">
        <f t="shared" si="18"/>
        <v>0.16666666666666666</v>
      </c>
      <c r="I117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171" s="24" t="str">
        <f>TEXT(Table1[[#This Row],[Date]],"mmm")</f>
        <v>Sep</v>
      </c>
    </row>
    <row r="1172" spans="1:10" ht="15" customHeight="1">
      <c r="A1172" s="14" t="s">
        <v>141</v>
      </c>
      <c r="B1172" s="15" t="s">
        <v>158</v>
      </c>
      <c r="C1172" s="15" t="s">
        <v>6</v>
      </c>
      <c r="D1172" s="15" t="s">
        <v>11</v>
      </c>
      <c r="E1172" s="15" t="s">
        <v>6</v>
      </c>
      <c r="F1172" s="14">
        <v>45</v>
      </c>
      <c r="G1172" s="16">
        <v>44832</v>
      </c>
      <c r="H1172" s="7">
        <f t="shared" si="18"/>
        <v>0.75</v>
      </c>
      <c r="I117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172" s="24" t="str">
        <f>TEXT(Table1[[#This Row],[Date]],"mmm")</f>
        <v>Sep</v>
      </c>
    </row>
    <row r="1173" spans="1:10" ht="15" customHeight="1">
      <c r="A1173" s="14" t="s">
        <v>141</v>
      </c>
      <c r="B1173" s="15" t="s">
        <v>142</v>
      </c>
      <c r="C1173" s="15" t="s">
        <v>137</v>
      </c>
      <c r="D1173" s="15" t="s">
        <v>8</v>
      </c>
      <c r="E1173" s="15" t="s">
        <v>35</v>
      </c>
      <c r="F1173" s="14">
        <v>150</v>
      </c>
      <c r="G1173" s="16">
        <v>44832</v>
      </c>
      <c r="H1173" s="7">
        <f t="shared" si="18"/>
        <v>2.5</v>
      </c>
      <c r="I117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173" s="24" t="str">
        <f>TEXT(Table1[[#This Row],[Date]],"mmm")</f>
        <v>Sep</v>
      </c>
    </row>
    <row r="1174" spans="1:10" ht="15" customHeight="1">
      <c r="A1174" s="14" t="s">
        <v>141</v>
      </c>
      <c r="B1174" s="15" t="s">
        <v>142</v>
      </c>
      <c r="C1174" s="15" t="s">
        <v>6</v>
      </c>
      <c r="D1174" s="15" t="s">
        <v>11</v>
      </c>
      <c r="E1174" s="15" t="s">
        <v>6</v>
      </c>
      <c r="F1174" s="14">
        <v>30</v>
      </c>
      <c r="G1174" s="16">
        <v>44832</v>
      </c>
      <c r="H1174" s="7">
        <f t="shared" si="18"/>
        <v>0.5</v>
      </c>
      <c r="I117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174" s="24" t="str">
        <f>TEXT(Table1[[#This Row],[Date]],"mmm")</f>
        <v>Sep</v>
      </c>
    </row>
    <row r="1175" spans="1:10" ht="15" customHeight="1">
      <c r="A1175" s="14" t="s">
        <v>140</v>
      </c>
      <c r="B1175" s="15" t="s">
        <v>159</v>
      </c>
      <c r="C1175" s="15" t="s">
        <v>47</v>
      </c>
      <c r="D1175" s="15" t="s">
        <v>11</v>
      </c>
      <c r="E1175" s="15" t="s">
        <v>9</v>
      </c>
      <c r="F1175" s="14">
        <v>30</v>
      </c>
      <c r="G1175" s="16">
        <v>44832</v>
      </c>
      <c r="H1175" s="7">
        <f t="shared" si="18"/>
        <v>0.5</v>
      </c>
      <c r="I117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175" s="24" t="str">
        <f>TEXT(Table1[[#This Row],[Date]],"mmm")</f>
        <v>Sep</v>
      </c>
    </row>
    <row r="1176" spans="1:10" ht="15" customHeight="1">
      <c r="A1176" s="14" t="s">
        <v>140</v>
      </c>
      <c r="B1176" s="15" t="s">
        <v>10</v>
      </c>
      <c r="C1176" s="15" t="s">
        <v>10</v>
      </c>
      <c r="D1176" s="15" t="s">
        <v>8</v>
      </c>
      <c r="E1176" s="15" t="s">
        <v>10</v>
      </c>
      <c r="F1176" s="14">
        <v>25</v>
      </c>
      <c r="G1176" s="16">
        <v>44832</v>
      </c>
      <c r="H1176" s="7">
        <f t="shared" si="18"/>
        <v>0.41666666666666669</v>
      </c>
      <c r="I117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176" s="24" t="str">
        <f>TEXT(Table1[[#This Row],[Date]],"mmm")</f>
        <v>Sep</v>
      </c>
    </row>
    <row r="1177" spans="1:10" ht="15" customHeight="1">
      <c r="A1177" s="14" t="s">
        <v>140</v>
      </c>
      <c r="B1177" s="15" t="s">
        <v>160</v>
      </c>
      <c r="C1177" s="15" t="s">
        <v>38</v>
      </c>
      <c r="D1177" s="15" t="s">
        <v>11</v>
      </c>
      <c r="E1177" s="15" t="s">
        <v>9</v>
      </c>
      <c r="F1177" s="14">
        <v>40</v>
      </c>
      <c r="G1177" s="16">
        <v>44832</v>
      </c>
      <c r="H1177" s="7">
        <f t="shared" si="18"/>
        <v>0.66666666666666663</v>
      </c>
      <c r="I117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177" s="24" t="str">
        <f>TEXT(Table1[[#This Row],[Date]],"mmm")</f>
        <v>Sep</v>
      </c>
    </row>
    <row r="1178" spans="1:10" ht="15" customHeight="1">
      <c r="A1178" s="14" t="s">
        <v>140</v>
      </c>
      <c r="B1178" s="15" t="s">
        <v>160</v>
      </c>
      <c r="C1178" s="15" t="s">
        <v>58</v>
      </c>
      <c r="D1178" s="15" t="s">
        <v>11</v>
      </c>
      <c r="E1178" s="15" t="s">
        <v>125</v>
      </c>
      <c r="F1178" s="14">
        <v>95</v>
      </c>
      <c r="G1178" s="16">
        <v>44832</v>
      </c>
      <c r="H1178" s="7">
        <f t="shared" si="18"/>
        <v>1.5833333333333333</v>
      </c>
      <c r="I117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178" s="24" t="str">
        <f>TEXT(Table1[[#This Row],[Date]],"mmm")</f>
        <v>Sep</v>
      </c>
    </row>
    <row r="1179" spans="1:10" ht="15" customHeight="1">
      <c r="A1179" s="14" t="s">
        <v>140</v>
      </c>
      <c r="B1179" s="15" t="s">
        <v>159</v>
      </c>
      <c r="C1179" s="15" t="s">
        <v>120</v>
      </c>
      <c r="D1179" s="15" t="s">
        <v>138</v>
      </c>
      <c r="E1179" s="15" t="s">
        <v>66</v>
      </c>
      <c r="F1179" s="14">
        <v>65</v>
      </c>
      <c r="G1179" s="16">
        <v>44832</v>
      </c>
      <c r="H1179" s="7">
        <f t="shared" si="18"/>
        <v>1.0833333333333333</v>
      </c>
      <c r="I117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179" s="24" t="str">
        <f>TEXT(Table1[[#This Row],[Date]],"mmm")</f>
        <v>Sep</v>
      </c>
    </row>
    <row r="1180" spans="1:10" ht="15" customHeight="1">
      <c r="A1180" s="14" t="s">
        <v>140</v>
      </c>
      <c r="B1180" s="15" t="s">
        <v>159</v>
      </c>
      <c r="C1180" s="15" t="s">
        <v>44</v>
      </c>
      <c r="D1180" s="15" t="s">
        <v>8</v>
      </c>
      <c r="E1180" s="15" t="s">
        <v>12</v>
      </c>
      <c r="F1180" s="14">
        <v>110</v>
      </c>
      <c r="G1180" s="16">
        <v>44832</v>
      </c>
      <c r="H1180" s="7">
        <f t="shared" si="18"/>
        <v>1.8333333333333333</v>
      </c>
      <c r="I118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180" s="24" t="str">
        <f>TEXT(Table1[[#This Row],[Date]],"mmm")</f>
        <v>Sep</v>
      </c>
    </row>
    <row r="1181" spans="1:10" ht="15" customHeight="1">
      <c r="A1181" s="14" t="s">
        <v>140</v>
      </c>
      <c r="B1181" s="15" t="s">
        <v>160</v>
      </c>
      <c r="C1181" s="15" t="s">
        <v>17</v>
      </c>
      <c r="D1181" s="15" t="s">
        <v>138</v>
      </c>
      <c r="E1181" s="15" t="s">
        <v>17</v>
      </c>
      <c r="F1181" s="14">
        <v>45</v>
      </c>
      <c r="G1181" s="16">
        <v>44832</v>
      </c>
      <c r="H1181" s="7">
        <f t="shared" si="18"/>
        <v>0.75</v>
      </c>
      <c r="I118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181" s="24" t="str">
        <f>TEXT(Table1[[#This Row],[Date]],"mmm")</f>
        <v>Sep</v>
      </c>
    </row>
    <row r="1182" spans="1:10" ht="15" customHeight="1">
      <c r="A1182" s="14" t="s">
        <v>140</v>
      </c>
      <c r="B1182" s="15" t="s">
        <v>160</v>
      </c>
      <c r="C1182" s="15" t="s">
        <v>130</v>
      </c>
      <c r="D1182" s="15" t="s">
        <v>138</v>
      </c>
      <c r="E1182" s="15" t="s">
        <v>9</v>
      </c>
      <c r="F1182" s="14">
        <v>40</v>
      </c>
      <c r="G1182" s="16">
        <v>44832</v>
      </c>
      <c r="H1182" s="7">
        <f t="shared" si="18"/>
        <v>0.66666666666666663</v>
      </c>
      <c r="I118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182" s="24" t="str">
        <f>TEXT(Table1[[#This Row],[Date]],"mmm")</f>
        <v>Sep</v>
      </c>
    </row>
    <row r="1183" spans="1:10" ht="15" customHeight="1">
      <c r="A1183" s="14" t="s">
        <v>140</v>
      </c>
      <c r="B1183" s="15" t="s">
        <v>159</v>
      </c>
      <c r="C1183" s="15" t="s">
        <v>15</v>
      </c>
      <c r="D1183" s="15" t="s">
        <v>11</v>
      </c>
      <c r="E1183" s="15" t="s">
        <v>9</v>
      </c>
      <c r="F1183" s="14">
        <v>35</v>
      </c>
      <c r="G1183" s="16">
        <v>44832</v>
      </c>
      <c r="H1183" s="7">
        <f t="shared" si="18"/>
        <v>0.58333333333333337</v>
      </c>
      <c r="I118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183" s="24" t="str">
        <f>TEXT(Table1[[#This Row],[Date]],"mmm")</f>
        <v>Sep</v>
      </c>
    </row>
    <row r="1184" spans="1:10" ht="15" customHeight="1">
      <c r="A1184" s="14" t="s">
        <v>140</v>
      </c>
      <c r="B1184" s="15" t="s">
        <v>144</v>
      </c>
      <c r="C1184" s="15" t="s">
        <v>50</v>
      </c>
      <c r="D1184" s="15" t="s">
        <v>11</v>
      </c>
      <c r="E1184" s="15" t="s">
        <v>9</v>
      </c>
      <c r="F1184" s="14">
        <v>30</v>
      </c>
      <c r="G1184" s="16">
        <v>44832</v>
      </c>
      <c r="H1184" s="7">
        <f t="shared" si="18"/>
        <v>0.5</v>
      </c>
      <c r="I118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184" s="24" t="str">
        <f>TEXT(Table1[[#This Row],[Date]],"mmm")</f>
        <v>Sep</v>
      </c>
    </row>
    <row r="1185" spans="1:10" ht="15" customHeight="1">
      <c r="A1185" s="14" t="s">
        <v>141</v>
      </c>
      <c r="B1185" s="15" t="s">
        <v>10</v>
      </c>
      <c r="C1185" s="15" t="s">
        <v>10</v>
      </c>
      <c r="D1185" s="15" t="s">
        <v>8</v>
      </c>
      <c r="E1185" s="15" t="s">
        <v>10</v>
      </c>
      <c r="F1185" s="14">
        <v>20</v>
      </c>
      <c r="G1185" s="16">
        <v>44862</v>
      </c>
      <c r="H1185" s="7">
        <f t="shared" si="18"/>
        <v>0.33333333333333331</v>
      </c>
      <c r="I118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185" s="24" t="str">
        <f>TEXT(Table1[[#This Row],[Date]],"mmm")</f>
        <v>Oct</v>
      </c>
    </row>
    <row r="1186" spans="1:10" ht="15" customHeight="1">
      <c r="A1186" s="14" t="s">
        <v>141</v>
      </c>
      <c r="B1186" s="15" t="s">
        <v>36</v>
      </c>
      <c r="C1186" s="15" t="s">
        <v>37</v>
      </c>
      <c r="D1186" s="15" t="s">
        <v>8</v>
      </c>
      <c r="E1186" s="15" t="s">
        <v>36</v>
      </c>
      <c r="F1186" s="14">
        <v>60</v>
      </c>
      <c r="G1186" s="16">
        <v>44862</v>
      </c>
      <c r="H1186" s="7">
        <f t="shared" si="18"/>
        <v>1</v>
      </c>
      <c r="I118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186" s="24" t="str">
        <f>TEXT(Table1[[#This Row],[Date]],"mmm")</f>
        <v>Oct</v>
      </c>
    </row>
    <row r="1187" spans="1:10" ht="15" customHeight="1">
      <c r="A1187" s="14" t="s">
        <v>141</v>
      </c>
      <c r="B1187" s="15" t="s">
        <v>157</v>
      </c>
      <c r="C1187" s="15" t="s">
        <v>16</v>
      </c>
      <c r="D1187" s="15" t="s">
        <v>8</v>
      </c>
      <c r="E1187" s="15" t="s">
        <v>9</v>
      </c>
      <c r="F1187" s="14">
        <v>40</v>
      </c>
      <c r="G1187" s="16">
        <v>44862</v>
      </c>
      <c r="H1187" s="7">
        <f t="shared" si="18"/>
        <v>0.66666666666666663</v>
      </c>
      <c r="I118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187" s="24" t="str">
        <f>TEXT(Table1[[#This Row],[Date]],"mmm")</f>
        <v>Oct</v>
      </c>
    </row>
    <row r="1188" spans="1:10" ht="15" customHeight="1">
      <c r="A1188" s="14" t="s">
        <v>141</v>
      </c>
      <c r="B1188" s="15" t="s">
        <v>158</v>
      </c>
      <c r="C1188" s="15" t="s">
        <v>127</v>
      </c>
      <c r="D1188" s="15" t="s">
        <v>11</v>
      </c>
      <c r="E1188" s="15" t="s">
        <v>6</v>
      </c>
      <c r="F1188" s="14">
        <v>60</v>
      </c>
      <c r="G1188" s="16">
        <v>44862</v>
      </c>
      <c r="H1188" s="7">
        <f t="shared" si="18"/>
        <v>1</v>
      </c>
      <c r="I118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188" s="24" t="str">
        <f>TEXT(Table1[[#This Row],[Date]],"mmm")</f>
        <v>Oct</v>
      </c>
    </row>
    <row r="1189" spans="1:10" ht="15" customHeight="1">
      <c r="A1189" s="14" t="s">
        <v>141</v>
      </c>
      <c r="B1189" s="15" t="s">
        <v>142</v>
      </c>
      <c r="C1189" s="15" t="s">
        <v>137</v>
      </c>
      <c r="D1189" s="15" t="s">
        <v>8</v>
      </c>
      <c r="E1189" s="15" t="s">
        <v>35</v>
      </c>
      <c r="F1189" s="14">
        <v>200</v>
      </c>
      <c r="G1189" s="16">
        <v>44862</v>
      </c>
      <c r="H1189" s="7">
        <f t="shared" si="18"/>
        <v>3.3333333333333335</v>
      </c>
      <c r="I118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189" s="24" t="str">
        <f>TEXT(Table1[[#This Row],[Date]],"mmm")</f>
        <v>Oct</v>
      </c>
    </row>
    <row r="1190" spans="1:10" ht="15" customHeight="1">
      <c r="A1190" s="14" t="s">
        <v>141</v>
      </c>
      <c r="B1190" s="15" t="s">
        <v>157</v>
      </c>
      <c r="C1190" s="15" t="s">
        <v>162</v>
      </c>
      <c r="D1190" s="15" t="s">
        <v>13</v>
      </c>
      <c r="E1190" s="15" t="s">
        <v>9</v>
      </c>
      <c r="F1190" s="14">
        <v>100</v>
      </c>
      <c r="G1190" s="16">
        <v>44862</v>
      </c>
      <c r="H1190" s="7">
        <f t="shared" si="18"/>
        <v>1.6666666666666667</v>
      </c>
      <c r="I119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190" s="24" t="str">
        <f>TEXT(Table1[[#This Row],[Date]],"mmm")</f>
        <v>Oct</v>
      </c>
    </row>
    <row r="1191" spans="1:10" ht="15" customHeight="1">
      <c r="A1191" s="14" t="s">
        <v>141</v>
      </c>
      <c r="B1191" s="15" t="s">
        <v>157</v>
      </c>
      <c r="C1191" s="15" t="s">
        <v>44</v>
      </c>
      <c r="D1191" s="15" t="s">
        <v>8</v>
      </c>
      <c r="E1191" s="15" t="s">
        <v>12</v>
      </c>
      <c r="F1191" s="14">
        <v>90</v>
      </c>
      <c r="G1191" s="16">
        <v>44862</v>
      </c>
      <c r="H1191" s="7">
        <f t="shared" si="18"/>
        <v>1.5</v>
      </c>
      <c r="I119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191" s="24" t="str">
        <f>TEXT(Table1[[#This Row],[Date]],"mmm")</f>
        <v>Oct</v>
      </c>
    </row>
    <row r="1192" spans="1:10" ht="15" customHeight="1">
      <c r="A1192" s="14" t="s">
        <v>140</v>
      </c>
      <c r="B1192" s="15" t="s">
        <v>10</v>
      </c>
      <c r="C1192" s="15" t="s">
        <v>10</v>
      </c>
      <c r="D1192" s="15" t="s">
        <v>8</v>
      </c>
      <c r="E1192" s="15" t="s">
        <v>10</v>
      </c>
      <c r="F1192" s="14">
        <v>20</v>
      </c>
      <c r="G1192" s="16">
        <v>44862</v>
      </c>
      <c r="H1192" s="7">
        <f t="shared" si="18"/>
        <v>0.33333333333333331</v>
      </c>
      <c r="I119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192" s="24" t="str">
        <f>TEXT(Table1[[#This Row],[Date]],"mmm")</f>
        <v>Oct</v>
      </c>
    </row>
    <row r="1193" spans="1:10" ht="15" customHeight="1">
      <c r="A1193" s="14" t="s">
        <v>140</v>
      </c>
      <c r="B1193" s="15" t="s">
        <v>152</v>
      </c>
      <c r="C1193" s="15" t="s">
        <v>153</v>
      </c>
      <c r="D1193" s="15" t="s">
        <v>8</v>
      </c>
      <c r="E1193" s="15" t="s">
        <v>12</v>
      </c>
      <c r="F1193" s="14">
        <v>25</v>
      </c>
      <c r="G1193" s="16">
        <v>44862</v>
      </c>
      <c r="H1193" s="7">
        <f t="shared" si="18"/>
        <v>0.41666666666666669</v>
      </c>
      <c r="I119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193" s="24" t="str">
        <f>TEXT(Table1[[#This Row],[Date]],"mmm")</f>
        <v>Oct</v>
      </c>
    </row>
    <row r="1194" spans="1:10" ht="15" customHeight="1">
      <c r="A1194" s="14" t="s">
        <v>140</v>
      </c>
      <c r="B1194" s="15" t="s">
        <v>159</v>
      </c>
      <c r="C1194" s="15" t="s">
        <v>44</v>
      </c>
      <c r="D1194" s="15" t="s">
        <v>8</v>
      </c>
      <c r="E1194" s="15" t="s">
        <v>12</v>
      </c>
      <c r="F1194" s="14">
        <v>110</v>
      </c>
      <c r="G1194" s="16">
        <v>44862</v>
      </c>
      <c r="H1194" s="7">
        <f t="shared" si="18"/>
        <v>1.8333333333333333</v>
      </c>
      <c r="I119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194" s="24" t="str">
        <f>TEXT(Table1[[#This Row],[Date]],"mmm")</f>
        <v>Oct</v>
      </c>
    </row>
    <row r="1195" spans="1:10" ht="15" customHeight="1">
      <c r="A1195" s="14" t="s">
        <v>140</v>
      </c>
      <c r="B1195" s="15" t="s">
        <v>159</v>
      </c>
      <c r="C1195" s="15" t="s">
        <v>48</v>
      </c>
      <c r="D1195" s="15" t="s">
        <v>11</v>
      </c>
      <c r="E1195" s="15" t="s">
        <v>88</v>
      </c>
      <c r="F1195" s="14">
        <v>30</v>
      </c>
      <c r="G1195" s="16">
        <v>44862</v>
      </c>
      <c r="H1195" s="7">
        <f t="shared" si="18"/>
        <v>0.5</v>
      </c>
      <c r="I119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195" s="24" t="str">
        <f>TEXT(Table1[[#This Row],[Date]],"mmm")</f>
        <v>Oct</v>
      </c>
    </row>
    <row r="1196" spans="1:10" ht="15" customHeight="1">
      <c r="A1196" s="14" t="s">
        <v>140</v>
      </c>
      <c r="B1196" s="15" t="s">
        <v>159</v>
      </c>
      <c r="C1196" s="15" t="s">
        <v>51</v>
      </c>
      <c r="D1196" s="15" t="s">
        <v>8</v>
      </c>
      <c r="E1196" s="15" t="s">
        <v>19</v>
      </c>
      <c r="F1196" s="14">
        <v>25</v>
      </c>
      <c r="G1196" s="16">
        <v>44862</v>
      </c>
      <c r="H1196" s="7">
        <f t="shared" si="18"/>
        <v>0.41666666666666669</v>
      </c>
      <c r="I119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196" s="24" t="str">
        <f>TEXT(Table1[[#This Row],[Date]],"mmm")</f>
        <v>Oct</v>
      </c>
    </row>
    <row r="1197" spans="1:10" ht="15" customHeight="1">
      <c r="A1197" s="14" t="s">
        <v>140</v>
      </c>
      <c r="B1197" s="15" t="s">
        <v>159</v>
      </c>
      <c r="C1197" s="15" t="s">
        <v>52</v>
      </c>
      <c r="D1197" s="15" t="s">
        <v>138</v>
      </c>
      <c r="E1197" s="15" t="s">
        <v>52</v>
      </c>
      <c r="F1197" s="14">
        <v>40</v>
      </c>
      <c r="G1197" s="16">
        <v>44862</v>
      </c>
      <c r="H1197" s="7">
        <f t="shared" si="18"/>
        <v>0.66666666666666663</v>
      </c>
      <c r="I119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197" s="24" t="str">
        <f>TEXT(Table1[[#This Row],[Date]],"mmm")</f>
        <v>Oct</v>
      </c>
    </row>
    <row r="1198" spans="1:10" ht="15" customHeight="1">
      <c r="A1198" s="14" t="s">
        <v>140</v>
      </c>
      <c r="B1198" s="15" t="s">
        <v>159</v>
      </c>
      <c r="C1198" s="15" t="s">
        <v>161</v>
      </c>
      <c r="D1198" s="15" t="s">
        <v>8</v>
      </c>
      <c r="E1198" s="15" t="s">
        <v>175</v>
      </c>
      <c r="F1198" s="14">
        <v>40</v>
      </c>
      <c r="G1198" s="16">
        <v>44862</v>
      </c>
      <c r="H1198" s="7">
        <f t="shared" si="18"/>
        <v>0.66666666666666663</v>
      </c>
      <c r="I119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198" s="24" t="str">
        <f>TEXT(Table1[[#This Row],[Date]],"mmm")</f>
        <v>Oct</v>
      </c>
    </row>
    <row r="1199" spans="1:10" ht="15" customHeight="1">
      <c r="A1199" s="14" t="s">
        <v>140</v>
      </c>
      <c r="B1199" s="15" t="s">
        <v>159</v>
      </c>
      <c r="C1199" s="15" t="s">
        <v>161</v>
      </c>
      <c r="D1199" s="15" t="s">
        <v>8</v>
      </c>
      <c r="E1199" s="15" t="s">
        <v>9</v>
      </c>
      <c r="F1199" s="14">
        <v>40</v>
      </c>
      <c r="G1199" s="16">
        <v>44862</v>
      </c>
      <c r="H1199" s="7">
        <f t="shared" si="18"/>
        <v>0.66666666666666663</v>
      </c>
      <c r="I119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199" s="24" t="str">
        <f>TEXT(Table1[[#This Row],[Date]],"mmm")</f>
        <v>Oct</v>
      </c>
    </row>
    <row r="1200" spans="1:10" ht="15" customHeight="1">
      <c r="A1200" s="14" t="s">
        <v>140</v>
      </c>
      <c r="B1200" s="15" t="s">
        <v>159</v>
      </c>
      <c r="C1200" s="15" t="s">
        <v>17</v>
      </c>
      <c r="D1200" s="15" t="s">
        <v>11</v>
      </c>
      <c r="E1200" s="15" t="s">
        <v>17</v>
      </c>
      <c r="F1200" s="14">
        <v>25</v>
      </c>
      <c r="G1200" s="16">
        <v>44862</v>
      </c>
      <c r="H1200" s="7">
        <f t="shared" si="18"/>
        <v>0.41666666666666669</v>
      </c>
      <c r="I120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200" s="24" t="str">
        <f>TEXT(Table1[[#This Row],[Date]],"mmm")</f>
        <v>Oct</v>
      </c>
    </row>
    <row r="1201" spans="1:10" ht="15" customHeight="1">
      <c r="A1201" s="14" t="s">
        <v>140</v>
      </c>
      <c r="B1201" s="15" t="s">
        <v>144</v>
      </c>
      <c r="C1201" s="15" t="s">
        <v>50</v>
      </c>
      <c r="D1201" s="15" t="s">
        <v>11</v>
      </c>
      <c r="E1201" s="15" t="s">
        <v>9</v>
      </c>
      <c r="F1201" s="14">
        <v>30</v>
      </c>
      <c r="G1201" s="16">
        <v>44862</v>
      </c>
      <c r="H1201" s="7">
        <f t="shared" si="18"/>
        <v>0.5</v>
      </c>
      <c r="I120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201" s="24" t="str">
        <f>TEXT(Table1[[#This Row],[Date]],"mmm")</f>
        <v>Oct</v>
      </c>
    </row>
    <row r="1202" spans="1:10" ht="15" customHeight="1">
      <c r="A1202" s="14" t="s">
        <v>140</v>
      </c>
      <c r="B1202" s="15" t="s">
        <v>160</v>
      </c>
      <c r="C1202" s="15" t="s">
        <v>15</v>
      </c>
      <c r="D1202" s="15" t="s">
        <v>138</v>
      </c>
      <c r="E1202" s="15" t="s">
        <v>9</v>
      </c>
      <c r="F1202" s="14">
        <v>25</v>
      </c>
      <c r="G1202" s="16">
        <v>44862</v>
      </c>
      <c r="H1202" s="7">
        <f t="shared" si="18"/>
        <v>0.41666666666666669</v>
      </c>
      <c r="I120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202" s="24" t="str">
        <f>TEXT(Table1[[#This Row],[Date]],"mmm")</f>
        <v>Oct</v>
      </c>
    </row>
    <row r="1203" spans="1:10" ht="15" customHeight="1">
      <c r="A1203" s="14" t="s">
        <v>140</v>
      </c>
      <c r="B1203" s="15" t="s">
        <v>159</v>
      </c>
      <c r="C1203" s="15" t="s">
        <v>131</v>
      </c>
      <c r="D1203" s="15" t="s">
        <v>13</v>
      </c>
      <c r="E1203" s="15" t="s">
        <v>131</v>
      </c>
      <c r="F1203" s="14">
        <v>40</v>
      </c>
      <c r="G1203" s="16">
        <v>44862</v>
      </c>
      <c r="H1203" s="7">
        <f t="shared" si="18"/>
        <v>0.66666666666666663</v>
      </c>
      <c r="I120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203" s="24" t="str">
        <f>TEXT(Table1[[#This Row],[Date]],"mmm")</f>
        <v>Oct</v>
      </c>
    </row>
    <row r="1204" spans="1:10" ht="15" customHeight="1">
      <c r="A1204" s="14" t="s">
        <v>140</v>
      </c>
      <c r="B1204" s="15" t="s">
        <v>159</v>
      </c>
      <c r="C1204" s="15" t="s">
        <v>78</v>
      </c>
      <c r="D1204" s="15" t="s">
        <v>11</v>
      </c>
      <c r="E1204" s="15" t="s">
        <v>9</v>
      </c>
      <c r="F1204" s="14">
        <v>20</v>
      </c>
      <c r="G1204" s="16">
        <v>44862</v>
      </c>
      <c r="H1204" s="7">
        <f t="shared" si="18"/>
        <v>0.33333333333333331</v>
      </c>
      <c r="I120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204" s="24" t="str">
        <f>TEXT(Table1[[#This Row],[Date]],"mmm")</f>
        <v>Oct</v>
      </c>
    </row>
    <row r="1205" spans="1:10" ht="15" customHeight="1">
      <c r="A1205" s="14" t="s">
        <v>140</v>
      </c>
      <c r="B1205" s="15" t="s">
        <v>6</v>
      </c>
      <c r="C1205" s="15" t="s">
        <v>47</v>
      </c>
      <c r="D1205" s="15" t="s">
        <v>8</v>
      </c>
      <c r="E1205" s="15" t="s">
        <v>9</v>
      </c>
      <c r="F1205" s="14">
        <v>30</v>
      </c>
      <c r="G1205" s="16">
        <v>44862</v>
      </c>
      <c r="H1205" s="7">
        <f t="shared" si="18"/>
        <v>0.5</v>
      </c>
      <c r="I120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205" s="24" t="str">
        <f>TEXT(Table1[[#This Row],[Date]],"mmm")</f>
        <v>Oct</v>
      </c>
    </row>
    <row r="1206" spans="1:10" ht="15" customHeight="1">
      <c r="A1206" s="14" t="s">
        <v>140</v>
      </c>
      <c r="B1206" s="15" t="s">
        <v>6</v>
      </c>
      <c r="C1206" s="15" t="s">
        <v>52</v>
      </c>
      <c r="D1206" s="15" t="s">
        <v>138</v>
      </c>
      <c r="E1206" s="15" t="s">
        <v>9</v>
      </c>
      <c r="F1206" s="14">
        <v>75</v>
      </c>
      <c r="G1206" s="16">
        <v>44862</v>
      </c>
      <c r="H1206" s="7">
        <f t="shared" si="18"/>
        <v>1.25</v>
      </c>
      <c r="I120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206" s="24" t="str">
        <f>TEXT(Table1[[#This Row],[Date]],"mmm")</f>
        <v>Oct</v>
      </c>
    </row>
    <row r="1207" spans="1:10" ht="15" customHeight="1">
      <c r="A1207" s="14" t="s">
        <v>140</v>
      </c>
      <c r="B1207" s="15" t="s">
        <v>159</v>
      </c>
      <c r="C1207" s="15" t="s">
        <v>47</v>
      </c>
      <c r="D1207" s="15" t="s">
        <v>8</v>
      </c>
      <c r="E1207" s="15" t="s">
        <v>9</v>
      </c>
      <c r="F1207" s="14">
        <v>30</v>
      </c>
      <c r="G1207" s="16">
        <v>44833</v>
      </c>
      <c r="H1207" s="7">
        <f t="shared" si="18"/>
        <v>0.5</v>
      </c>
      <c r="I120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207" s="24" t="str">
        <f>TEXT(Table1[[#This Row],[Date]],"mmm")</f>
        <v>Sep</v>
      </c>
    </row>
    <row r="1208" spans="1:10" ht="15" customHeight="1">
      <c r="A1208" s="14" t="s">
        <v>140</v>
      </c>
      <c r="B1208" s="15" t="s">
        <v>10</v>
      </c>
      <c r="C1208" s="15" t="s">
        <v>10</v>
      </c>
      <c r="D1208" s="15" t="s">
        <v>8</v>
      </c>
      <c r="E1208" s="15" t="s">
        <v>10</v>
      </c>
      <c r="F1208" s="14">
        <v>25</v>
      </c>
      <c r="G1208" s="16">
        <v>44833</v>
      </c>
      <c r="H1208" s="7">
        <f t="shared" si="18"/>
        <v>0.41666666666666669</v>
      </c>
      <c r="I120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208" s="24" t="str">
        <f>TEXT(Table1[[#This Row],[Date]],"mmm")</f>
        <v>Sep</v>
      </c>
    </row>
    <row r="1209" spans="1:10" ht="15" customHeight="1">
      <c r="A1209" s="14" t="s">
        <v>140</v>
      </c>
      <c r="B1209" s="15" t="s">
        <v>160</v>
      </c>
      <c r="C1209" s="15" t="s">
        <v>17</v>
      </c>
      <c r="D1209" s="15" t="s">
        <v>11</v>
      </c>
      <c r="E1209" s="15" t="s">
        <v>17</v>
      </c>
      <c r="F1209" s="14">
        <v>35</v>
      </c>
      <c r="G1209" s="16">
        <v>44833</v>
      </c>
      <c r="H1209" s="7">
        <f t="shared" si="18"/>
        <v>0.58333333333333337</v>
      </c>
      <c r="I120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209" s="24" t="str">
        <f>TEXT(Table1[[#This Row],[Date]],"mmm")</f>
        <v>Sep</v>
      </c>
    </row>
    <row r="1210" spans="1:10" ht="15" customHeight="1">
      <c r="A1210" s="14" t="s">
        <v>140</v>
      </c>
      <c r="B1210" s="15" t="s">
        <v>160</v>
      </c>
      <c r="C1210" s="15" t="s">
        <v>58</v>
      </c>
      <c r="D1210" s="15" t="s">
        <v>11</v>
      </c>
      <c r="E1210" s="15" t="s">
        <v>125</v>
      </c>
      <c r="F1210" s="14">
        <v>40</v>
      </c>
      <c r="G1210" s="16">
        <v>44833</v>
      </c>
      <c r="H1210" s="7">
        <f t="shared" si="18"/>
        <v>0.66666666666666663</v>
      </c>
      <c r="I121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210" s="24" t="str">
        <f>TEXT(Table1[[#This Row],[Date]],"mmm")</f>
        <v>Sep</v>
      </c>
    </row>
    <row r="1211" spans="1:10" ht="15" customHeight="1">
      <c r="A1211" s="14" t="s">
        <v>140</v>
      </c>
      <c r="B1211" s="15" t="s">
        <v>159</v>
      </c>
      <c r="C1211" s="15" t="s">
        <v>132</v>
      </c>
      <c r="D1211" s="15" t="s">
        <v>138</v>
      </c>
      <c r="E1211" s="15" t="s">
        <v>132</v>
      </c>
      <c r="F1211" s="14">
        <v>30</v>
      </c>
      <c r="G1211" s="16">
        <v>44833</v>
      </c>
      <c r="H1211" s="7">
        <f t="shared" si="18"/>
        <v>0.5</v>
      </c>
      <c r="I121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211" s="24" t="str">
        <f>TEXT(Table1[[#This Row],[Date]],"mmm")</f>
        <v>Sep</v>
      </c>
    </row>
    <row r="1212" spans="1:10" ht="15" customHeight="1">
      <c r="A1212" s="14" t="s">
        <v>140</v>
      </c>
      <c r="B1212" s="15" t="s">
        <v>159</v>
      </c>
      <c r="C1212" s="15" t="s">
        <v>44</v>
      </c>
      <c r="D1212" s="15" t="s">
        <v>8</v>
      </c>
      <c r="E1212" s="15" t="s">
        <v>12</v>
      </c>
      <c r="F1212" s="14">
        <v>110</v>
      </c>
      <c r="G1212" s="16">
        <v>44833</v>
      </c>
      <c r="H1212" s="7">
        <f t="shared" si="18"/>
        <v>1.8333333333333333</v>
      </c>
      <c r="I121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212" s="24" t="str">
        <f>TEXT(Table1[[#This Row],[Date]],"mmm")</f>
        <v>Sep</v>
      </c>
    </row>
    <row r="1213" spans="1:10" ht="15" customHeight="1">
      <c r="A1213" s="14" t="s">
        <v>140</v>
      </c>
      <c r="B1213" s="15" t="s">
        <v>159</v>
      </c>
      <c r="C1213" s="15" t="s">
        <v>161</v>
      </c>
      <c r="D1213" s="15" t="s">
        <v>8</v>
      </c>
      <c r="E1213" s="15" t="s">
        <v>175</v>
      </c>
      <c r="F1213" s="14">
        <v>40</v>
      </c>
      <c r="G1213" s="16">
        <v>44833</v>
      </c>
      <c r="H1213" s="7">
        <f t="shared" si="18"/>
        <v>0.66666666666666663</v>
      </c>
      <c r="I121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213" s="24" t="str">
        <f>TEXT(Table1[[#This Row],[Date]],"mmm")</f>
        <v>Sep</v>
      </c>
    </row>
    <row r="1214" spans="1:10" ht="15" customHeight="1">
      <c r="A1214" s="14" t="s">
        <v>140</v>
      </c>
      <c r="B1214" s="15" t="s">
        <v>159</v>
      </c>
      <c r="C1214" s="15" t="s">
        <v>161</v>
      </c>
      <c r="D1214" s="15" t="s">
        <v>138</v>
      </c>
      <c r="E1214" s="15" t="s">
        <v>175</v>
      </c>
      <c r="F1214" s="14">
        <v>40</v>
      </c>
      <c r="G1214" s="16">
        <v>44833</v>
      </c>
      <c r="H1214" s="7">
        <f t="shared" si="18"/>
        <v>0.66666666666666663</v>
      </c>
      <c r="I121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214" s="24" t="str">
        <f>TEXT(Table1[[#This Row],[Date]],"mmm")</f>
        <v>Sep</v>
      </c>
    </row>
    <row r="1215" spans="1:10" ht="15" customHeight="1">
      <c r="A1215" s="14" t="s">
        <v>140</v>
      </c>
      <c r="B1215" s="15" t="s">
        <v>159</v>
      </c>
      <c r="C1215" s="15" t="s">
        <v>78</v>
      </c>
      <c r="D1215" s="15" t="s">
        <v>11</v>
      </c>
      <c r="E1215" s="15" t="s">
        <v>9</v>
      </c>
      <c r="F1215" s="14">
        <v>30</v>
      </c>
      <c r="G1215" s="16">
        <v>44833</v>
      </c>
      <c r="H1215" s="7">
        <f t="shared" si="18"/>
        <v>0.5</v>
      </c>
      <c r="I121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215" s="24" t="str">
        <f>TEXT(Table1[[#This Row],[Date]],"mmm")</f>
        <v>Sep</v>
      </c>
    </row>
    <row r="1216" spans="1:10" ht="15" customHeight="1">
      <c r="A1216" s="14" t="s">
        <v>140</v>
      </c>
      <c r="B1216" s="15" t="s">
        <v>159</v>
      </c>
      <c r="C1216" s="15" t="s">
        <v>133</v>
      </c>
      <c r="D1216" s="15" t="s">
        <v>11</v>
      </c>
      <c r="E1216" s="15" t="s">
        <v>133</v>
      </c>
      <c r="F1216" s="14">
        <v>35</v>
      </c>
      <c r="G1216" s="16">
        <v>44833</v>
      </c>
      <c r="H1216" s="7">
        <f t="shared" si="18"/>
        <v>0.58333333333333337</v>
      </c>
      <c r="I121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216" s="24" t="str">
        <f>TEXT(Table1[[#This Row],[Date]],"mmm")</f>
        <v>Sep</v>
      </c>
    </row>
    <row r="1217" spans="1:10" ht="15" customHeight="1">
      <c r="A1217" s="14" t="s">
        <v>140</v>
      </c>
      <c r="B1217" s="15" t="s">
        <v>144</v>
      </c>
      <c r="C1217" s="15" t="s">
        <v>50</v>
      </c>
      <c r="D1217" s="15" t="s">
        <v>11</v>
      </c>
      <c r="E1217" s="15" t="s">
        <v>9</v>
      </c>
      <c r="F1217" s="14">
        <v>30</v>
      </c>
      <c r="G1217" s="16">
        <v>44833</v>
      </c>
      <c r="H1217" s="7">
        <f t="shared" si="18"/>
        <v>0.5</v>
      </c>
      <c r="I121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217" s="24" t="str">
        <f>TEXT(Table1[[#This Row],[Date]],"mmm")</f>
        <v>Sep</v>
      </c>
    </row>
    <row r="1218" spans="1:10" ht="15" customHeight="1">
      <c r="A1218" s="14" t="s">
        <v>140</v>
      </c>
      <c r="B1218" s="15" t="s">
        <v>160</v>
      </c>
      <c r="C1218" s="15" t="s">
        <v>17</v>
      </c>
      <c r="D1218" s="15" t="s">
        <v>11</v>
      </c>
      <c r="E1218" s="15" t="s">
        <v>9</v>
      </c>
      <c r="F1218" s="14">
        <v>40</v>
      </c>
      <c r="G1218" s="16">
        <v>44833</v>
      </c>
      <c r="H1218" s="7">
        <f t="shared" ref="H1218:H1281" si="19">IFERROR(IF(ISBLANK(F1218)=TRUE(),"",F1218/60),"")</f>
        <v>0.66666666666666663</v>
      </c>
      <c r="I121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218" s="24" t="str">
        <f>TEXT(Table1[[#This Row],[Date]],"mmm")</f>
        <v>Sep</v>
      </c>
    </row>
    <row r="1219" spans="1:10" ht="15" customHeight="1">
      <c r="A1219" s="14" t="s">
        <v>140</v>
      </c>
      <c r="B1219" s="15" t="s">
        <v>152</v>
      </c>
      <c r="C1219" s="15" t="s">
        <v>91</v>
      </c>
      <c r="D1219" s="15" t="s">
        <v>11</v>
      </c>
      <c r="E1219" s="15" t="s">
        <v>12</v>
      </c>
      <c r="F1219" s="14">
        <v>35</v>
      </c>
      <c r="G1219" s="16">
        <v>44833</v>
      </c>
      <c r="H1219" s="7">
        <f t="shared" si="19"/>
        <v>0.58333333333333337</v>
      </c>
      <c r="I121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219" s="24" t="str">
        <f>TEXT(Table1[[#This Row],[Date]],"mmm")</f>
        <v>Sep</v>
      </c>
    </row>
    <row r="1220" spans="1:10" ht="15" customHeight="1">
      <c r="A1220" s="14" t="s">
        <v>141</v>
      </c>
      <c r="B1220" s="15" t="s">
        <v>36</v>
      </c>
      <c r="C1220" s="15" t="s">
        <v>37</v>
      </c>
      <c r="D1220" s="15" t="s">
        <v>8</v>
      </c>
      <c r="E1220" s="15" t="s">
        <v>36</v>
      </c>
      <c r="F1220" s="14">
        <v>60</v>
      </c>
      <c r="G1220" s="16">
        <v>44833</v>
      </c>
      <c r="H1220" s="7">
        <f t="shared" si="19"/>
        <v>1</v>
      </c>
      <c r="I122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220" s="24" t="str">
        <f>TEXT(Table1[[#This Row],[Date]],"mmm")</f>
        <v>Sep</v>
      </c>
    </row>
    <row r="1221" spans="1:10" ht="15" customHeight="1">
      <c r="A1221" s="14" t="s">
        <v>141</v>
      </c>
      <c r="B1221" s="15" t="s">
        <v>157</v>
      </c>
      <c r="C1221" s="15" t="s">
        <v>16</v>
      </c>
      <c r="D1221" s="15" t="s">
        <v>8</v>
      </c>
      <c r="E1221" s="15" t="s">
        <v>9</v>
      </c>
      <c r="F1221" s="14">
        <v>30</v>
      </c>
      <c r="G1221" s="16">
        <v>44833</v>
      </c>
      <c r="H1221" s="7">
        <f t="shared" si="19"/>
        <v>0.5</v>
      </c>
      <c r="I122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221" s="24" t="str">
        <f>TEXT(Table1[[#This Row],[Date]],"mmm")</f>
        <v>Sep</v>
      </c>
    </row>
    <row r="1222" spans="1:10" ht="15" customHeight="1">
      <c r="A1222" s="14" t="s">
        <v>141</v>
      </c>
      <c r="B1222" s="15" t="s">
        <v>96</v>
      </c>
      <c r="C1222" s="15" t="s">
        <v>10</v>
      </c>
      <c r="D1222" s="15" t="s">
        <v>8</v>
      </c>
      <c r="E1222" s="15" t="s">
        <v>10</v>
      </c>
      <c r="F1222" s="14">
        <v>20</v>
      </c>
      <c r="G1222" s="16">
        <v>44833</v>
      </c>
      <c r="H1222" s="7">
        <f t="shared" si="19"/>
        <v>0.33333333333333331</v>
      </c>
      <c r="I122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222" s="24" t="str">
        <f>TEXT(Table1[[#This Row],[Date]],"mmm")</f>
        <v>Sep</v>
      </c>
    </row>
    <row r="1223" spans="1:10" ht="15" customHeight="1">
      <c r="A1223" s="14" t="s">
        <v>141</v>
      </c>
      <c r="B1223" s="15" t="s">
        <v>157</v>
      </c>
      <c r="C1223" s="15" t="s">
        <v>44</v>
      </c>
      <c r="D1223" s="15" t="s">
        <v>8</v>
      </c>
      <c r="E1223" s="15" t="s">
        <v>12</v>
      </c>
      <c r="F1223" s="14">
        <v>90</v>
      </c>
      <c r="G1223" s="16">
        <v>44833</v>
      </c>
      <c r="H1223" s="7">
        <f t="shared" si="19"/>
        <v>1.5</v>
      </c>
      <c r="I122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223" s="24" t="str">
        <f>TEXT(Table1[[#This Row],[Date]],"mmm")</f>
        <v>Sep</v>
      </c>
    </row>
    <row r="1224" spans="1:10" ht="15" customHeight="1">
      <c r="A1224" s="14" t="s">
        <v>141</v>
      </c>
      <c r="B1224" s="15" t="s">
        <v>142</v>
      </c>
      <c r="C1224" s="15" t="s">
        <v>17</v>
      </c>
      <c r="D1224" s="15" t="s">
        <v>11</v>
      </c>
      <c r="E1224" s="15" t="s">
        <v>17</v>
      </c>
      <c r="F1224" s="14">
        <v>45</v>
      </c>
      <c r="G1224" s="16">
        <v>44833</v>
      </c>
      <c r="H1224" s="7">
        <f t="shared" si="19"/>
        <v>0.75</v>
      </c>
      <c r="I122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224" s="24" t="str">
        <f>TEXT(Table1[[#This Row],[Date]],"mmm")</f>
        <v>Sep</v>
      </c>
    </row>
    <row r="1225" spans="1:10" ht="15" customHeight="1">
      <c r="A1225" s="14" t="s">
        <v>141</v>
      </c>
      <c r="B1225" s="15" t="s">
        <v>142</v>
      </c>
      <c r="C1225" s="15" t="s">
        <v>17</v>
      </c>
      <c r="D1225" s="15" t="s">
        <v>11</v>
      </c>
      <c r="E1225" s="15" t="s">
        <v>17</v>
      </c>
      <c r="F1225" s="14">
        <v>120</v>
      </c>
      <c r="G1225" s="16">
        <v>44833</v>
      </c>
      <c r="H1225" s="7">
        <f t="shared" si="19"/>
        <v>2</v>
      </c>
      <c r="I122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225" s="24" t="str">
        <f>TEXT(Table1[[#This Row],[Date]],"mmm")</f>
        <v>Sep</v>
      </c>
    </row>
    <row r="1226" spans="1:10" ht="15" customHeight="1">
      <c r="A1226" s="14" t="s">
        <v>141</v>
      </c>
      <c r="B1226" s="15" t="s">
        <v>142</v>
      </c>
      <c r="C1226" s="15" t="s">
        <v>137</v>
      </c>
      <c r="D1226" s="15" t="s">
        <v>8</v>
      </c>
      <c r="E1226" s="15" t="s">
        <v>35</v>
      </c>
      <c r="F1226" s="14">
        <v>120</v>
      </c>
      <c r="G1226" s="16">
        <v>44833</v>
      </c>
      <c r="H1226" s="7">
        <f t="shared" si="19"/>
        <v>2</v>
      </c>
      <c r="I122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226" s="24" t="str">
        <f>TEXT(Table1[[#This Row],[Date]],"mmm")</f>
        <v>Sep</v>
      </c>
    </row>
    <row r="1227" spans="1:10" ht="15" customHeight="1">
      <c r="A1227" s="14" t="s">
        <v>141</v>
      </c>
      <c r="B1227" s="15" t="s">
        <v>10</v>
      </c>
      <c r="C1227" s="15" t="s">
        <v>10</v>
      </c>
      <c r="D1227" s="15" t="s">
        <v>8</v>
      </c>
      <c r="E1227" s="15" t="s">
        <v>10</v>
      </c>
      <c r="F1227" s="14">
        <v>20</v>
      </c>
      <c r="G1227" s="16">
        <v>44863</v>
      </c>
      <c r="H1227" s="7">
        <f t="shared" si="19"/>
        <v>0.33333333333333331</v>
      </c>
      <c r="I122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227" s="24" t="str">
        <f>TEXT(Table1[[#This Row],[Date]],"mmm")</f>
        <v>Oct</v>
      </c>
    </row>
    <row r="1228" spans="1:10" ht="15" customHeight="1">
      <c r="A1228" s="14" t="s">
        <v>141</v>
      </c>
      <c r="B1228" s="15" t="s">
        <v>36</v>
      </c>
      <c r="C1228" s="15" t="s">
        <v>37</v>
      </c>
      <c r="D1228" s="15" t="s">
        <v>8</v>
      </c>
      <c r="E1228" s="15" t="s">
        <v>36</v>
      </c>
      <c r="F1228" s="14">
        <v>60</v>
      </c>
      <c r="G1228" s="16">
        <v>44863</v>
      </c>
      <c r="H1228" s="7">
        <f t="shared" si="19"/>
        <v>1</v>
      </c>
      <c r="I122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228" s="24" t="str">
        <f>TEXT(Table1[[#This Row],[Date]],"mmm")</f>
        <v>Oct</v>
      </c>
    </row>
    <row r="1229" spans="1:10" ht="15" customHeight="1">
      <c r="A1229" s="14" t="s">
        <v>141</v>
      </c>
      <c r="B1229" s="15" t="s">
        <v>157</v>
      </c>
      <c r="C1229" s="15" t="s">
        <v>16</v>
      </c>
      <c r="D1229" s="15" t="s">
        <v>8</v>
      </c>
      <c r="E1229" s="15" t="s">
        <v>9</v>
      </c>
      <c r="F1229" s="14">
        <v>50</v>
      </c>
      <c r="G1229" s="16">
        <v>44863</v>
      </c>
      <c r="H1229" s="7">
        <f t="shared" si="19"/>
        <v>0.83333333333333337</v>
      </c>
      <c r="I122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229" s="24" t="str">
        <f>TEXT(Table1[[#This Row],[Date]],"mmm")</f>
        <v>Oct</v>
      </c>
    </row>
    <row r="1230" spans="1:10" ht="15" customHeight="1">
      <c r="A1230" s="14" t="s">
        <v>141</v>
      </c>
      <c r="B1230" s="15" t="s">
        <v>158</v>
      </c>
      <c r="C1230" s="15" t="s">
        <v>127</v>
      </c>
      <c r="D1230" s="15" t="s">
        <v>11</v>
      </c>
      <c r="E1230" s="15" t="s">
        <v>6</v>
      </c>
      <c r="F1230" s="14">
        <v>60</v>
      </c>
      <c r="G1230" s="16">
        <v>44863</v>
      </c>
      <c r="H1230" s="7">
        <f t="shared" si="19"/>
        <v>1</v>
      </c>
      <c r="I123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230" s="24" t="str">
        <f>TEXT(Table1[[#This Row],[Date]],"mmm")</f>
        <v>Oct</v>
      </c>
    </row>
    <row r="1231" spans="1:10" ht="15" customHeight="1">
      <c r="A1231" s="14" t="s">
        <v>141</v>
      </c>
      <c r="B1231" s="15" t="s">
        <v>142</v>
      </c>
      <c r="C1231" s="15" t="s">
        <v>137</v>
      </c>
      <c r="D1231" s="15" t="s">
        <v>8</v>
      </c>
      <c r="E1231" s="15" t="s">
        <v>35</v>
      </c>
      <c r="F1231" s="14">
        <v>200</v>
      </c>
      <c r="G1231" s="16">
        <v>44863</v>
      </c>
      <c r="H1231" s="7">
        <f t="shared" si="19"/>
        <v>3.3333333333333335</v>
      </c>
      <c r="I123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231" s="24" t="str">
        <f>TEXT(Table1[[#This Row],[Date]],"mmm")</f>
        <v>Oct</v>
      </c>
    </row>
    <row r="1232" spans="1:10" ht="15" customHeight="1">
      <c r="A1232" s="14" t="s">
        <v>141</v>
      </c>
      <c r="B1232" s="15" t="s">
        <v>157</v>
      </c>
      <c r="C1232" s="15" t="s">
        <v>162</v>
      </c>
      <c r="D1232" s="15" t="s">
        <v>13</v>
      </c>
      <c r="E1232" s="15" t="s">
        <v>9</v>
      </c>
      <c r="F1232" s="14">
        <v>100</v>
      </c>
      <c r="G1232" s="16">
        <v>44863</v>
      </c>
      <c r="H1232" s="7">
        <f t="shared" si="19"/>
        <v>1.6666666666666667</v>
      </c>
      <c r="I123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232" s="24" t="str">
        <f>TEXT(Table1[[#This Row],[Date]],"mmm")</f>
        <v>Oct</v>
      </c>
    </row>
    <row r="1233" spans="1:10" ht="15" customHeight="1">
      <c r="A1233" s="14" t="s">
        <v>141</v>
      </c>
      <c r="B1233" s="15" t="s">
        <v>157</v>
      </c>
      <c r="C1233" s="15" t="s">
        <v>44</v>
      </c>
      <c r="D1233" s="15" t="s">
        <v>8</v>
      </c>
      <c r="E1233" s="15" t="s">
        <v>12</v>
      </c>
      <c r="F1233" s="14">
        <v>90</v>
      </c>
      <c r="G1233" s="16">
        <v>44863</v>
      </c>
      <c r="H1233" s="7">
        <f t="shared" si="19"/>
        <v>1.5</v>
      </c>
      <c r="I123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233" s="24" t="str">
        <f>TEXT(Table1[[#This Row],[Date]],"mmm")</f>
        <v>Oct</v>
      </c>
    </row>
    <row r="1234" spans="1:10" ht="15" customHeight="1">
      <c r="A1234" s="14" t="s">
        <v>140</v>
      </c>
      <c r="B1234" s="15" t="s">
        <v>10</v>
      </c>
      <c r="C1234" s="15" t="s">
        <v>10</v>
      </c>
      <c r="D1234" s="15" t="s">
        <v>8</v>
      </c>
      <c r="E1234" s="15" t="s">
        <v>10</v>
      </c>
      <c r="F1234" s="14">
        <v>20</v>
      </c>
      <c r="G1234" s="16">
        <v>44863</v>
      </c>
      <c r="H1234" s="7">
        <f t="shared" si="19"/>
        <v>0.33333333333333331</v>
      </c>
      <c r="I123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234" s="24" t="str">
        <f>TEXT(Table1[[#This Row],[Date]],"mmm")</f>
        <v>Oct</v>
      </c>
    </row>
    <row r="1235" spans="1:10" ht="15" customHeight="1">
      <c r="A1235" s="14" t="s">
        <v>140</v>
      </c>
      <c r="B1235" s="15" t="s">
        <v>152</v>
      </c>
      <c r="C1235" s="15" t="s">
        <v>153</v>
      </c>
      <c r="D1235" s="15" t="s">
        <v>8</v>
      </c>
      <c r="E1235" s="15" t="s">
        <v>12</v>
      </c>
      <c r="F1235" s="14">
        <v>25</v>
      </c>
      <c r="G1235" s="16">
        <v>44863</v>
      </c>
      <c r="H1235" s="7">
        <f t="shared" si="19"/>
        <v>0.41666666666666669</v>
      </c>
      <c r="I123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235" s="24" t="str">
        <f>TEXT(Table1[[#This Row],[Date]],"mmm")</f>
        <v>Oct</v>
      </c>
    </row>
    <row r="1236" spans="1:10" ht="15" customHeight="1">
      <c r="A1236" s="14" t="s">
        <v>140</v>
      </c>
      <c r="B1236" s="15" t="s">
        <v>159</v>
      </c>
      <c r="C1236" s="15" t="s">
        <v>44</v>
      </c>
      <c r="D1236" s="15" t="s">
        <v>8</v>
      </c>
      <c r="E1236" s="15" t="s">
        <v>12</v>
      </c>
      <c r="F1236" s="14">
        <v>90</v>
      </c>
      <c r="G1236" s="16">
        <v>44863</v>
      </c>
      <c r="H1236" s="7">
        <f t="shared" si="19"/>
        <v>1.5</v>
      </c>
      <c r="I123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236" s="24" t="str">
        <f>TEXT(Table1[[#This Row],[Date]],"mmm")</f>
        <v>Oct</v>
      </c>
    </row>
    <row r="1237" spans="1:10" ht="15" customHeight="1">
      <c r="A1237" s="14" t="s">
        <v>140</v>
      </c>
      <c r="B1237" s="15" t="s">
        <v>159</v>
      </c>
      <c r="C1237" s="15" t="s">
        <v>48</v>
      </c>
      <c r="D1237" s="15" t="s">
        <v>11</v>
      </c>
      <c r="E1237" s="15" t="s">
        <v>88</v>
      </c>
      <c r="F1237" s="14">
        <v>30</v>
      </c>
      <c r="G1237" s="16">
        <v>44863</v>
      </c>
      <c r="H1237" s="7">
        <f t="shared" si="19"/>
        <v>0.5</v>
      </c>
      <c r="I123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237" s="24" t="str">
        <f>TEXT(Table1[[#This Row],[Date]],"mmm")</f>
        <v>Oct</v>
      </c>
    </row>
    <row r="1238" spans="1:10" ht="15" customHeight="1">
      <c r="A1238" s="14" t="s">
        <v>140</v>
      </c>
      <c r="B1238" s="15" t="s">
        <v>159</v>
      </c>
      <c r="C1238" s="15" t="s">
        <v>51</v>
      </c>
      <c r="D1238" s="15" t="s">
        <v>8</v>
      </c>
      <c r="E1238" s="15" t="s">
        <v>19</v>
      </c>
      <c r="F1238" s="14">
        <v>25</v>
      </c>
      <c r="G1238" s="16">
        <v>44863</v>
      </c>
      <c r="H1238" s="7">
        <f t="shared" si="19"/>
        <v>0.41666666666666669</v>
      </c>
      <c r="I123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238" s="24" t="str">
        <f>TEXT(Table1[[#This Row],[Date]],"mmm")</f>
        <v>Oct</v>
      </c>
    </row>
    <row r="1239" spans="1:10" ht="15" customHeight="1">
      <c r="A1239" s="14" t="s">
        <v>140</v>
      </c>
      <c r="B1239" s="15" t="s">
        <v>159</v>
      </c>
      <c r="C1239" s="15" t="s">
        <v>52</v>
      </c>
      <c r="D1239" s="15" t="s">
        <v>138</v>
      </c>
      <c r="E1239" s="15" t="s">
        <v>52</v>
      </c>
      <c r="F1239" s="14">
        <v>75</v>
      </c>
      <c r="G1239" s="16">
        <v>44863</v>
      </c>
      <c r="H1239" s="7">
        <f t="shared" si="19"/>
        <v>1.25</v>
      </c>
      <c r="I123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239" s="24" t="str">
        <f>TEXT(Table1[[#This Row],[Date]],"mmm")</f>
        <v>Oct</v>
      </c>
    </row>
    <row r="1240" spans="1:10" ht="15" customHeight="1">
      <c r="A1240" s="14" t="s">
        <v>140</v>
      </c>
      <c r="B1240" s="15" t="s">
        <v>159</v>
      </c>
      <c r="C1240" s="15" t="s">
        <v>23</v>
      </c>
      <c r="D1240" s="15" t="s">
        <v>13</v>
      </c>
      <c r="E1240" s="15" t="s">
        <v>134</v>
      </c>
      <c r="F1240" s="14">
        <v>40</v>
      </c>
      <c r="G1240" s="16">
        <v>44863</v>
      </c>
      <c r="H1240" s="7">
        <f t="shared" si="19"/>
        <v>0.66666666666666663</v>
      </c>
      <c r="I124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240" s="24" t="str">
        <f>TEXT(Table1[[#This Row],[Date]],"mmm")</f>
        <v>Oct</v>
      </c>
    </row>
    <row r="1241" spans="1:10" ht="15" customHeight="1">
      <c r="A1241" s="14" t="s">
        <v>140</v>
      </c>
      <c r="B1241" s="15" t="s">
        <v>159</v>
      </c>
      <c r="C1241" s="15" t="s">
        <v>17</v>
      </c>
      <c r="D1241" s="15" t="s">
        <v>8</v>
      </c>
      <c r="E1241" s="15" t="s">
        <v>9</v>
      </c>
      <c r="F1241" s="14">
        <v>20</v>
      </c>
      <c r="G1241" s="16">
        <v>44863</v>
      </c>
      <c r="H1241" s="7">
        <f t="shared" si="19"/>
        <v>0.33333333333333331</v>
      </c>
      <c r="I124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241" s="24" t="str">
        <f>TEXT(Table1[[#This Row],[Date]],"mmm")</f>
        <v>Oct</v>
      </c>
    </row>
    <row r="1242" spans="1:10" ht="15" customHeight="1">
      <c r="A1242" s="14" t="s">
        <v>140</v>
      </c>
      <c r="B1242" s="15" t="s">
        <v>144</v>
      </c>
      <c r="C1242" s="15" t="s">
        <v>50</v>
      </c>
      <c r="D1242" s="15" t="s">
        <v>11</v>
      </c>
      <c r="E1242" s="15" t="s">
        <v>9</v>
      </c>
      <c r="F1242" s="14">
        <v>30</v>
      </c>
      <c r="G1242" s="16">
        <v>44863</v>
      </c>
      <c r="H1242" s="7">
        <f t="shared" si="19"/>
        <v>0.5</v>
      </c>
      <c r="I124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242" s="24" t="str">
        <f>TEXT(Table1[[#This Row],[Date]],"mmm")</f>
        <v>Oct</v>
      </c>
    </row>
    <row r="1243" spans="1:10" ht="15" customHeight="1">
      <c r="A1243" s="14" t="s">
        <v>140</v>
      </c>
      <c r="B1243" s="15" t="s">
        <v>160</v>
      </c>
      <c r="C1243" s="15" t="s">
        <v>15</v>
      </c>
      <c r="D1243" s="15" t="s">
        <v>138</v>
      </c>
      <c r="E1243" s="15" t="s">
        <v>9</v>
      </c>
      <c r="F1243" s="14">
        <v>25</v>
      </c>
      <c r="G1243" s="16">
        <v>44863</v>
      </c>
      <c r="H1243" s="7">
        <f t="shared" si="19"/>
        <v>0.41666666666666669</v>
      </c>
      <c r="I124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243" s="24" t="str">
        <f>TEXT(Table1[[#This Row],[Date]],"mmm")</f>
        <v>Oct</v>
      </c>
    </row>
    <row r="1244" spans="1:10" ht="15" customHeight="1">
      <c r="A1244" s="14" t="s">
        <v>140</v>
      </c>
      <c r="B1244" s="15" t="s">
        <v>159</v>
      </c>
      <c r="C1244" s="15" t="s">
        <v>131</v>
      </c>
      <c r="D1244" s="15" t="s">
        <v>13</v>
      </c>
      <c r="E1244" s="15" t="s">
        <v>131</v>
      </c>
      <c r="F1244" s="14">
        <v>40</v>
      </c>
      <c r="G1244" s="16">
        <v>44863</v>
      </c>
      <c r="H1244" s="7">
        <f t="shared" si="19"/>
        <v>0.66666666666666663</v>
      </c>
      <c r="I124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244" s="24" t="str">
        <f>TEXT(Table1[[#This Row],[Date]],"mmm")</f>
        <v>Oct</v>
      </c>
    </row>
    <row r="1245" spans="1:10" ht="15" customHeight="1">
      <c r="A1245" s="14" t="s">
        <v>140</v>
      </c>
      <c r="B1245" s="15" t="s">
        <v>6</v>
      </c>
      <c r="C1245" s="15" t="s">
        <v>47</v>
      </c>
      <c r="D1245" s="15" t="s">
        <v>8</v>
      </c>
      <c r="E1245" s="15" t="s">
        <v>9</v>
      </c>
      <c r="F1245" s="14">
        <v>30</v>
      </c>
      <c r="G1245" s="16">
        <v>44863</v>
      </c>
      <c r="H1245" s="7">
        <f t="shared" si="19"/>
        <v>0.5</v>
      </c>
      <c r="I124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245" s="24" t="str">
        <f>TEXT(Table1[[#This Row],[Date]],"mmm")</f>
        <v>Oct</v>
      </c>
    </row>
    <row r="1246" spans="1:10" ht="15" customHeight="1">
      <c r="A1246" s="14" t="s">
        <v>140</v>
      </c>
      <c r="B1246" s="15" t="s">
        <v>6</v>
      </c>
      <c r="C1246" s="15" t="s">
        <v>52</v>
      </c>
      <c r="D1246" s="15" t="s">
        <v>138</v>
      </c>
      <c r="E1246" s="15" t="s">
        <v>52</v>
      </c>
      <c r="F1246" s="14">
        <v>30</v>
      </c>
      <c r="G1246" s="16">
        <v>44863</v>
      </c>
      <c r="H1246" s="7">
        <f t="shared" si="19"/>
        <v>0.5</v>
      </c>
      <c r="I124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246" s="24" t="str">
        <f>TEXT(Table1[[#This Row],[Date]],"mmm")</f>
        <v>Oct</v>
      </c>
    </row>
    <row r="1247" spans="1:10" ht="15" customHeight="1">
      <c r="A1247" s="14" t="s">
        <v>140</v>
      </c>
      <c r="B1247" s="15" t="s">
        <v>6</v>
      </c>
      <c r="C1247" s="15" t="s">
        <v>55</v>
      </c>
      <c r="D1247" s="15" t="s">
        <v>11</v>
      </c>
      <c r="E1247" s="15" t="s">
        <v>55</v>
      </c>
      <c r="F1247" s="14">
        <v>20</v>
      </c>
      <c r="G1247" s="16">
        <v>44863</v>
      </c>
      <c r="H1247" s="7">
        <f t="shared" si="19"/>
        <v>0.33333333333333331</v>
      </c>
      <c r="I124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23-Oct-22 - to - 29-Oct-22</v>
      </c>
      <c r="J1247" s="24" t="str">
        <f>TEXT(Table1[[#This Row],[Date]],"mmm")</f>
        <v>Oct</v>
      </c>
    </row>
    <row r="1248" spans="1:10" ht="15" customHeight="1">
      <c r="A1248" s="14" t="s">
        <v>141</v>
      </c>
      <c r="B1248" s="15" t="s">
        <v>36</v>
      </c>
      <c r="C1248" s="15" t="s">
        <v>37</v>
      </c>
      <c r="D1248" s="15" t="s">
        <v>8</v>
      </c>
      <c r="E1248" s="15" t="s">
        <v>36</v>
      </c>
      <c r="F1248" s="14">
        <v>60</v>
      </c>
      <c r="G1248" s="16">
        <v>44834</v>
      </c>
      <c r="H1248" s="7">
        <f t="shared" si="19"/>
        <v>1</v>
      </c>
      <c r="I124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248" s="24" t="str">
        <f>TEXT(Table1[[#This Row],[Date]],"mmm")</f>
        <v>Sep</v>
      </c>
    </row>
    <row r="1249" spans="1:10" ht="15" customHeight="1">
      <c r="A1249" s="14" t="s">
        <v>141</v>
      </c>
      <c r="B1249" s="15" t="s">
        <v>157</v>
      </c>
      <c r="C1249" s="15" t="s">
        <v>16</v>
      </c>
      <c r="D1249" s="15" t="s">
        <v>8</v>
      </c>
      <c r="E1249" s="15" t="s">
        <v>9</v>
      </c>
      <c r="F1249" s="14">
        <v>45</v>
      </c>
      <c r="G1249" s="16">
        <v>44834</v>
      </c>
      <c r="H1249" s="7">
        <f t="shared" si="19"/>
        <v>0.75</v>
      </c>
      <c r="I124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249" s="24" t="str">
        <f>TEXT(Table1[[#This Row],[Date]],"mmm")</f>
        <v>Sep</v>
      </c>
    </row>
    <row r="1250" spans="1:10" ht="15" customHeight="1">
      <c r="A1250" s="14" t="s">
        <v>141</v>
      </c>
      <c r="B1250" s="15" t="s">
        <v>96</v>
      </c>
      <c r="C1250" s="15" t="s">
        <v>10</v>
      </c>
      <c r="D1250" s="15" t="s">
        <v>8</v>
      </c>
      <c r="E1250" s="15" t="s">
        <v>10</v>
      </c>
      <c r="F1250" s="14">
        <v>20</v>
      </c>
      <c r="G1250" s="16">
        <v>44834</v>
      </c>
      <c r="H1250" s="7">
        <f t="shared" si="19"/>
        <v>0.33333333333333331</v>
      </c>
      <c r="I125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250" s="24" t="str">
        <f>TEXT(Table1[[#This Row],[Date]],"mmm")</f>
        <v>Sep</v>
      </c>
    </row>
    <row r="1251" spans="1:10" ht="15" customHeight="1">
      <c r="A1251" s="14" t="s">
        <v>141</v>
      </c>
      <c r="B1251" s="15" t="s">
        <v>157</v>
      </c>
      <c r="C1251" s="15" t="s">
        <v>44</v>
      </c>
      <c r="D1251" s="15" t="s">
        <v>8</v>
      </c>
      <c r="E1251" s="15" t="s">
        <v>12</v>
      </c>
      <c r="F1251" s="14">
        <v>90</v>
      </c>
      <c r="G1251" s="16">
        <v>44834</v>
      </c>
      <c r="H1251" s="7">
        <f t="shared" si="19"/>
        <v>1.5</v>
      </c>
      <c r="I125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251" s="24" t="str">
        <f>TEXT(Table1[[#This Row],[Date]],"mmm")</f>
        <v>Sep</v>
      </c>
    </row>
    <row r="1252" spans="1:10" ht="15" customHeight="1">
      <c r="A1252" s="14" t="s">
        <v>141</v>
      </c>
      <c r="B1252" s="15" t="s">
        <v>142</v>
      </c>
      <c r="C1252" s="15" t="s">
        <v>17</v>
      </c>
      <c r="D1252" s="15" t="s">
        <v>11</v>
      </c>
      <c r="E1252" s="15" t="s">
        <v>17</v>
      </c>
      <c r="F1252" s="14">
        <v>80</v>
      </c>
      <c r="G1252" s="16">
        <v>44834</v>
      </c>
      <c r="H1252" s="7">
        <f t="shared" si="19"/>
        <v>1.3333333333333333</v>
      </c>
      <c r="I125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252" s="24" t="str">
        <f>TEXT(Table1[[#This Row],[Date]],"mmm")</f>
        <v>Sep</v>
      </c>
    </row>
    <row r="1253" spans="1:10" ht="15" customHeight="1">
      <c r="A1253" s="14" t="s">
        <v>141</v>
      </c>
      <c r="B1253" s="15" t="s">
        <v>142</v>
      </c>
      <c r="C1253" s="15" t="s">
        <v>137</v>
      </c>
      <c r="D1253" s="15" t="s">
        <v>8</v>
      </c>
      <c r="E1253" s="15" t="s">
        <v>35</v>
      </c>
      <c r="F1253" s="14">
        <v>200</v>
      </c>
      <c r="G1253" s="16">
        <v>44834</v>
      </c>
      <c r="H1253" s="7">
        <f t="shared" si="19"/>
        <v>3.3333333333333335</v>
      </c>
      <c r="I125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253" s="24" t="str">
        <f>TEXT(Table1[[#This Row],[Date]],"mmm")</f>
        <v>Sep</v>
      </c>
    </row>
    <row r="1254" spans="1:10" ht="15" customHeight="1">
      <c r="A1254" s="14" t="s">
        <v>140</v>
      </c>
      <c r="B1254" s="15" t="s">
        <v>159</v>
      </c>
      <c r="C1254" s="15" t="s">
        <v>47</v>
      </c>
      <c r="D1254" s="15" t="s">
        <v>8</v>
      </c>
      <c r="E1254" s="15" t="s">
        <v>9</v>
      </c>
      <c r="F1254" s="14">
        <v>30</v>
      </c>
      <c r="G1254" s="16">
        <v>44834</v>
      </c>
      <c r="H1254" s="7">
        <f t="shared" si="19"/>
        <v>0.5</v>
      </c>
      <c r="I125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254" s="24" t="str">
        <f>TEXT(Table1[[#This Row],[Date]],"mmm")</f>
        <v>Sep</v>
      </c>
    </row>
    <row r="1255" spans="1:10" ht="15" customHeight="1">
      <c r="A1255" s="14" t="s">
        <v>140</v>
      </c>
      <c r="B1255" s="15" t="s">
        <v>10</v>
      </c>
      <c r="C1255" s="15" t="s">
        <v>10</v>
      </c>
      <c r="D1255" s="15" t="s">
        <v>8</v>
      </c>
      <c r="E1255" s="15" t="s">
        <v>10</v>
      </c>
      <c r="F1255" s="14">
        <v>25</v>
      </c>
      <c r="G1255" s="16">
        <v>44834</v>
      </c>
      <c r="H1255" s="7">
        <f t="shared" si="19"/>
        <v>0.41666666666666669</v>
      </c>
      <c r="I125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255" s="24" t="str">
        <f>TEXT(Table1[[#This Row],[Date]],"mmm")</f>
        <v>Sep</v>
      </c>
    </row>
    <row r="1256" spans="1:10" ht="15" customHeight="1">
      <c r="A1256" s="14" t="s">
        <v>140</v>
      </c>
      <c r="B1256" s="15" t="s">
        <v>160</v>
      </c>
      <c r="C1256" s="15" t="s">
        <v>17</v>
      </c>
      <c r="D1256" s="15" t="s">
        <v>11</v>
      </c>
      <c r="E1256" s="15" t="s">
        <v>17</v>
      </c>
      <c r="F1256" s="14">
        <v>35</v>
      </c>
      <c r="G1256" s="16">
        <v>44834</v>
      </c>
      <c r="H1256" s="7">
        <f t="shared" si="19"/>
        <v>0.58333333333333337</v>
      </c>
      <c r="I125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256" s="24" t="str">
        <f>TEXT(Table1[[#This Row],[Date]],"mmm")</f>
        <v>Sep</v>
      </c>
    </row>
    <row r="1257" spans="1:10" ht="15" customHeight="1">
      <c r="A1257" s="14" t="s">
        <v>140</v>
      </c>
      <c r="B1257" s="15" t="s">
        <v>159</v>
      </c>
      <c r="C1257" s="15" t="s">
        <v>161</v>
      </c>
      <c r="D1257" s="15" t="s">
        <v>138</v>
      </c>
      <c r="E1257" s="15" t="s">
        <v>175</v>
      </c>
      <c r="F1257" s="14">
        <v>25</v>
      </c>
      <c r="G1257" s="16">
        <v>44834</v>
      </c>
      <c r="H1257" s="7">
        <f t="shared" si="19"/>
        <v>0.41666666666666669</v>
      </c>
      <c r="I125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257" s="24" t="str">
        <f>TEXT(Table1[[#This Row],[Date]],"mmm")</f>
        <v>Sep</v>
      </c>
    </row>
    <row r="1258" spans="1:10" ht="15" customHeight="1">
      <c r="A1258" s="14" t="s">
        <v>140</v>
      </c>
      <c r="B1258" s="15" t="s">
        <v>159</v>
      </c>
      <c r="C1258" s="15" t="s">
        <v>161</v>
      </c>
      <c r="D1258" s="15" t="s">
        <v>8</v>
      </c>
      <c r="E1258" s="15" t="s">
        <v>9</v>
      </c>
      <c r="F1258" s="14">
        <v>30</v>
      </c>
      <c r="G1258" s="16">
        <v>44834</v>
      </c>
      <c r="H1258" s="7">
        <f t="shared" si="19"/>
        <v>0.5</v>
      </c>
      <c r="I125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258" s="24" t="str">
        <f>TEXT(Table1[[#This Row],[Date]],"mmm")</f>
        <v>Sep</v>
      </c>
    </row>
    <row r="1259" spans="1:10" ht="15" customHeight="1">
      <c r="A1259" s="14" t="s">
        <v>140</v>
      </c>
      <c r="B1259" s="15" t="s">
        <v>159</v>
      </c>
      <c r="C1259" s="15" t="s">
        <v>132</v>
      </c>
      <c r="D1259" s="15" t="s">
        <v>11</v>
      </c>
      <c r="E1259" s="15" t="s">
        <v>132</v>
      </c>
      <c r="F1259" s="14">
        <v>40</v>
      </c>
      <c r="G1259" s="16">
        <v>44834</v>
      </c>
      <c r="H1259" s="7">
        <f t="shared" si="19"/>
        <v>0.66666666666666663</v>
      </c>
      <c r="I125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259" s="24" t="str">
        <f>TEXT(Table1[[#This Row],[Date]],"mmm")</f>
        <v>Sep</v>
      </c>
    </row>
    <row r="1260" spans="1:10" ht="15" customHeight="1">
      <c r="A1260" s="14" t="s">
        <v>140</v>
      </c>
      <c r="B1260" s="15" t="s">
        <v>159</v>
      </c>
      <c r="C1260" s="15" t="s">
        <v>44</v>
      </c>
      <c r="D1260" s="15" t="s">
        <v>8</v>
      </c>
      <c r="E1260" s="15" t="s">
        <v>12</v>
      </c>
      <c r="F1260" s="14">
        <v>95</v>
      </c>
      <c r="G1260" s="16">
        <v>44834</v>
      </c>
      <c r="H1260" s="7">
        <f t="shared" si="19"/>
        <v>1.5833333333333333</v>
      </c>
      <c r="I126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260" s="24" t="str">
        <f>TEXT(Table1[[#This Row],[Date]],"mmm")</f>
        <v>Sep</v>
      </c>
    </row>
    <row r="1261" spans="1:10" ht="15" customHeight="1">
      <c r="A1261" s="14" t="s">
        <v>140</v>
      </c>
      <c r="B1261" s="15" t="s">
        <v>159</v>
      </c>
      <c r="C1261" s="15" t="s">
        <v>161</v>
      </c>
      <c r="D1261" s="15" t="s">
        <v>8</v>
      </c>
      <c r="E1261" s="15" t="s">
        <v>175</v>
      </c>
      <c r="F1261" s="14">
        <v>65</v>
      </c>
      <c r="G1261" s="16">
        <v>44834</v>
      </c>
      <c r="H1261" s="7">
        <f t="shared" si="19"/>
        <v>1.0833333333333333</v>
      </c>
      <c r="I126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261" s="24" t="str">
        <f>TEXT(Table1[[#This Row],[Date]],"mmm")</f>
        <v>Sep</v>
      </c>
    </row>
    <row r="1262" spans="1:10" ht="15" customHeight="1">
      <c r="A1262" s="14" t="s">
        <v>140</v>
      </c>
      <c r="B1262" s="15" t="s">
        <v>159</v>
      </c>
      <c r="C1262" s="15" t="s">
        <v>54</v>
      </c>
      <c r="D1262" s="15" t="s">
        <v>138</v>
      </c>
      <c r="E1262" s="15" t="s">
        <v>72</v>
      </c>
      <c r="F1262" s="14">
        <v>30</v>
      </c>
      <c r="G1262" s="16">
        <v>44834</v>
      </c>
      <c r="H1262" s="7">
        <f t="shared" si="19"/>
        <v>0.5</v>
      </c>
      <c r="I126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262" s="24" t="str">
        <f>TEXT(Table1[[#This Row],[Date]],"mmm")</f>
        <v>Sep</v>
      </c>
    </row>
    <row r="1263" spans="1:10" ht="15" customHeight="1">
      <c r="A1263" s="14" t="s">
        <v>140</v>
      </c>
      <c r="B1263" s="15" t="s">
        <v>159</v>
      </c>
      <c r="C1263" s="15" t="s">
        <v>22</v>
      </c>
      <c r="D1263" s="15" t="s">
        <v>13</v>
      </c>
      <c r="E1263" s="15" t="s">
        <v>22</v>
      </c>
      <c r="F1263" s="14">
        <v>35</v>
      </c>
      <c r="G1263" s="16">
        <v>44834</v>
      </c>
      <c r="H1263" s="7">
        <f t="shared" si="19"/>
        <v>0.58333333333333337</v>
      </c>
      <c r="I126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263" s="24" t="str">
        <f>TEXT(Table1[[#This Row],[Date]],"mmm")</f>
        <v>Sep</v>
      </c>
    </row>
    <row r="1264" spans="1:10" ht="15" customHeight="1">
      <c r="A1264" s="14" t="s">
        <v>140</v>
      </c>
      <c r="B1264" s="15" t="s">
        <v>144</v>
      </c>
      <c r="C1264" s="15" t="s">
        <v>50</v>
      </c>
      <c r="D1264" s="15" t="s">
        <v>11</v>
      </c>
      <c r="E1264" s="15" t="s">
        <v>9</v>
      </c>
      <c r="F1264" s="14">
        <v>30</v>
      </c>
      <c r="G1264" s="16">
        <v>44834</v>
      </c>
      <c r="H1264" s="7">
        <f t="shared" si="19"/>
        <v>0.5</v>
      </c>
      <c r="I126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264" s="24" t="str">
        <f>TEXT(Table1[[#This Row],[Date]],"mmm")</f>
        <v>Sep</v>
      </c>
    </row>
    <row r="1265" spans="1:10" ht="15" customHeight="1">
      <c r="A1265" s="14" t="s">
        <v>140</v>
      </c>
      <c r="B1265" s="15" t="s">
        <v>159</v>
      </c>
      <c r="C1265" s="15" t="s">
        <v>17</v>
      </c>
      <c r="D1265" s="15" t="s">
        <v>11</v>
      </c>
      <c r="E1265" s="15" t="s">
        <v>17</v>
      </c>
      <c r="F1265" s="14">
        <v>35</v>
      </c>
      <c r="G1265" s="16">
        <v>44834</v>
      </c>
      <c r="H1265" s="7">
        <f t="shared" si="19"/>
        <v>0.58333333333333337</v>
      </c>
      <c r="I126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265" s="24" t="str">
        <f>TEXT(Table1[[#This Row],[Date]],"mmm")</f>
        <v>Sep</v>
      </c>
    </row>
    <row r="1266" spans="1:10" ht="15" customHeight="1">
      <c r="A1266" s="14" t="s">
        <v>140</v>
      </c>
      <c r="B1266" s="15" t="s">
        <v>152</v>
      </c>
      <c r="C1266" s="15" t="s">
        <v>91</v>
      </c>
      <c r="D1266" s="15" t="s">
        <v>11</v>
      </c>
      <c r="E1266" s="15" t="s">
        <v>12</v>
      </c>
      <c r="F1266" s="14">
        <v>45</v>
      </c>
      <c r="G1266" s="16">
        <v>44834</v>
      </c>
      <c r="H1266" s="7">
        <f t="shared" si="19"/>
        <v>0.75</v>
      </c>
      <c r="I126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25-Sep-22 - to - 01-Oct-22</v>
      </c>
      <c r="J1266" s="24" t="str">
        <f>TEXT(Table1[[#This Row],[Date]],"mmm")</f>
        <v>Sep</v>
      </c>
    </row>
    <row r="1267" spans="1:10" ht="15" customHeight="1">
      <c r="A1267" s="14" t="s">
        <v>141</v>
      </c>
      <c r="B1267" s="15" t="s">
        <v>10</v>
      </c>
      <c r="C1267" s="15" t="s">
        <v>10</v>
      </c>
      <c r="D1267" s="15" t="s">
        <v>8</v>
      </c>
      <c r="E1267" s="15" t="s">
        <v>10</v>
      </c>
      <c r="F1267" s="14">
        <v>20</v>
      </c>
      <c r="G1267" s="16">
        <v>44865</v>
      </c>
      <c r="H1267" s="7">
        <f t="shared" si="19"/>
        <v>0.33333333333333331</v>
      </c>
      <c r="I126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30-Oct-22 - to - 05-Nov-22</v>
      </c>
      <c r="J1267" s="24" t="str">
        <f>TEXT(Table1[[#This Row],[Date]],"mmm")</f>
        <v>Oct</v>
      </c>
    </row>
    <row r="1268" spans="1:10" ht="15" customHeight="1">
      <c r="A1268" s="14" t="s">
        <v>141</v>
      </c>
      <c r="B1268" s="15" t="s">
        <v>36</v>
      </c>
      <c r="C1268" s="15" t="s">
        <v>37</v>
      </c>
      <c r="D1268" s="15" t="s">
        <v>8</v>
      </c>
      <c r="E1268" s="15" t="s">
        <v>36</v>
      </c>
      <c r="F1268" s="14">
        <v>60</v>
      </c>
      <c r="G1268" s="16">
        <v>44865</v>
      </c>
      <c r="H1268" s="7">
        <f t="shared" si="19"/>
        <v>1</v>
      </c>
      <c r="I126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30-Oct-22 - to - 05-Nov-22</v>
      </c>
      <c r="J1268" s="24" t="str">
        <f>TEXT(Table1[[#This Row],[Date]],"mmm")</f>
        <v>Oct</v>
      </c>
    </row>
    <row r="1269" spans="1:10" ht="15" customHeight="1">
      <c r="A1269" s="14" t="s">
        <v>141</v>
      </c>
      <c r="B1269" s="15" t="s">
        <v>157</v>
      </c>
      <c r="C1269" s="15" t="s">
        <v>16</v>
      </c>
      <c r="D1269" s="15" t="s">
        <v>8</v>
      </c>
      <c r="E1269" s="15" t="s">
        <v>9</v>
      </c>
      <c r="F1269" s="14">
        <v>20</v>
      </c>
      <c r="G1269" s="16">
        <v>44865</v>
      </c>
      <c r="H1269" s="7">
        <f t="shared" si="19"/>
        <v>0.33333333333333331</v>
      </c>
      <c r="I126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30-Oct-22 - to - 05-Nov-22</v>
      </c>
      <c r="J1269" s="24" t="str">
        <f>TEXT(Table1[[#This Row],[Date]],"mmm")</f>
        <v>Oct</v>
      </c>
    </row>
    <row r="1270" spans="1:10" ht="15" customHeight="1">
      <c r="A1270" s="14" t="s">
        <v>141</v>
      </c>
      <c r="B1270" s="15" t="s">
        <v>143</v>
      </c>
      <c r="C1270" s="15" t="s">
        <v>103</v>
      </c>
      <c r="D1270" s="15" t="s">
        <v>11</v>
      </c>
      <c r="E1270" s="15" t="s">
        <v>6</v>
      </c>
      <c r="F1270" s="14">
        <v>20</v>
      </c>
      <c r="G1270" s="16">
        <v>44865</v>
      </c>
      <c r="H1270" s="7">
        <f t="shared" si="19"/>
        <v>0.33333333333333331</v>
      </c>
      <c r="I127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30-Oct-22 - to - 05-Nov-22</v>
      </c>
      <c r="J1270" s="24" t="str">
        <f>TEXT(Table1[[#This Row],[Date]],"mmm")</f>
        <v>Oct</v>
      </c>
    </row>
    <row r="1271" spans="1:10" ht="15" customHeight="1">
      <c r="A1271" s="14" t="s">
        <v>141</v>
      </c>
      <c r="B1271" s="15" t="s">
        <v>147</v>
      </c>
      <c r="C1271" s="15" t="s">
        <v>103</v>
      </c>
      <c r="D1271" s="15" t="s">
        <v>11</v>
      </c>
      <c r="E1271" s="15" t="s">
        <v>6</v>
      </c>
      <c r="F1271" s="14">
        <v>20</v>
      </c>
      <c r="G1271" s="16">
        <v>44865</v>
      </c>
      <c r="H1271" s="7">
        <f t="shared" si="19"/>
        <v>0.33333333333333331</v>
      </c>
      <c r="I127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30-Oct-22 - to - 05-Nov-22</v>
      </c>
      <c r="J1271" s="24" t="str">
        <f>TEXT(Table1[[#This Row],[Date]],"mmm")</f>
        <v>Oct</v>
      </c>
    </row>
    <row r="1272" spans="1:10" ht="15" customHeight="1">
      <c r="A1272" s="14" t="s">
        <v>141</v>
      </c>
      <c r="B1272" s="15" t="s">
        <v>144</v>
      </c>
      <c r="C1272" s="15" t="s">
        <v>103</v>
      </c>
      <c r="D1272" s="15" t="s">
        <v>11</v>
      </c>
      <c r="E1272" s="15" t="s">
        <v>6</v>
      </c>
      <c r="F1272" s="14">
        <v>20</v>
      </c>
      <c r="G1272" s="16">
        <v>44865</v>
      </c>
      <c r="H1272" s="7">
        <f t="shared" si="19"/>
        <v>0.33333333333333331</v>
      </c>
      <c r="I127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30-Oct-22 - to - 05-Nov-22</v>
      </c>
      <c r="J1272" s="24" t="str">
        <f>TEXT(Table1[[#This Row],[Date]],"mmm")</f>
        <v>Oct</v>
      </c>
    </row>
    <row r="1273" spans="1:10" ht="15" customHeight="1">
      <c r="A1273" s="14" t="s">
        <v>141</v>
      </c>
      <c r="B1273" s="15" t="s">
        <v>145</v>
      </c>
      <c r="C1273" s="15" t="s">
        <v>103</v>
      </c>
      <c r="D1273" s="15" t="s">
        <v>11</v>
      </c>
      <c r="E1273" s="15" t="s">
        <v>6</v>
      </c>
      <c r="F1273" s="14">
        <v>20</v>
      </c>
      <c r="G1273" s="16">
        <v>44865</v>
      </c>
      <c r="H1273" s="7">
        <f t="shared" si="19"/>
        <v>0.33333333333333331</v>
      </c>
      <c r="I127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30-Oct-22 - to - 05-Nov-22</v>
      </c>
      <c r="J1273" s="24" t="str">
        <f>TEXT(Table1[[#This Row],[Date]],"mmm")</f>
        <v>Oct</v>
      </c>
    </row>
    <row r="1274" spans="1:10" ht="15" customHeight="1">
      <c r="A1274" s="14" t="s">
        <v>141</v>
      </c>
      <c r="B1274" s="15" t="s">
        <v>142</v>
      </c>
      <c r="C1274" s="15" t="s">
        <v>137</v>
      </c>
      <c r="D1274" s="15" t="s">
        <v>8</v>
      </c>
      <c r="E1274" s="15" t="s">
        <v>35</v>
      </c>
      <c r="F1274" s="14">
        <v>150</v>
      </c>
      <c r="G1274" s="16">
        <v>44865</v>
      </c>
      <c r="H1274" s="7">
        <f t="shared" si="19"/>
        <v>2.5</v>
      </c>
      <c r="I127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30-Oct-22 - to - 05-Nov-22</v>
      </c>
      <c r="J1274" s="24" t="str">
        <f>TEXT(Table1[[#This Row],[Date]],"mmm")</f>
        <v>Oct</v>
      </c>
    </row>
    <row r="1275" spans="1:10" ht="15" customHeight="1">
      <c r="A1275" s="14" t="s">
        <v>141</v>
      </c>
      <c r="B1275" s="15" t="s">
        <v>142</v>
      </c>
      <c r="C1275" s="15" t="s">
        <v>20</v>
      </c>
      <c r="D1275" s="15" t="s">
        <v>138</v>
      </c>
      <c r="E1275" s="15" t="s">
        <v>20</v>
      </c>
      <c r="F1275" s="14">
        <v>80</v>
      </c>
      <c r="G1275" s="16">
        <v>44865</v>
      </c>
      <c r="H1275" s="7">
        <f t="shared" si="19"/>
        <v>1.3333333333333333</v>
      </c>
      <c r="I127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30-Oct-22 - to - 05-Nov-22</v>
      </c>
      <c r="J1275" s="24" t="str">
        <f>TEXT(Table1[[#This Row],[Date]],"mmm")</f>
        <v>Oct</v>
      </c>
    </row>
    <row r="1276" spans="1:10" ht="15" customHeight="1">
      <c r="A1276" s="14" t="s">
        <v>141</v>
      </c>
      <c r="B1276" s="15" t="s">
        <v>157</v>
      </c>
      <c r="C1276" s="15" t="s">
        <v>44</v>
      </c>
      <c r="D1276" s="15" t="s">
        <v>8</v>
      </c>
      <c r="E1276" s="15" t="s">
        <v>12</v>
      </c>
      <c r="F1276" s="14">
        <v>90</v>
      </c>
      <c r="G1276" s="16">
        <v>44865</v>
      </c>
      <c r="H1276" s="7">
        <f t="shared" si="19"/>
        <v>1.5</v>
      </c>
      <c r="I127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30-Oct-22 - to - 05-Nov-22</v>
      </c>
      <c r="J1276" s="24" t="str">
        <f>TEXT(Table1[[#This Row],[Date]],"mmm")</f>
        <v>Oct</v>
      </c>
    </row>
    <row r="1277" spans="1:10" ht="15" customHeight="1">
      <c r="A1277" s="14" t="s">
        <v>140</v>
      </c>
      <c r="B1277" s="15" t="s">
        <v>10</v>
      </c>
      <c r="C1277" s="15" t="s">
        <v>10</v>
      </c>
      <c r="D1277" s="15" t="s">
        <v>8</v>
      </c>
      <c r="E1277" s="15" t="s">
        <v>10</v>
      </c>
      <c r="F1277" s="14">
        <v>20</v>
      </c>
      <c r="G1277" s="16">
        <v>44865</v>
      </c>
      <c r="H1277" s="7">
        <f t="shared" si="19"/>
        <v>0.33333333333333331</v>
      </c>
      <c r="I127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30-Oct-22 - to - 05-Nov-22</v>
      </c>
      <c r="J1277" s="24" t="str">
        <f>TEXT(Table1[[#This Row],[Date]],"mmm")</f>
        <v>Oct</v>
      </c>
    </row>
    <row r="1278" spans="1:10" ht="15" customHeight="1">
      <c r="A1278" s="14" t="s">
        <v>140</v>
      </c>
      <c r="B1278" s="15" t="s">
        <v>159</v>
      </c>
      <c r="C1278" s="15" t="s">
        <v>52</v>
      </c>
      <c r="D1278" s="15" t="s">
        <v>138</v>
      </c>
      <c r="E1278" s="15" t="s">
        <v>52</v>
      </c>
      <c r="F1278" s="14">
        <v>75</v>
      </c>
      <c r="G1278" s="16">
        <v>44865</v>
      </c>
      <c r="H1278" s="7">
        <f t="shared" si="19"/>
        <v>1.25</v>
      </c>
      <c r="I1278"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30-Oct-22 - to - 05-Nov-22</v>
      </c>
      <c r="J1278" s="24" t="str">
        <f>TEXT(Table1[[#This Row],[Date]],"mmm")</f>
        <v>Oct</v>
      </c>
    </row>
    <row r="1279" spans="1:10" ht="15" customHeight="1">
      <c r="A1279" s="14" t="s">
        <v>140</v>
      </c>
      <c r="B1279" s="15" t="s">
        <v>152</v>
      </c>
      <c r="C1279" s="15" t="s">
        <v>153</v>
      </c>
      <c r="D1279" s="15" t="s">
        <v>8</v>
      </c>
      <c r="E1279" s="15" t="s">
        <v>12</v>
      </c>
      <c r="F1279" s="14">
        <v>25</v>
      </c>
      <c r="G1279" s="16">
        <v>44865</v>
      </c>
      <c r="H1279" s="7">
        <f t="shared" si="19"/>
        <v>0.41666666666666669</v>
      </c>
      <c r="I1279"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30-Oct-22 - to - 05-Nov-22</v>
      </c>
      <c r="J1279" s="24" t="str">
        <f>TEXT(Table1[[#This Row],[Date]],"mmm")</f>
        <v>Oct</v>
      </c>
    </row>
    <row r="1280" spans="1:10" ht="15" customHeight="1">
      <c r="A1280" s="14" t="s">
        <v>140</v>
      </c>
      <c r="B1280" s="15" t="s">
        <v>159</v>
      </c>
      <c r="C1280" s="15" t="s">
        <v>44</v>
      </c>
      <c r="D1280" s="15" t="s">
        <v>8</v>
      </c>
      <c r="E1280" s="15" t="s">
        <v>12</v>
      </c>
      <c r="F1280" s="14">
        <v>90</v>
      </c>
      <c r="G1280" s="16">
        <v>44865</v>
      </c>
      <c r="H1280" s="7">
        <f t="shared" si="19"/>
        <v>1.5</v>
      </c>
      <c r="I1280"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30-Oct-22 - to - 05-Nov-22</v>
      </c>
      <c r="J1280" s="24" t="str">
        <f>TEXT(Table1[[#This Row],[Date]],"mmm")</f>
        <v>Oct</v>
      </c>
    </row>
    <row r="1281" spans="1:10" ht="15" customHeight="1">
      <c r="A1281" s="14" t="s">
        <v>140</v>
      </c>
      <c r="B1281" s="15" t="s">
        <v>159</v>
      </c>
      <c r="C1281" s="15" t="s">
        <v>48</v>
      </c>
      <c r="D1281" s="15" t="s">
        <v>11</v>
      </c>
      <c r="E1281" s="15" t="s">
        <v>88</v>
      </c>
      <c r="F1281" s="14">
        <v>30</v>
      </c>
      <c r="G1281" s="16">
        <v>44865</v>
      </c>
      <c r="H1281" s="7">
        <f t="shared" si="19"/>
        <v>0.5</v>
      </c>
      <c r="I1281"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30-Oct-22 - to - 05-Nov-22</v>
      </c>
      <c r="J1281" s="24" t="str">
        <f>TEXT(Table1[[#This Row],[Date]],"mmm")</f>
        <v>Oct</v>
      </c>
    </row>
    <row r="1282" spans="1:10" ht="15" customHeight="1">
      <c r="A1282" s="14" t="s">
        <v>140</v>
      </c>
      <c r="B1282" s="15" t="s">
        <v>159</v>
      </c>
      <c r="C1282" s="15" t="s">
        <v>51</v>
      </c>
      <c r="D1282" s="15" t="s">
        <v>8</v>
      </c>
      <c r="E1282" s="15" t="s">
        <v>9</v>
      </c>
      <c r="F1282" s="14">
        <v>25</v>
      </c>
      <c r="G1282" s="16">
        <v>44865</v>
      </c>
      <c r="H1282" s="7">
        <f t="shared" ref="H1282:H1287" si="20">IFERROR(IF(ISBLANK(F1282)=TRUE(),"",F1282/60),"")</f>
        <v>0.41666666666666669</v>
      </c>
      <c r="I1282"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30-Oct-22 - to - 05-Nov-22</v>
      </c>
      <c r="J1282" s="24" t="str">
        <f>TEXT(Table1[[#This Row],[Date]],"mmm")</f>
        <v>Oct</v>
      </c>
    </row>
    <row r="1283" spans="1:10" ht="15" customHeight="1">
      <c r="A1283" s="14" t="s">
        <v>140</v>
      </c>
      <c r="B1283" s="15" t="s">
        <v>159</v>
      </c>
      <c r="C1283" s="15" t="s">
        <v>66</v>
      </c>
      <c r="D1283" s="15" t="s">
        <v>13</v>
      </c>
      <c r="E1283" s="15" t="s">
        <v>66</v>
      </c>
      <c r="F1283" s="14">
        <v>35</v>
      </c>
      <c r="G1283" s="16">
        <v>44865</v>
      </c>
      <c r="H1283" s="7">
        <f t="shared" si="20"/>
        <v>0.58333333333333337</v>
      </c>
      <c r="I1283"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30-Oct-22 - to - 05-Nov-22</v>
      </c>
      <c r="J1283" s="24" t="str">
        <f>TEXT(Table1[[#This Row],[Date]],"mmm")</f>
        <v>Oct</v>
      </c>
    </row>
    <row r="1284" spans="1:10" ht="15" customHeight="1">
      <c r="A1284" s="14" t="s">
        <v>140</v>
      </c>
      <c r="B1284" s="15" t="s">
        <v>159</v>
      </c>
      <c r="C1284" s="15" t="s">
        <v>15</v>
      </c>
      <c r="D1284" s="15" t="s">
        <v>11</v>
      </c>
      <c r="E1284" s="15" t="s">
        <v>9</v>
      </c>
      <c r="F1284" s="14">
        <v>75</v>
      </c>
      <c r="G1284" s="16">
        <v>44865</v>
      </c>
      <c r="H1284" s="7">
        <f t="shared" si="20"/>
        <v>1.25</v>
      </c>
      <c r="I1284"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30-Oct-22 - to - 05-Nov-22</v>
      </c>
      <c r="J1284" s="24" t="str">
        <f>TEXT(Table1[[#This Row],[Date]],"mmm")</f>
        <v>Oct</v>
      </c>
    </row>
    <row r="1285" spans="1:10" ht="15" customHeight="1">
      <c r="A1285" s="14" t="s">
        <v>140</v>
      </c>
      <c r="B1285" s="15" t="s">
        <v>159</v>
      </c>
      <c r="C1285" s="15" t="s">
        <v>20</v>
      </c>
      <c r="D1285" s="15" t="s">
        <v>11</v>
      </c>
      <c r="E1285" s="15" t="s">
        <v>20</v>
      </c>
      <c r="F1285" s="14">
        <v>80</v>
      </c>
      <c r="G1285" s="16">
        <v>44865</v>
      </c>
      <c r="H1285" s="7">
        <f t="shared" si="20"/>
        <v>1.3333333333333333</v>
      </c>
      <c r="I1285"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30-Oct-22 - to - 05-Nov-22</v>
      </c>
      <c r="J1285" s="24" t="str">
        <f>TEXT(Table1[[#This Row],[Date]],"mmm")</f>
        <v>Oct</v>
      </c>
    </row>
    <row r="1286" spans="1:10" ht="15" customHeight="1">
      <c r="A1286" s="14" t="s">
        <v>140</v>
      </c>
      <c r="B1286" s="15" t="s">
        <v>159</v>
      </c>
      <c r="C1286" s="15" t="s">
        <v>17</v>
      </c>
      <c r="D1286" s="15" t="s">
        <v>8</v>
      </c>
      <c r="E1286" s="15" t="s">
        <v>9</v>
      </c>
      <c r="F1286" s="14">
        <v>20</v>
      </c>
      <c r="G1286" s="16">
        <v>44865</v>
      </c>
      <c r="H1286" s="7">
        <f t="shared" si="20"/>
        <v>0.33333333333333331</v>
      </c>
      <c r="I1286"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30-Oct-22 - to - 05-Nov-22</v>
      </c>
      <c r="J1286" s="24" t="str">
        <f>TEXT(Table1[[#This Row],[Date]],"mmm")</f>
        <v>Oct</v>
      </c>
    </row>
    <row r="1287" spans="1:10" ht="15" customHeight="1">
      <c r="A1287" s="14" t="s">
        <v>140</v>
      </c>
      <c r="B1287" s="15" t="s">
        <v>6</v>
      </c>
      <c r="C1287" s="15" t="s">
        <v>47</v>
      </c>
      <c r="D1287" s="15" t="s">
        <v>8</v>
      </c>
      <c r="E1287" s="15" t="s">
        <v>9</v>
      </c>
      <c r="F1287" s="14">
        <v>30</v>
      </c>
      <c r="G1287" s="16">
        <v>44865</v>
      </c>
      <c r="H1287" s="7">
        <f t="shared" si="20"/>
        <v>0.5</v>
      </c>
      <c r="I1287" s="6" t="str">
        <f>IFERROR(TEXT(IF(ISBLANK(Table1[[#This Row],[Date]])=TRUE,"",DATE(YEAR(Table1[[#This Row],[Date]]),MONTH(Table1[[#This Row],[Date]]),DAY(Table1[[#This Row],[Date]])) - WEEKDAY(DATE(YEAR(Table1[[#This Row],[Date]]),MONTH(Table1[[#This Row],[Date]]),DAY(Table1[[#This Row],[Date]]))) +1),"dd-mmm-yy"),"") &amp;" - to - " &amp; TEXT(IFERROR(IF(ISBLANK(Table1[[#This Row],[Date]])=TRUE,"",DATE(YEAR(Table1[[#This Row],[Date]]),MONTH(Table1[[#This Row],[Date]]),DAY(Table1[[#This Row],[Date]])+7) - WEEKDAY(DATE(YEAR(Table1[[#This Row],[Date]]),MONTH(Table1[[#This Row],[Date]]),DAY(Table1[[#This Row],[Date]])))),""),"dd-mmm-yy")</f>
        <v>30-Oct-22 - to - 05-Nov-22</v>
      </c>
      <c r="J1287" s="24" t="str">
        <f>TEXT(Table1[[#This Row],[Date]],"mmm")</f>
        <v>Oct</v>
      </c>
    </row>
    <row r="1288" spans="1:10" ht="15" customHeight="1">
      <c r="H1288" s="11" t="str">
        <f t="shared" ref="H1288" si="21">IFERROR(IF(ISBLANK(F1288)=TRUE(),"",F1288/60),"")</f>
        <v/>
      </c>
    </row>
  </sheetData>
  <sheetProtection algorithmName="SHA-512" hashValue="0C18jAV3XKP7+nBADQqPDpInwlHDU/+nV0rqYk+wnZC1KiZ4xLRxmeJ7BbQqvov5YWFfs+ARVE8452FRS900eg==" saltValue="REXJg3rJz8p+0rHKUa3FfQ==" spinCount="100000" sheet="1" objects="1" scenarios="1" selectLockedCells="1" selectUnlockedCells="1"/>
  <protectedRanges>
    <protectedRange algorithmName="SHA-512" hashValue="xCiR0B6TZuRJrr3nFDiQZKpet7q5T1Me8jw8QS1LodcnLR26e65wCdxhYslHjf3tZRGTG7KCtbf6u/xRJEIRWg==" saltValue="26rDB8h1EiXATFWKl+lUZw==" spinCount="100000" sqref="H1289:I1048576 H1:I1287" name="Range2"/>
  </protectedRanges>
  <phoneticPr fontId="7" type="noConversion"/>
  <dataValidations count="1">
    <dataValidation type="custom" allowBlank="1" showDropDown="1" showErrorMessage="1" sqref="H1" xr:uid="{6BBA76C6-0455-4DD3-A8F7-6630CF1B7CE0}">
      <formula1>IF(ISBLANK(#REF!)=TRUE(),"",#REF!/60)</formula1>
    </dataValidation>
  </dataValidations>
  <pageMargins left="0.7" right="0.7" top="0.75" bottom="0.75" header="0.3" footer="0.3"/>
  <pageSetup orientation="portrait" r:id="rId1"/>
  <ignoredErrors>
    <ignoredError sqref="H1" listDataValidation="1"/>
  </ignoredErrors>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inderjeet suryavanshi</dc:creator>
  <cp:lastModifiedBy>inderjeet suryavanshi</cp:lastModifiedBy>
  <dcterms:created xsi:type="dcterms:W3CDTF">2023-03-23T17:14:12Z</dcterms:created>
  <dcterms:modified xsi:type="dcterms:W3CDTF">2023-03-31T19:13:53Z</dcterms:modified>
</cp:coreProperties>
</file>